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cuments\STUDIA\Stosowana analiza ekonomiczna\Pawelec\Projekt Power BI\"/>
    </mc:Choice>
  </mc:AlternateContent>
  <xr:revisionPtr revIDLastSave="0" documentId="13_ncr:1_{C5EC25A6-43DA-4AE3-A5EC-43E539EA6849}" xr6:coauthVersionLast="47" xr6:coauthVersionMax="47" xr10:uidLastSave="{00000000-0000-0000-0000-000000000000}"/>
  <bookViews>
    <workbookView xWindow="-108" yWindow="-108" windowWidth="23256" windowHeight="12576" xr2:uid="{3C0F1B75-3C0E-4156-BB7D-E9DDA9BDE058}"/>
  </bookViews>
  <sheets>
    <sheet name="Źródło" sheetId="6" r:id="rId1"/>
    <sheet name="Dane" sheetId="1" r:id="rId2"/>
    <sheet name="Wskaźniki analityczne" sheetId="8" r:id="rId3"/>
    <sheet name="Zmienne pochodne" sheetId="7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8" l="1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G301" i="8"/>
  <c r="G302" i="8"/>
  <c r="G303" i="8"/>
  <c r="G304" i="8"/>
  <c r="G305" i="8"/>
  <c r="G306" i="8"/>
  <c r="G307" i="8"/>
  <c r="G308" i="8"/>
  <c r="G309" i="8"/>
  <c r="G310" i="8"/>
  <c r="G311" i="8"/>
  <c r="G312" i="8"/>
  <c r="G313" i="8"/>
  <c r="G314" i="8"/>
  <c r="G315" i="8"/>
  <c r="G316" i="8"/>
  <c r="G317" i="8"/>
  <c r="G318" i="8"/>
  <c r="G319" i="8"/>
  <c r="G320" i="8"/>
  <c r="G321" i="8"/>
  <c r="G322" i="8"/>
  <c r="G323" i="8"/>
  <c r="G324" i="8"/>
  <c r="G325" i="8"/>
  <c r="G326" i="8"/>
  <c r="G327" i="8"/>
  <c r="G328" i="8"/>
  <c r="G329" i="8"/>
  <c r="G330" i="8"/>
  <c r="G331" i="8"/>
  <c r="G332" i="8"/>
  <c r="G333" i="8"/>
  <c r="G334" i="8"/>
  <c r="G335" i="8"/>
  <c r="G336" i="8"/>
  <c r="G337" i="8"/>
  <c r="G338" i="8"/>
  <c r="G339" i="8"/>
  <c r="G340" i="8"/>
  <c r="G341" i="8"/>
  <c r="G342" i="8"/>
  <c r="G343" i="8"/>
  <c r="G344" i="8"/>
  <c r="G345" i="8"/>
  <c r="G346" i="8"/>
  <c r="G347" i="8"/>
  <c r="G348" i="8"/>
  <c r="G349" i="8"/>
  <c r="G350" i="8"/>
  <c r="G351" i="8"/>
  <c r="G352" i="8"/>
  <c r="G353" i="8"/>
  <c r="G354" i="8"/>
  <c r="G355" i="8"/>
  <c r="G356" i="8"/>
  <c r="G357" i="8"/>
  <c r="G358" i="8"/>
  <c r="G359" i="8"/>
  <c r="G360" i="8"/>
  <c r="G361" i="8"/>
  <c r="G362" i="8"/>
  <c r="G363" i="8"/>
  <c r="G364" i="8"/>
  <c r="G365" i="8"/>
  <c r="G366" i="8"/>
  <c r="G367" i="8"/>
  <c r="G368" i="8"/>
  <c r="G369" i="8"/>
  <c r="G370" i="8"/>
  <c r="G371" i="8"/>
  <c r="G372" i="8"/>
  <c r="G373" i="8"/>
  <c r="G374" i="8"/>
  <c r="G375" i="8"/>
  <c r="G376" i="8"/>
  <c r="G377" i="8"/>
  <c r="G378" i="8"/>
  <c r="G379" i="8"/>
  <c r="G380" i="8"/>
  <c r="G381" i="8"/>
  <c r="G2" i="8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F260" i="8"/>
  <c r="F261" i="8"/>
  <c r="F262" i="8"/>
  <c r="F263" i="8"/>
  <c r="F264" i="8"/>
  <c r="F265" i="8"/>
  <c r="F266" i="8"/>
  <c r="F267" i="8"/>
  <c r="F268" i="8"/>
  <c r="F269" i="8"/>
  <c r="F270" i="8"/>
  <c r="F271" i="8"/>
  <c r="F272" i="8"/>
  <c r="F273" i="8"/>
  <c r="F274" i="8"/>
  <c r="F275" i="8"/>
  <c r="F276" i="8"/>
  <c r="F277" i="8"/>
  <c r="F278" i="8"/>
  <c r="F279" i="8"/>
  <c r="F280" i="8"/>
  <c r="F281" i="8"/>
  <c r="F282" i="8"/>
  <c r="F283" i="8"/>
  <c r="F284" i="8"/>
  <c r="F285" i="8"/>
  <c r="F286" i="8"/>
  <c r="F287" i="8"/>
  <c r="F288" i="8"/>
  <c r="F289" i="8"/>
  <c r="F290" i="8"/>
  <c r="F291" i="8"/>
  <c r="F292" i="8"/>
  <c r="F293" i="8"/>
  <c r="F294" i="8"/>
  <c r="F295" i="8"/>
  <c r="F296" i="8"/>
  <c r="F297" i="8"/>
  <c r="F298" i="8"/>
  <c r="F299" i="8"/>
  <c r="F300" i="8"/>
  <c r="F301" i="8"/>
  <c r="F302" i="8"/>
  <c r="F303" i="8"/>
  <c r="F304" i="8"/>
  <c r="F305" i="8"/>
  <c r="F306" i="8"/>
  <c r="F307" i="8"/>
  <c r="F308" i="8"/>
  <c r="F309" i="8"/>
  <c r="F310" i="8"/>
  <c r="F311" i="8"/>
  <c r="F312" i="8"/>
  <c r="F313" i="8"/>
  <c r="F314" i="8"/>
  <c r="F315" i="8"/>
  <c r="F316" i="8"/>
  <c r="F317" i="8"/>
  <c r="F318" i="8"/>
  <c r="F319" i="8"/>
  <c r="F320" i="8"/>
  <c r="F321" i="8"/>
  <c r="F322" i="8"/>
  <c r="F323" i="8"/>
  <c r="F324" i="8"/>
  <c r="F325" i="8"/>
  <c r="F326" i="8"/>
  <c r="F327" i="8"/>
  <c r="F328" i="8"/>
  <c r="F329" i="8"/>
  <c r="F330" i="8"/>
  <c r="F331" i="8"/>
  <c r="F332" i="8"/>
  <c r="F333" i="8"/>
  <c r="F334" i="8"/>
  <c r="F335" i="8"/>
  <c r="F336" i="8"/>
  <c r="F337" i="8"/>
  <c r="F338" i="8"/>
  <c r="F339" i="8"/>
  <c r="F340" i="8"/>
  <c r="F341" i="8"/>
  <c r="F342" i="8"/>
  <c r="F343" i="8"/>
  <c r="F344" i="8"/>
  <c r="F345" i="8"/>
  <c r="F346" i="8"/>
  <c r="F347" i="8"/>
  <c r="F348" i="8"/>
  <c r="F349" i="8"/>
  <c r="F350" i="8"/>
  <c r="F351" i="8"/>
  <c r="F352" i="8"/>
  <c r="F353" i="8"/>
  <c r="F354" i="8"/>
  <c r="F355" i="8"/>
  <c r="F356" i="8"/>
  <c r="F357" i="8"/>
  <c r="F358" i="8"/>
  <c r="F359" i="8"/>
  <c r="F360" i="8"/>
  <c r="F361" i="8"/>
  <c r="F362" i="8"/>
  <c r="F363" i="8"/>
  <c r="F364" i="8"/>
  <c r="F365" i="8"/>
  <c r="F366" i="8"/>
  <c r="F367" i="8"/>
  <c r="F368" i="8"/>
  <c r="F369" i="8"/>
  <c r="F370" i="8"/>
  <c r="F371" i="8"/>
  <c r="F372" i="8"/>
  <c r="F373" i="8"/>
  <c r="F374" i="8"/>
  <c r="F375" i="8"/>
  <c r="F376" i="8"/>
  <c r="F377" i="8"/>
  <c r="F378" i="8"/>
  <c r="F379" i="8"/>
  <c r="F380" i="8"/>
  <c r="F381" i="8"/>
  <c r="F2" i="8"/>
  <c r="E3" i="8"/>
  <c r="E4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3" i="8"/>
  <c r="E134" i="8"/>
  <c r="E135" i="8"/>
  <c r="E136" i="8"/>
  <c r="E137" i="8"/>
  <c r="E138" i="8"/>
  <c r="E139" i="8"/>
  <c r="E140" i="8"/>
  <c r="E141" i="8"/>
  <c r="E142" i="8"/>
  <c r="E143" i="8"/>
  <c r="E145" i="8"/>
  <c r="E146" i="8"/>
  <c r="E148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1" i="8"/>
  <c r="E223" i="8"/>
  <c r="E224" i="8"/>
  <c r="E225" i="8"/>
  <c r="E226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2" i="8"/>
  <c r="C2" i="7"/>
  <c r="B2" i="7"/>
  <c r="A2" i="7"/>
</calcChain>
</file>

<file path=xl/sharedStrings.xml><?xml version="1.0" encoding="utf-8"?>
<sst xmlns="http://schemas.openxmlformats.org/spreadsheetml/2006/main" count="11067" uniqueCount="781">
  <si>
    <t>Arkusz</t>
  </si>
  <si>
    <t>Źródło danych</t>
  </si>
  <si>
    <t>Zasoby mieszkaniowe</t>
  </si>
  <si>
    <t>GUS - https://stat.gov.pl/</t>
  </si>
  <si>
    <t>Mieszkania oddane do użytkowania</t>
  </si>
  <si>
    <t xml:space="preserve">Remonty mieszkań </t>
  </si>
  <si>
    <t>Rynkowa sprzedaż lokali mieszkalnych</t>
  </si>
  <si>
    <t xml:space="preserve">Kwota wypłaconych dodatków mieszkaniowych użytkownikom lokali </t>
  </si>
  <si>
    <t>Kod</t>
  </si>
  <si>
    <t>Zasoby mieszkaniowe (szt.)</t>
  </si>
  <si>
    <t>0201000</t>
  </si>
  <si>
    <t>Powiat bolesławiecki</t>
  </si>
  <si>
    <t>0202000</t>
  </si>
  <si>
    <t>Powiat dzierżoniowski</t>
  </si>
  <si>
    <t>0203000</t>
  </si>
  <si>
    <t>Powiat głogowski</t>
  </si>
  <si>
    <t>0204000</t>
  </si>
  <si>
    <t>Powiat górowski</t>
  </si>
  <si>
    <t>0205000</t>
  </si>
  <si>
    <t>Powiat jaworski</t>
  </si>
  <si>
    <t>0206000</t>
  </si>
  <si>
    <t>Powiat karkonoski</t>
  </si>
  <si>
    <t>0207000</t>
  </si>
  <si>
    <t>Powiat kamiennogórski</t>
  </si>
  <si>
    <t>0208000</t>
  </si>
  <si>
    <t>Powiat kłodzki</t>
  </si>
  <si>
    <t>0209000</t>
  </si>
  <si>
    <t>Powiat legnicki</t>
  </si>
  <si>
    <t>0210000</t>
  </si>
  <si>
    <t>Powiat lubański</t>
  </si>
  <si>
    <t>0211000</t>
  </si>
  <si>
    <t>Powiat lubiński</t>
  </si>
  <si>
    <t>0212000</t>
  </si>
  <si>
    <t>Powiat lwówecki</t>
  </si>
  <si>
    <t>0213000</t>
  </si>
  <si>
    <t>Powiat milicki</t>
  </si>
  <si>
    <t>0214000</t>
  </si>
  <si>
    <t>Powiat oleśnicki</t>
  </si>
  <si>
    <t>0215000</t>
  </si>
  <si>
    <t>Powiat oławski</t>
  </si>
  <si>
    <t>0216000</t>
  </si>
  <si>
    <t>Powiat polkowicki</t>
  </si>
  <si>
    <t>0217000</t>
  </si>
  <si>
    <t>Powiat strzeliński</t>
  </si>
  <si>
    <t>0218000</t>
  </si>
  <si>
    <t>Powiat średzki</t>
  </si>
  <si>
    <t>0219000</t>
  </si>
  <si>
    <t>Powiat świdnicki</t>
  </si>
  <si>
    <t>0220000</t>
  </si>
  <si>
    <t>Powiat trzebnicki</t>
  </si>
  <si>
    <t>0221000</t>
  </si>
  <si>
    <t>Powiat wałbrzyski</t>
  </si>
  <si>
    <t>0222000</t>
  </si>
  <si>
    <t>Powiat wołowski</t>
  </si>
  <si>
    <t>0223000</t>
  </si>
  <si>
    <t>Powiat wrocławski</t>
  </si>
  <si>
    <t>0224000</t>
  </si>
  <si>
    <t>Powiat ząbkowicki</t>
  </si>
  <si>
    <t>0225000</t>
  </si>
  <si>
    <t>Powiat zgorzelecki</t>
  </si>
  <si>
    <t>0226000</t>
  </si>
  <si>
    <t>Powiat złotoryjski</t>
  </si>
  <si>
    <t>0261000</t>
  </si>
  <si>
    <t>Powiat m. Jelenia Góra</t>
  </si>
  <si>
    <t>0262000</t>
  </si>
  <si>
    <t>Powiat m. Legnica</t>
  </si>
  <si>
    <t>0264000</t>
  </si>
  <si>
    <t>Powiat m. Wrocław</t>
  </si>
  <si>
    <t>0265000</t>
  </si>
  <si>
    <t>Powiat m. Wałbrzych od 2013</t>
  </si>
  <si>
    <t>-</t>
  </si>
  <si>
    <t>0401000</t>
  </si>
  <si>
    <t>Powiat aleksandrowski</t>
  </si>
  <si>
    <t>0402000</t>
  </si>
  <si>
    <t>Powiat brodnicki</t>
  </si>
  <si>
    <t>0403000</t>
  </si>
  <si>
    <t>Powiat bydgoski</t>
  </si>
  <si>
    <t>0404000</t>
  </si>
  <si>
    <t>Powiat chełmiński</t>
  </si>
  <si>
    <t>0405000</t>
  </si>
  <si>
    <t>Powiat golubsko-dobrzyński</t>
  </si>
  <si>
    <t>0406000</t>
  </si>
  <si>
    <t>Powiat grudziądzki</t>
  </si>
  <si>
    <t>0407000</t>
  </si>
  <si>
    <t>Powiat inowrocławski</t>
  </si>
  <si>
    <t>0408000</t>
  </si>
  <si>
    <t>Powiat lipnowski</t>
  </si>
  <si>
    <t>0409000</t>
  </si>
  <si>
    <t>Powiat mogileński</t>
  </si>
  <si>
    <t>0410000</t>
  </si>
  <si>
    <t>Powiat nakielski</t>
  </si>
  <si>
    <t>0411000</t>
  </si>
  <si>
    <t>Powiat radziejowski</t>
  </si>
  <si>
    <t>0412000</t>
  </si>
  <si>
    <t>Powiat rypiński</t>
  </si>
  <si>
    <t>0413000</t>
  </si>
  <si>
    <t>Powiat sępoleński</t>
  </si>
  <si>
    <t>0414000</t>
  </si>
  <si>
    <t>Powiat świecki</t>
  </si>
  <si>
    <t>0415000</t>
  </si>
  <si>
    <t>Powiat toruński</t>
  </si>
  <si>
    <t>0416000</t>
  </si>
  <si>
    <t>Powiat tucholski</t>
  </si>
  <si>
    <t>0417000</t>
  </si>
  <si>
    <t>Powiat wąbrzeski</t>
  </si>
  <si>
    <t>0418000</t>
  </si>
  <si>
    <t>Powiat włocławski</t>
  </si>
  <si>
    <t>0419000</t>
  </si>
  <si>
    <t>Powiat żniński</t>
  </si>
  <si>
    <t>0461000</t>
  </si>
  <si>
    <t>Powiat m. Bydgoszcz</t>
  </si>
  <si>
    <t>0462000</t>
  </si>
  <si>
    <t>Powiat m. Grudziądz</t>
  </si>
  <si>
    <t>0463000</t>
  </si>
  <si>
    <t>Powiat m. Toruń</t>
  </si>
  <si>
    <t>0464000</t>
  </si>
  <si>
    <t>Powiat m. Włocławek</t>
  </si>
  <si>
    <t>0601000</t>
  </si>
  <si>
    <t>Powiat bialski</t>
  </si>
  <si>
    <t>0602000</t>
  </si>
  <si>
    <t>Powiat biłgorajski</t>
  </si>
  <si>
    <t>0603000</t>
  </si>
  <si>
    <t>Powiat chełmski</t>
  </si>
  <si>
    <t>0604000</t>
  </si>
  <si>
    <t>Powiat hrubieszowski</t>
  </si>
  <si>
    <t>0605000</t>
  </si>
  <si>
    <t>Powiat janowski</t>
  </si>
  <si>
    <t>0606000</t>
  </si>
  <si>
    <t>Powiat krasnostawski</t>
  </si>
  <si>
    <t>0607000</t>
  </si>
  <si>
    <t>Powiat kraśnicki</t>
  </si>
  <si>
    <t>0608000</t>
  </si>
  <si>
    <t>Powiat lubartowski</t>
  </si>
  <si>
    <t>0609000</t>
  </si>
  <si>
    <t>Powiat lubelski</t>
  </si>
  <si>
    <t>0610000</t>
  </si>
  <si>
    <t>Powiat łęczyński</t>
  </si>
  <si>
    <t>0611000</t>
  </si>
  <si>
    <t>Powiat łukowski</t>
  </si>
  <si>
    <t>0612000</t>
  </si>
  <si>
    <t>Powiat opolski</t>
  </si>
  <si>
    <t>0613000</t>
  </si>
  <si>
    <t>Powiat parczewski</t>
  </si>
  <si>
    <t>0614000</t>
  </si>
  <si>
    <t>Powiat puławski</t>
  </si>
  <si>
    <t>0615000</t>
  </si>
  <si>
    <t>Powiat radzyński</t>
  </si>
  <si>
    <t>0616000</t>
  </si>
  <si>
    <t>Powiat rycki</t>
  </si>
  <si>
    <t>0617000</t>
  </si>
  <si>
    <t>0618000</t>
  </si>
  <si>
    <t>Powiat tomaszowski</t>
  </si>
  <si>
    <t>0619000</t>
  </si>
  <si>
    <t>Powiat włodawski</t>
  </si>
  <si>
    <t>0620000</t>
  </si>
  <si>
    <t>Powiat zamojski</t>
  </si>
  <si>
    <t>0661000</t>
  </si>
  <si>
    <t>Powiat m. Biała Podlaska</t>
  </si>
  <si>
    <t>0662000</t>
  </si>
  <si>
    <t>Powiat m. Chełm</t>
  </si>
  <si>
    <t>0663000</t>
  </si>
  <si>
    <t>Powiat m. Lublin</t>
  </si>
  <si>
    <t>0664000</t>
  </si>
  <si>
    <t>Powiat m. Zamość</t>
  </si>
  <si>
    <t>0801000</t>
  </si>
  <si>
    <t>Powiat gorzowski</t>
  </si>
  <si>
    <t>0802000</t>
  </si>
  <si>
    <t>Powiat krośnieński</t>
  </si>
  <si>
    <t>0803000</t>
  </si>
  <si>
    <t>Powiat międzyrzecki</t>
  </si>
  <si>
    <t>0804000</t>
  </si>
  <si>
    <t>Powiat nowosolski</t>
  </si>
  <si>
    <t>0805000</t>
  </si>
  <si>
    <t>Powiat słubicki</t>
  </si>
  <si>
    <t>0806000</t>
  </si>
  <si>
    <t>Powiat strzelecko-drezdenecki</t>
  </si>
  <si>
    <t>0807000</t>
  </si>
  <si>
    <t>Powiat sulęciński</t>
  </si>
  <si>
    <t>0808000</t>
  </si>
  <si>
    <t>Powiat świebodziński</t>
  </si>
  <si>
    <t>0809000</t>
  </si>
  <si>
    <t>Powiat zielonogórski</t>
  </si>
  <si>
    <t>0810000</t>
  </si>
  <si>
    <t>Powiat żagański</t>
  </si>
  <si>
    <t>0811000</t>
  </si>
  <si>
    <t>Powiat żarski</t>
  </si>
  <si>
    <t>0812000</t>
  </si>
  <si>
    <t>Powiat wschowski</t>
  </si>
  <si>
    <t>0861000</t>
  </si>
  <si>
    <t>Powiat m. Gorzów Wielkopolski</t>
  </si>
  <si>
    <t>0862000</t>
  </si>
  <si>
    <t>Powiat m. Zielona Góra</t>
  </si>
  <si>
    <t>1001000</t>
  </si>
  <si>
    <t>Powiat bełchatowski</t>
  </si>
  <si>
    <t>1002000</t>
  </si>
  <si>
    <t>Powiat kutnowski</t>
  </si>
  <si>
    <t>1003000</t>
  </si>
  <si>
    <t>Powiat łaski</t>
  </si>
  <si>
    <t>1004000</t>
  </si>
  <si>
    <t>Powiat łęczycki</t>
  </si>
  <si>
    <t>1005000</t>
  </si>
  <si>
    <t>Powiat łowicki</t>
  </si>
  <si>
    <t>1006000</t>
  </si>
  <si>
    <t>Powiat łódzki wschodni</t>
  </si>
  <si>
    <t>1007000</t>
  </si>
  <si>
    <t>Powiat opoczyński</t>
  </si>
  <si>
    <t>1008000</t>
  </si>
  <si>
    <t>Powiat pabianicki</t>
  </si>
  <si>
    <t>1009000</t>
  </si>
  <si>
    <t>Powiat pajęczański</t>
  </si>
  <si>
    <t>1010000</t>
  </si>
  <si>
    <t>Powiat piotrkowski</t>
  </si>
  <si>
    <t>1011000</t>
  </si>
  <si>
    <t>Powiat poddębicki</t>
  </si>
  <si>
    <t>1012000</t>
  </si>
  <si>
    <t>Powiat radomszczański</t>
  </si>
  <si>
    <t>1013000</t>
  </si>
  <si>
    <t>Powiat rawski</t>
  </si>
  <si>
    <t>1014000</t>
  </si>
  <si>
    <t>Powiat sieradzki</t>
  </si>
  <si>
    <t>1015000</t>
  </si>
  <si>
    <t>Powiat skierniewicki</t>
  </si>
  <si>
    <t>1016000</t>
  </si>
  <si>
    <t>1017000</t>
  </si>
  <si>
    <t>Powiat wieluński</t>
  </si>
  <si>
    <t>1018000</t>
  </si>
  <si>
    <t>Powiat wieruszowski</t>
  </si>
  <si>
    <t>1019000</t>
  </si>
  <si>
    <t>Powiat zduńskowolski</t>
  </si>
  <si>
    <t>1020000</t>
  </si>
  <si>
    <t>Powiat zgierski</t>
  </si>
  <si>
    <t>1021000</t>
  </si>
  <si>
    <t>Powiat brzeziński</t>
  </si>
  <si>
    <t>1061000</t>
  </si>
  <si>
    <t>Powiat m. Łódź</t>
  </si>
  <si>
    <t>1062000</t>
  </si>
  <si>
    <t>Powiat m. Piotrków Trybunalski</t>
  </si>
  <si>
    <t>1063000</t>
  </si>
  <si>
    <t>Powiat m. Skierniewice</t>
  </si>
  <si>
    <t>1201000</t>
  </si>
  <si>
    <t>Powiat bocheński</t>
  </si>
  <si>
    <t>1202000</t>
  </si>
  <si>
    <t>Powiat brzeski</t>
  </si>
  <si>
    <t>1203000</t>
  </si>
  <si>
    <t>Powiat chrzanowski</t>
  </si>
  <si>
    <t>1204000</t>
  </si>
  <si>
    <t>Powiat dąbrowski</t>
  </si>
  <si>
    <t>1205000</t>
  </si>
  <si>
    <t>Powiat gorlicki</t>
  </si>
  <si>
    <t>1206000</t>
  </si>
  <si>
    <t>Powiat krakowski</t>
  </si>
  <si>
    <t>1207000</t>
  </si>
  <si>
    <t>Powiat limanowski</t>
  </si>
  <si>
    <t>1208000</t>
  </si>
  <si>
    <t>Powiat miechowski</t>
  </si>
  <si>
    <t>1209000</t>
  </si>
  <si>
    <t>Powiat myślenicki</t>
  </si>
  <si>
    <t>1210000</t>
  </si>
  <si>
    <t>Powiat nowosądecki</t>
  </si>
  <si>
    <t>1211000</t>
  </si>
  <si>
    <t>Powiat nowotarski</t>
  </si>
  <si>
    <t>1212000</t>
  </si>
  <si>
    <t>Powiat olkuski</t>
  </si>
  <si>
    <t>1213000</t>
  </si>
  <si>
    <t>Powiat oświęcimski</t>
  </si>
  <si>
    <t>1214000</t>
  </si>
  <si>
    <t>Powiat proszowicki</t>
  </si>
  <si>
    <t>1215000</t>
  </si>
  <si>
    <t>Powiat suski</t>
  </si>
  <si>
    <t>1216000</t>
  </si>
  <si>
    <t>Powiat tarnowski</t>
  </si>
  <si>
    <t>1217000</t>
  </si>
  <si>
    <t>Powiat tatrzański</t>
  </si>
  <si>
    <t>1218000</t>
  </si>
  <si>
    <t>Powiat wadowicki</t>
  </si>
  <si>
    <t>1219000</t>
  </si>
  <si>
    <t>Powiat wielicki</t>
  </si>
  <si>
    <t>1261000</t>
  </si>
  <si>
    <t>Powiat m. Kraków</t>
  </si>
  <si>
    <t>1262000</t>
  </si>
  <si>
    <t>Powiat m. Nowy Sącz</t>
  </si>
  <si>
    <t>1263000</t>
  </si>
  <si>
    <t>Powiat m. Tarnów</t>
  </si>
  <si>
    <t>1401000</t>
  </si>
  <si>
    <t>Powiat białobrzeski</t>
  </si>
  <si>
    <t>1402000</t>
  </si>
  <si>
    <t>Powiat ciechanowski</t>
  </si>
  <si>
    <t>1403000</t>
  </si>
  <si>
    <t>Powiat garwoliński</t>
  </si>
  <si>
    <t>1404000</t>
  </si>
  <si>
    <t>Powiat gostyniński</t>
  </si>
  <si>
    <t>1405000</t>
  </si>
  <si>
    <t>Powiat grodziski</t>
  </si>
  <si>
    <t>1406000</t>
  </si>
  <si>
    <t>Powiat grójecki</t>
  </si>
  <si>
    <t>1407000</t>
  </si>
  <si>
    <t>Powiat kozienicki</t>
  </si>
  <si>
    <t>1408000</t>
  </si>
  <si>
    <t>Powiat legionowski</t>
  </si>
  <si>
    <t>1409000</t>
  </si>
  <si>
    <t>Powiat lipski</t>
  </si>
  <si>
    <t>1410000</t>
  </si>
  <si>
    <t>Powiat łosicki</t>
  </si>
  <si>
    <t>1411000</t>
  </si>
  <si>
    <t>Powiat makowski</t>
  </si>
  <si>
    <t>1412000</t>
  </si>
  <si>
    <t>Powiat miński</t>
  </si>
  <si>
    <t>1413000</t>
  </si>
  <si>
    <t>Powiat mławski</t>
  </si>
  <si>
    <t>1414000</t>
  </si>
  <si>
    <t>Powiat nowodworski</t>
  </si>
  <si>
    <t>1415000</t>
  </si>
  <si>
    <t>Powiat ostrołęcki</t>
  </si>
  <si>
    <t>1416000</t>
  </si>
  <si>
    <t>Powiat ostrowski</t>
  </si>
  <si>
    <t>1417000</t>
  </si>
  <si>
    <t>Powiat otwocki</t>
  </si>
  <si>
    <t>1418000</t>
  </si>
  <si>
    <t>Powiat piaseczyński</t>
  </si>
  <si>
    <t>1419000</t>
  </si>
  <si>
    <t>Powiat płocki</t>
  </si>
  <si>
    <t>1420000</t>
  </si>
  <si>
    <t>Powiat płoński</t>
  </si>
  <si>
    <t>1421000</t>
  </si>
  <si>
    <t>Powiat pruszkowski</t>
  </si>
  <si>
    <t>1422000</t>
  </si>
  <si>
    <t>Powiat przasnyski</t>
  </si>
  <si>
    <t>1423000</t>
  </si>
  <si>
    <t>Powiat przysuski</t>
  </si>
  <si>
    <t>1424000</t>
  </si>
  <si>
    <t>Powiat pułtuski</t>
  </si>
  <si>
    <t>1425000</t>
  </si>
  <si>
    <t>Powiat radomski</t>
  </si>
  <si>
    <t>1426000</t>
  </si>
  <si>
    <t>Powiat siedlecki</t>
  </si>
  <si>
    <t>1427000</t>
  </si>
  <si>
    <t>Powiat sierpecki</t>
  </si>
  <si>
    <t>1428000</t>
  </si>
  <si>
    <t>Powiat sochaczewski</t>
  </si>
  <si>
    <t>1429000</t>
  </si>
  <si>
    <t>Powiat sokołowski</t>
  </si>
  <si>
    <t>1430000</t>
  </si>
  <si>
    <t>Powiat szydłowiecki</t>
  </si>
  <si>
    <t>1432000</t>
  </si>
  <si>
    <t>Powiat warszawski zachodni</t>
  </si>
  <si>
    <t>1433000</t>
  </si>
  <si>
    <t>Powiat węgrowski</t>
  </si>
  <si>
    <t>1434000</t>
  </si>
  <si>
    <t>Powiat wołomiński</t>
  </si>
  <si>
    <t>1435000</t>
  </si>
  <si>
    <t>Powiat wyszkowski</t>
  </si>
  <si>
    <t>1436000</t>
  </si>
  <si>
    <t>Powiat zwoleński</t>
  </si>
  <si>
    <t>1437000</t>
  </si>
  <si>
    <t>Powiat żuromiński</t>
  </si>
  <si>
    <t>1438000</t>
  </si>
  <si>
    <t>Powiat żyrardowski</t>
  </si>
  <si>
    <t>1461000</t>
  </si>
  <si>
    <t>Powiat m. Ostrołęka</t>
  </si>
  <si>
    <t>1462000</t>
  </si>
  <si>
    <t>Powiat m. Płock</t>
  </si>
  <si>
    <t>1463000</t>
  </si>
  <si>
    <t>Powiat m. Radom</t>
  </si>
  <si>
    <t>1464000</t>
  </si>
  <si>
    <t>Powiat m. Siedlce</t>
  </si>
  <si>
    <t>1465000</t>
  </si>
  <si>
    <t>Powiat m. st. Warszawa</t>
  </si>
  <si>
    <t>1601000</t>
  </si>
  <si>
    <t>1602000</t>
  </si>
  <si>
    <t>Powiat głubczycki</t>
  </si>
  <si>
    <t>1603000</t>
  </si>
  <si>
    <t>Powiat kędzierzyńsko-kozielski</t>
  </si>
  <si>
    <t>1604000</t>
  </si>
  <si>
    <t>Powiat kluczborski</t>
  </si>
  <si>
    <t>1605000</t>
  </si>
  <si>
    <t>Powiat krapkowicki</t>
  </si>
  <si>
    <t>1606000</t>
  </si>
  <si>
    <t>Powiat namysłowski</t>
  </si>
  <si>
    <t>1607000</t>
  </si>
  <si>
    <t>Powiat nyski</t>
  </si>
  <si>
    <t>1608000</t>
  </si>
  <si>
    <t>Powiat oleski</t>
  </si>
  <si>
    <t>1609000</t>
  </si>
  <si>
    <t>1610000</t>
  </si>
  <si>
    <t>Powiat prudnicki</t>
  </si>
  <si>
    <t>1611000</t>
  </si>
  <si>
    <t>Powiat strzelecki</t>
  </si>
  <si>
    <t>1661000</t>
  </si>
  <si>
    <t>Powiat m. Opole</t>
  </si>
  <si>
    <t>1801000</t>
  </si>
  <si>
    <t>Powiat bieszczadzki</t>
  </si>
  <si>
    <t>1802000</t>
  </si>
  <si>
    <t>Powiat brzozowski</t>
  </si>
  <si>
    <t>1803000</t>
  </si>
  <si>
    <t>Powiat dębicki</t>
  </si>
  <si>
    <t>1804000</t>
  </si>
  <si>
    <t>Powiat jarosławski</t>
  </si>
  <si>
    <t>1805000</t>
  </si>
  <si>
    <t>Powiat jasielski</t>
  </si>
  <si>
    <t>1806000</t>
  </si>
  <si>
    <t>Powiat kolbuszowski</t>
  </si>
  <si>
    <t>1807000</t>
  </si>
  <si>
    <t>1808000</t>
  </si>
  <si>
    <t>Powiat leżajski</t>
  </si>
  <si>
    <t>1809000</t>
  </si>
  <si>
    <t>Powiat lubaczowski</t>
  </si>
  <si>
    <t>1810000</t>
  </si>
  <si>
    <t>Powiat łańcucki</t>
  </si>
  <si>
    <t>1811000</t>
  </si>
  <si>
    <t>Powiat mielecki</t>
  </si>
  <si>
    <t>1812000</t>
  </si>
  <si>
    <t>Powiat niżański</t>
  </si>
  <si>
    <t>1813000</t>
  </si>
  <si>
    <t>Powiat przemyski</t>
  </si>
  <si>
    <t>1814000</t>
  </si>
  <si>
    <t>Powiat przeworski</t>
  </si>
  <si>
    <t>1815000</t>
  </si>
  <si>
    <t>Powiat ropczycko-sędziszowski</t>
  </si>
  <si>
    <t>1816000</t>
  </si>
  <si>
    <t>Powiat rzeszowski</t>
  </si>
  <si>
    <t>1817000</t>
  </si>
  <si>
    <t>Powiat sanocki</t>
  </si>
  <si>
    <t>1818000</t>
  </si>
  <si>
    <t>Powiat stalowowolski</t>
  </si>
  <si>
    <t>1819000</t>
  </si>
  <si>
    <t>Powiat strzyżowski</t>
  </si>
  <si>
    <t>1820000</t>
  </si>
  <si>
    <t>Powiat tarnobrzeski</t>
  </si>
  <si>
    <t>1821000</t>
  </si>
  <si>
    <t>Powiat leski</t>
  </si>
  <si>
    <t>1861000</t>
  </si>
  <si>
    <t>Powiat m. Krosno</t>
  </si>
  <si>
    <t>1862000</t>
  </si>
  <si>
    <t>Powiat m. Przemyśl</t>
  </si>
  <si>
    <t>1863000</t>
  </si>
  <si>
    <t>Powiat m. Rzeszów</t>
  </si>
  <si>
    <t>1864000</t>
  </si>
  <si>
    <t>Powiat m. Tarnobrzeg</t>
  </si>
  <si>
    <t>2001000</t>
  </si>
  <si>
    <t>Powiat augustowski</t>
  </si>
  <si>
    <t>2002000</t>
  </si>
  <si>
    <t>Powiat białostocki</t>
  </si>
  <si>
    <t>2003000</t>
  </si>
  <si>
    <t>Powiat bielski</t>
  </si>
  <si>
    <t>2004000</t>
  </si>
  <si>
    <t>Powiat grajewski</t>
  </si>
  <si>
    <t>2005000</t>
  </si>
  <si>
    <t>Powiat hajnowski</t>
  </si>
  <si>
    <t>2006000</t>
  </si>
  <si>
    <t>Powiat kolneński</t>
  </si>
  <si>
    <t>2007000</t>
  </si>
  <si>
    <t>Powiat łomżyński</t>
  </si>
  <si>
    <t>2008000</t>
  </si>
  <si>
    <t>Powiat moniecki</t>
  </si>
  <si>
    <t>2009000</t>
  </si>
  <si>
    <t>Powiat sejneński</t>
  </si>
  <si>
    <t>2010000</t>
  </si>
  <si>
    <t>Powiat siemiatycki</t>
  </si>
  <si>
    <t>2011000</t>
  </si>
  <si>
    <t>Powiat sokólski</t>
  </si>
  <si>
    <t>2012000</t>
  </si>
  <si>
    <t>Powiat suwalski</t>
  </si>
  <si>
    <t>2013000</t>
  </si>
  <si>
    <t>Powiat wysokomazowiecki</t>
  </si>
  <si>
    <t>2014000</t>
  </si>
  <si>
    <t>Powiat zambrowski</t>
  </si>
  <si>
    <t>2061000</t>
  </si>
  <si>
    <t>Powiat m. Białystok</t>
  </si>
  <si>
    <t>2062000</t>
  </si>
  <si>
    <t>Powiat m. Łomża</t>
  </si>
  <si>
    <t>2063000</t>
  </si>
  <si>
    <t>Powiat m. Suwałki</t>
  </si>
  <si>
    <t>2201000</t>
  </si>
  <si>
    <t>Powiat bytowski</t>
  </si>
  <si>
    <t>2202000</t>
  </si>
  <si>
    <t>Powiat chojnicki</t>
  </si>
  <si>
    <t>2203000</t>
  </si>
  <si>
    <t>Powiat człuchowski</t>
  </si>
  <si>
    <t>2204000</t>
  </si>
  <si>
    <t>Powiat gdański</t>
  </si>
  <si>
    <t>2205000</t>
  </si>
  <si>
    <t>Powiat kartuski</t>
  </si>
  <si>
    <t>2206000</t>
  </si>
  <si>
    <t>Powiat kościerski</t>
  </si>
  <si>
    <t>2207000</t>
  </si>
  <si>
    <t>Powiat kwidzyński</t>
  </si>
  <si>
    <t>2208000</t>
  </si>
  <si>
    <t>Powiat lęborski</t>
  </si>
  <si>
    <t>2209000</t>
  </si>
  <si>
    <t>Powiat malborski</t>
  </si>
  <si>
    <t>2210000</t>
  </si>
  <si>
    <t>2211000</t>
  </si>
  <si>
    <t>Powiat pucki</t>
  </si>
  <si>
    <t>2212000</t>
  </si>
  <si>
    <t>Powiat słupski</t>
  </si>
  <si>
    <t>2213000</t>
  </si>
  <si>
    <t>Powiat starogardzki</t>
  </si>
  <si>
    <t>2214000</t>
  </si>
  <si>
    <t>Powiat tczewski</t>
  </si>
  <si>
    <t>2215000</t>
  </si>
  <si>
    <t>Powiat wejherowski</t>
  </si>
  <si>
    <t>2216000</t>
  </si>
  <si>
    <t>Powiat sztumski</t>
  </si>
  <si>
    <t>2261000</t>
  </si>
  <si>
    <t>Powiat m. Gdańsk</t>
  </si>
  <si>
    <t>2262000</t>
  </si>
  <si>
    <t>Powiat m. Gdynia</t>
  </si>
  <si>
    <t>2263000</t>
  </si>
  <si>
    <t>Powiat m. Słupsk</t>
  </si>
  <si>
    <t>2264000</t>
  </si>
  <si>
    <t>Powiat m. Sopot</t>
  </si>
  <si>
    <t>2401000</t>
  </si>
  <si>
    <t>Powiat będziński</t>
  </si>
  <si>
    <t>2402000</t>
  </si>
  <si>
    <t>2403000</t>
  </si>
  <si>
    <t>Powiat cieszyński</t>
  </si>
  <si>
    <t>2404000</t>
  </si>
  <si>
    <t>Powiat częstochowski</t>
  </si>
  <si>
    <t>2405000</t>
  </si>
  <si>
    <t>Powiat gliwicki</t>
  </si>
  <si>
    <t>2406000</t>
  </si>
  <si>
    <t>Powiat kłobucki</t>
  </si>
  <si>
    <t>2407000</t>
  </si>
  <si>
    <t>Powiat lubliniecki</t>
  </si>
  <si>
    <t>2408000</t>
  </si>
  <si>
    <t>Powiat mikołowski</t>
  </si>
  <si>
    <t>2409000</t>
  </si>
  <si>
    <t>Powiat myszkowski</t>
  </si>
  <si>
    <t>2410000</t>
  </si>
  <si>
    <t>Powiat pszczyński</t>
  </si>
  <si>
    <t>2411000</t>
  </si>
  <si>
    <t>Powiat raciborski</t>
  </si>
  <si>
    <t>2412000</t>
  </si>
  <si>
    <t>Powiat rybnicki</t>
  </si>
  <si>
    <t>2413000</t>
  </si>
  <si>
    <t>Powiat tarnogórski</t>
  </si>
  <si>
    <t>2414000</t>
  </si>
  <si>
    <t>Powiat bieruńsko-lędziński</t>
  </si>
  <si>
    <t>2415000</t>
  </si>
  <si>
    <t>Powiat wodzisławski</t>
  </si>
  <si>
    <t>2416000</t>
  </si>
  <si>
    <t>Powiat zawierciański</t>
  </si>
  <si>
    <t>2417000</t>
  </si>
  <si>
    <t>Powiat żywiecki</t>
  </si>
  <si>
    <t>2461000</t>
  </si>
  <si>
    <t>Powiat m. Bielsko-Biała</t>
  </si>
  <si>
    <t>2462000</t>
  </si>
  <si>
    <t>Powiat m. Bytom</t>
  </si>
  <si>
    <t>2463000</t>
  </si>
  <si>
    <t>Powiat m. Chorzów</t>
  </si>
  <si>
    <t>2464000</t>
  </si>
  <si>
    <t>Powiat m. Częstochowa</t>
  </si>
  <si>
    <t>2465000</t>
  </si>
  <si>
    <t>Powiat m. Dąbrowa Górnicza</t>
  </si>
  <si>
    <t>2466000</t>
  </si>
  <si>
    <t>Powiat m. Gliwice</t>
  </si>
  <si>
    <t>2467000</t>
  </si>
  <si>
    <t>Powiat m. Jastrzębie-Zdrój</t>
  </si>
  <si>
    <t>2468000</t>
  </si>
  <si>
    <t>Powiat m. Jaworzno</t>
  </si>
  <si>
    <t>2469000</t>
  </si>
  <si>
    <t>Powiat m. Katowice</t>
  </si>
  <si>
    <t>2470000</t>
  </si>
  <si>
    <t>Powiat m. Mysłowice</t>
  </si>
  <si>
    <t>2471000</t>
  </si>
  <si>
    <t>Powiat m. Piekary Śląskie</t>
  </si>
  <si>
    <t>2472000</t>
  </si>
  <si>
    <t>Powiat m. Ruda Śląska</t>
  </si>
  <si>
    <t>2473000</t>
  </si>
  <si>
    <t>Powiat m. Rybnik</t>
  </si>
  <si>
    <t>2474000</t>
  </si>
  <si>
    <t>Powiat m. Siemianowice Śląskie</t>
  </si>
  <si>
    <t>2475000</t>
  </si>
  <si>
    <t>Powiat m. Sosnowiec</t>
  </si>
  <si>
    <t>2476000</t>
  </si>
  <si>
    <t>Powiat m. Świętochłowice</t>
  </si>
  <si>
    <t>2477000</t>
  </si>
  <si>
    <t>Powiat m. Tychy</t>
  </si>
  <si>
    <t>2478000</t>
  </si>
  <si>
    <t>Powiat m. Zabrze</t>
  </si>
  <si>
    <t>2479000</t>
  </si>
  <si>
    <t>Powiat m. Żory</t>
  </si>
  <si>
    <t>2601000</t>
  </si>
  <si>
    <t>Powiat buski</t>
  </si>
  <si>
    <t>2602000</t>
  </si>
  <si>
    <t>Powiat jędrzejowski</t>
  </si>
  <si>
    <t>2603000</t>
  </si>
  <si>
    <t>Powiat kazimierski</t>
  </si>
  <si>
    <t>2604000</t>
  </si>
  <si>
    <t>Powiat kielecki</t>
  </si>
  <si>
    <t>2605000</t>
  </si>
  <si>
    <t>Powiat konecki</t>
  </si>
  <si>
    <t>2606000</t>
  </si>
  <si>
    <t>Powiat opatowski</t>
  </si>
  <si>
    <t>2607000</t>
  </si>
  <si>
    <t>Powiat ostrowiecki</t>
  </si>
  <si>
    <t>2608000</t>
  </si>
  <si>
    <t>Powiat pińczowski</t>
  </si>
  <si>
    <t>2609000</t>
  </si>
  <si>
    <t>Powiat sandomierski</t>
  </si>
  <si>
    <t>2610000</t>
  </si>
  <si>
    <t>Powiat skarżyski</t>
  </si>
  <si>
    <t>2611000</t>
  </si>
  <si>
    <t>Powiat starachowicki</t>
  </si>
  <si>
    <t>2612000</t>
  </si>
  <si>
    <t>Powiat staszowski</t>
  </si>
  <si>
    <t>2613000</t>
  </si>
  <si>
    <t>Powiat włoszczowski</t>
  </si>
  <si>
    <t>2661000</t>
  </si>
  <si>
    <t>Powiat m. Kielce</t>
  </si>
  <si>
    <t>2801000</t>
  </si>
  <si>
    <t>Powiat bartoszycki</t>
  </si>
  <si>
    <t>2802000</t>
  </si>
  <si>
    <t>Powiat braniewski</t>
  </si>
  <si>
    <t>2803000</t>
  </si>
  <si>
    <t>Powiat działdowski</t>
  </si>
  <si>
    <t>2804000</t>
  </si>
  <si>
    <t>Powiat elbląski</t>
  </si>
  <si>
    <t>2805000</t>
  </si>
  <si>
    <t>Powiat ełcki</t>
  </si>
  <si>
    <t>2806000</t>
  </si>
  <si>
    <t>Powiat giżycki</t>
  </si>
  <si>
    <t>2807000</t>
  </si>
  <si>
    <t>Powiat iławski</t>
  </si>
  <si>
    <t>2808000</t>
  </si>
  <si>
    <t>Powiat kętrzyński</t>
  </si>
  <si>
    <t>2809000</t>
  </si>
  <si>
    <t>Powiat lidzbarski</t>
  </si>
  <si>
    <t>2810000</t>
  </si>
  <si>
    <t>Powiat mrągowski</t>
  </si>
  <si>
    <t>2811000</t>
  </si>
  <si>
    <t>Powiat nidzicki</t>
  </si>
  <si>
    <t>2812000</t>
  </si>
  <si>
    <t>Powiat nowomiejski</t>
  </si>
  <si>
    <t>2813000</t>
  </si>
  <si>
    <t>Powiat olecki</t>
  </si>
  <si>
    <t>2814000</t>
  </si>
  <si>
    <t>Powiat olsztyński</t>
  </si>
  <si>
    <t>2815000</t>
  </si>
  <si>
    <t>Powiat ostródzki</t>
  </si>
  <si>
    <t>2816000</t>
  </si>
  <si>
    <t>Powiat piski</t>
  </si>
  <si>
    <t>2817000</t>
  </si>
  <si>
    <t>Powiat szczycieński</t>
  </si>
  <si>
    <t>2818000</t>
  </si>
  <si>
    <t>Powiat gołdapski</t>
  </si>
  <si>
    <t>2819000</t>
  </si>
  <si>
    <t>Powiat węgorzewski</t>
  </si>
  <si>
    <t>2861000</t>
  </si>
  <si>
    <t>Powiat m. Elbląg</t>
  </si>
  <si>
    <t>2862000</t>
  </si>
  <si>
    <t>Powiat m. Olsztyn</t>
  </si>
  <si>
    <t>3001000</t>
  </si>
  <si>
    <t>Powiat chodzieski</t>
  </si>
  <si>
    <t>3002000</t>
  </si>
  <si>
    <t>Powiat czarnkowsko-trzcianecki</t>
  </si>
  <si>
    <t>3003000</t>
  </si>
  <si>
    <t>Powiat gnieźnieński</t>
  </si>
  <si>
    <t>3004000</t>
  </si>
  <si>
    <t>Powiat gostyński</t>
  </si>
  <si>
    <t>3005000</t>
  </si>
  <si>
    <t>3006000</t>
  </si>
  <si>
    <t>Powiat jarociński</t>
  </si>
  <si>
    <t>3007000</t>
  </si>
  <si>
    <t>Powiat kaliski</t>
  </si>
  <si>
    <t>3008000</t>
  </si>
  <si>
    <t>Powiat kępiński</t>
  </si>
  <si>
    <t>3009000</t>
  </si>
  <si>
    <t>Powiat kolski</t>
  </si>
  <si>
    <t>3010000</t>
  </si>
  <si>
    <t>Powiat koniński</t>
  </si>
  <si>
    <t>3011000</t>
  </si>
  <si>
    <t>Powiat kościański</t>
  </si>
  <si>
    <t>3012000</t>
  </si>
  <si>
    <t>Powiat krotoszyński</t>
  </si>
  <si>
    <t>3013000</t>
  </si>
  <si>
    <t>Powiat leszczyński</t>
  </si>
  <si>
    <t>3014000</t>
  </si>
  <si>
    <t>Powiat międzychodzki</t>
  </si>
  <si>
    <t>3015000</t>
  </si>
  <si>
    <t>Powiat nowotomyski</t>
  </si>
  <si>
    <t>3016000</t>
  </si>
  <si>
    <t>Powiat obornicki</t>
  </si>
  <si>
    <t>3017000</t>
  </si>
  <si>
    <t>3018000</t>
  </si>
  <si>
    <t>Powiat ostrzeszowski</t>
  </si>
  <si>
    <t>3019000</t>
  </si>
  <si>
    <t>Powiat pilski</t>
  </si>
  <si>
    <t>3020000</t>
  </si>
  <si>
    <t>Powiat pleszewski</t>
  </si>
  <si>
    <t>3021000</t>
  </si>
  <si>
    <t>Powiat poznański</t>
  </si>
  <si>
    <t>3022000</t>
  </si>
  <si>
    <t>Powiat rawicki</t>
  </si>
  <si>
    <t>3023000</t>
  </si>
  <si>
    <t>Powiat słupecki</t>
  </si>
  <si>
    <t>3024000</t>
  </si>
  <si>
    <t>Powiat szamotulski</t>
  </si>
  <si>
    <t>3025000</t>
  </si>
  <si>
    <t>3026000</t>
  </si>
  <si>
    <t>Powiat śremski</t>
  </si>
  <si>
    <t>3027000</t>
  </si>
  <si>
    <t>Powiat turecki</t>
  </si>
  <si>
    <t>3028000</t>
  </si>
  <si>
    <t>Powiat wągrowiecki</t>
  </si>
  <si>
    <t>3029000</t>
  </si>
  <si>
    <t>Powiat wolsztyński</t>
  </si>
  <si>
    <t>3030000</t>
  </si>
  <si>
    <t>Powiat wrzesiński</t>
  </si>
  <si>
    <t>3031000</t>
  </si>
  <si>
    <t>Powiat złotowski</t>
  </si>
  <si>
    <t>3061000</t>
  </si>
  <si>
    <t>Powiat m. Kalisz</t>
  </si>
  <si>
    <t>3062000</t>
  </si>
  <si>
    <t>Powiat m. Konin</t>
  </si>
  <si>
    <t>3063000</t>
  </si>
  <si>
    <t>Powiat m. Leszno</t>
  </si>
  <si>
    <t>3064000</t>
  </si>
  <si>
    <t>Powiat m. Poznań</t>
  </si>
  <si>
    <t>3201000</t>
  </si>
  <si>
    <t>Powiat białogardzki</t>
  </si>
  <si>
    <t>3202000</t>
  </si>
  <si>
    <t>Powiat choszczeński</t>
  </si>
  <si>
    <t>3203000</t>
  </si>
  <si>
    <t>Powiat drawski</t>
  </si>
  <si>
    <t>3204000</t>
  </si>
  <si>
    <t>Powiat goleniowski</t>
  </si>
  <si>
    <t>3205000</t>
  </si>
  <si>
    <t>Powiat gryficki</t>
  </si>
  <si>
    <t>3206000</t>
  </si>
  <si>
    <t>Powiat gryfiński</t>
  </si>
  <si>
    <t>3207000</t>
  </si>
  <si>
    <t>Powiat kamieński</t>
  </si>
  <si>
    <t>3208000</t>
  </si>
  <si>
    <t>Powiat kołobrzeski</t>
  </si>
  <si>
    <t>3209000</t>
  </si>
  <si>
    <t>Powiat koszaliński</t>
  </si>
  <si>
    <t>3210000</t>
  </si>
  <si>
    <t>Powiat myśliborski</t>
  </si>
  <si>
    <t>3211000</t>
  </si>
  <si>
    <t>Powiat policki</t>
  </si>
  <si>
    <t>3212000</t>
  </si>
  <si>
    <t>Powiat pyrzycki</t>
  </si>
  <si>
    <t>3213000</t>
  </si>
  <si>
    <t>Powiat sławieński</t>
  </si>
  <si>
    <t>3214000</t>
  </si>
  <si>
    <t>Powiat stargardzki</t>
  </si>
  <si>
    <t>3215000</t>
  </si>
  <si>
    <t>Powiat szczecinecki</t>
  </si>
  <si>
    <t>3216000</t>
  </si>
  <si>
    <t>Powiat świdwiński</t>
  </si>
  <si>
    <t>3217000</t>
  </si>
  <si>
    <t>Powiat wałecki</t>
  </si>
  <si>
    <t>3218000</t>
  </si>
  <si>
    <t>Powiat łobeski</t>
  </si>
  <si>
    <t>3261000</t>
  </si>
  <si>
    <t>Powiat m. Koszalin</t>
  </si>
  <si>
    <t>3262000</t>
  </si>
  <si>
    <t>Powiat m. Szczecin</t>
  </si>
  <si>
    <t>3263000</t>
  </si>
  <si>
    <t>Powiat m. Świnoujście</t>
  </si>
  <si>
    <t>Mieszkania oddane do użytkowania (szt.)</t>
  </si>
  <si>
    <t>Rynkowa sprzedaż lokali mieszkalnych (szt.)</t>
  </si>
  <si>
    <t>Powiat</t>
  </si>
  <si>
    <t>Rok</t>
  </si>
  <si>
    <t>Kwota wypłaconych dodatków 
mieszkaniowych użytkownikom lokali (zł)</t>
  </si>
  <si>
    <t>Suma mieszkań oddannych do użytkowania 2013 - 2023.</t>
  </si>
  <si>
    <t>Różnica zasobów mieszkaniowych pomiędzy rokiem 2013, a 2023.</t>
  </si>
  <si>
    <t>Indeks dynamiki 
zasobów mieszkaniowych 
(szt.) (2013/2023)</t>
  </si>
  <si>
    <t>Indeks dynamiki 
mieszkań oddanych do użytkowania 
(szt.) (2013/2023)</t>
  </si>
  <si>
    <t>Indeks dynamiki 
rynkowej sprzedaży lokali mieszkalnych 
(szt.) (2013/2023)</t>
  </si>
  <si>
    <t>Indeks dynamiki 
kwoty wypłaconych dodatków 
mieszkaniowych użytkownikom lokali 
(szt.) (2013/2023)</t>
  </si>
  <si>
    <t>Opis</t>
  </si>
  <si>
    <t>Zasoby mieszkaniowe ogółem w miastach i na wsi.</t>
  </si>
  <si>
    <t>Mieszkania oddane do użytkowania ogółem.</t>
  </si>
  <si>
    <t>Remonty mieszkań komunalnych (związane z podwyższeniem standardu mieszkania) -  (wodociąg, kanalizacja, centralne ogrzewanie, ciepła woda, gaz sieciowy, zasoby, do których doprowadzono nowe instalacje, ocieplenie budynków)</t>
  </si>
  <si>
    <t>Średnia ilość remontów mieszkań komunalnych (2013 - 2022)</t>
  </si>
  <si>
    <t>Remonty mieszkań komunalnych (wodociąg, kanalizacja, 
centralne ogrzewanie, ciepła woda, gaz sieciowy, 
zasoby, do których doprowadzono nowe instalacje, 
ocieplenie budynków) [szt.].</t>
  </si>
  <si>
    <t>Liczba lokali mieszkalnych sprzedanych w ramach transakcji rynkowych.</t>
  </si>
  <si>
    <t>Liczba i kwoty wypłaconych dodatków mieszkaniowych użytkownikom lokali.</t>
  </si>
  <si>
    <t>Suma remontów mieszkań komunalnych
2013 - 2022.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</si>
</sst>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38"/>
      <scheme val="minor"/>
    </font>
    <font>
      <sz val="11"/>
      <color rgb="FF000000"/>
      <name val="Calibri"/>
    </font>
    <font>
      <b/>
      <sz val="11"/>
      <color theme="1"/>
      <name val="Calibri"/>
      <family val="2"/>
      <charset val="238"/>
      <scheme val="minor"/>
    </font>
    <font>
      <b/>
      <sz val="11"/>
      <color rgb="FF000000"/>
      <name val="Calibri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>
      <alignment horizontal="left" vertical="center" wrapText="1"/>
    </xf>
  </cellStyleXfs>
  <cellXfs count="27">
    <xf numFmtId="0" fontId="0" fillId="0" borderId="0" xfId="0"/>
    <xf numFmtId="0" fontId="0" fillId="0" borderId="2" xfId="0" applyBorder="1"/>
    <xf numFmtId="0" fontId="0" fillId="0" borderId="3" xfId="0" applyBorder="1"/>
    <xf numFmtId="0" fontId="2" fillId="3" borderId="4" xfId="0" applyFont="1" applyFill="1" applyBorder="1"/>
    <xf numFmtId="0" fontId="2" fillId="3" borderId="6" xfId="0" applyFont="1" applyFill="1" applyBorder="1"/>
    <xf numFmtId="0" fontId="0" fillId="0" borderId="7" xfId="0" applyBorder="1"/>
    <xf numFmtId="0" fontId="0" fillId="0" borderId="8" xfId="0" applyBorder="1"/>
    <xf numFmtId="3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3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3" borderId="4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3" fillId="3" borderId="4" xfId="1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 wrapText="1"/>
    </xf>
    <xf numFmtId="10" fontId="0" fillId="0" borderId="2" xfId="0" applyNumberFormat="1" applyBorder="1"/>
    <xf numFmtId="1" fontId="0" fillId="0" borderId="2" xfId="0" applyNumberFormat="1" applyBorder="1"/>
    <xf numFmtId="10" fontId="0" fillId="0" borderId="3" xfId="0" applyNumberFormat="1" applyBorder="1"/>
    <xf numFmtId="1" fontId="0" fillId="0" borderId="3" xfId="0" applyNumberFormat="1" applyBorder="1"/>
    <xf numFmtId="0" fontId="2" fillId="3" borderId="6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2" fillId="3" borderId="5" xfId="0" applyFont="1" applyFill="1" applyBorder="1"/>
  </cellXfs>
  <cellStyles count="2">
    <cellStyle name="Kolumna" xfId="1" xr:uid="{9306C2AE-AE52-4108-A9F6-D542A380F195}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FBFC4-AC4D-4733-BAD0-66DDA4BB1367}">
  <dimension ref="A1:C6"/>
  <sheetViews>
    <sheetView tabSelected="1" workbookViewId="0"/>
  </sheetViews>
  <sheetFormatPr defaultRowHeight="14.4" x14ac:dyDescent="0.3"/>
  <cols>
    <col min="1" max="1" width="63.44140625" bestFit="1" customWidth="1"/>
    <col min="2" max="2" width="23.5546875" bestFit="1" customWidth="1"/>
    <col min="3" max="3" width="76.33203125" customWidth="1"/>
  </cols>
  <sheetData>
    <row r="1" spans="1:3" ht="15" thickBot="1" x14ac:dyDescent="0.35">
      <c r="A1" s="3" t="s">
        <v>0</v>
      </c>
      <c r="B1" s="26" t="s">
        <v>1</v>
      </c>
      <c r="C1" s="4" t="s">
        <v>772</v>
      </c>
    </row>
    <row r="2" spans="1:3" x14ac:dyDescent="0.3">
      <c r="A2" s="23" t="s">
        <v>2</v>
      </c>
      <c r="B2" s="23" t="s">
        <v>3</v>
      </c>
      <c r="C2" s="23" t="s">
        <v>773</v>
      </c>
    </row>
    <row r="3" spans="1:3" x14ac:dyDescent="0.3">
      <c r="A3" s="24" t="s">
        <v>4</v>
      </c>
      <c r="B3" s="24" t="s">
        <v>3</v>
      </c>
      <c r="C3" s="24" t="s">
        <v>774</v>
      </c>
    </row>
    <row r="4" spans="1:3" ht="43.2" x14ac:dyDescent="0.3">
      <c r="A4" s="24" t="s">
        <v>5</v>
      </c>
      <c r="B4" s="24" t="s">
        <v>3</v>
      </c>
      <c r="C4" s="25" t="s">
        <v>775</v>
      </c>
    </row>
    <row r="5" spans="1:3" x14ac:dyDescent="0.3">
      <c r="A5" s="24" t="s">
        <v>6</v>
      </c>
      <c r="B5" s="24" t="s">
        <v>3</v>
      </c>
      <c r="C5" s="24" t="s">
        <v>778</v>
      </c>
    </row>
    <row r="6" spans="1:3" x14ac:dyDescent="0.3">
      <c r="A6" s="24" t="s">
        <v>7</v>
      </c>
      <c r="B6" s="24" t="s">
        <v>3</v>
      </c>
      <c r="C6" s="24" t="s">
        <v>779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5B22F-A4F2-46AD-96E1-C8A3BF6E8640}">
  <dimension ref="A1:H4181"/>
  <sheetViews>
    <sheetView zoomScale="85" zoomScaleNormal="85" workbookViewId="0"/>
  </sheetViews>
  <sheetFormatPr defaultRowHeight="14.4" x14ac:dyDescent="0.3"/>
  <cols>
    <col min="2" max="2" width="30" bestFit="1" customWidth="1"/>
    <col min="4" max="4" width="24.109375" bestFit="1" customWidth="1"/>
    <col min="5" max="5" width="36.21875" bestFit="1" customWidth="1"/>
    <col min="6" max="6" width="38.33203125" bestFit="1" customWidth="1"/>
    <col min="7" max="7" width="36.33203125" bestFit="1" customWidth="1"/>
    <col min="8" max="8" width="45" bestFit="1" customWidth="1"/>
    <col min="27" max="27" width="11.33203125" bestFit="1" customWidth="1"/>
  </cols>
  <sheetData>
    <row r="1" spans="1:8" ht="88.2" customHeight="1" thickBot="1" x14ac:dyDescent="0.35">
      <c r="A1" s="15" t="s">
        <v>8</v>
      </c>
      <c r="B1" s="16" t="s">
        <v>763</v>
      </c>
      <c r="C1" s="16" t="s">
        <v>764</v>
      </c>
      <c r="D1" s="16" t="s">
        <v>9</v>
      </c>
      <c r="E1" s="16" t="s">
        <v>761</v>
      </c>
      <c r="F1" s="16" t="s">
        <v>762</v>
      </c>
      <c r="G1" s="17" t="s">
        <v>765</v>
      </c>
      <c r="H1" s="22" t="s">
        <v>777</v>
      </c>
    </row>
    <row r="2" spans="1:8" x14ac:dyDescent="0.3">
      <c r="A2" s="2" t="s">
        <v>10</v>
      </c>
      <c r="B2" s="2" t="s">
        <v>11</v>
      </c>
      <c r="C2" s="2">
        <v>2013</v>
      </c>
      <c r="D2" s="2">
        <v>30511</v>
      </c>
      <c r="E2" s="2">
        <v>372</v>
      </c>
      <c r="F2" s="2">
        <v>229</v>
      </c>
      <c r="G2" s="2">
        <v>2052998</v>
      </c>
      <c r="H2" s="2">
        <v>8</v>
      </c>
    </row>
    <row r="3" spans="1:8" x14ac:dyDescent="0.3">
      <c r="A3" s="1" t="s">
        <v>12</v>
      </c>
      <c r="B3" s="1" t="s">
        <v>13</v>
      </c>
      <c r="C3" s="1">
        <v>2013</v>
      </c>
      <c r="D3" s="1">
        <v>39373</v>
      </c>
      <c r="E3" s="1">
        <v>173</v>
      </c>
      <c r="F3" s="1">
        <v>270</v>
      </c>
      <c r="G3" s="1">
        <v>3221117</v>
      </c>
      <c r="H3" s="1">
        <v>40</v>
      </c>
    </row>
    <row r="4" spans="1:8" x14ac:dyDescent="0.3">
      <c r="A4" s="1" t="s">
        <v>14</v>
      </c>
      <c r="B4" s="1" t="s">
        <v>15</v>
      </c>
      <c r="C4" s="1">
        <v>2013</v>
      </c>
      <c r="D4" s="1">
        <v>31735</v>
      </c>
      <c r="E4" s="1">
        <v>413</v>
      </c>
      <c r="F4" s="1">
        <v>456</v>
      </c>
      <c r="G4" s="1">
        <v>2569925</v>
      </c>
      <c r="H4" s="1">
        <v>32</v>
      </c>
    </row>
    <row r="5" spans="1:8" x14ac:dyDescent="0.3">
      <c r="A5" s="1" t="s">
        <v>16</v>
      </c>
      <c r="B5" s="1" t="s">
        <v>17</v>
      </c>
      <c r="C5" s="1">
        <v>2013</v>
      </c>
      <c r="D5" s="1">
        <v>11705</v>
      </c>
      <c r="E5" s="1">
        <v>64</v>
      </c>
      <c r="F5" s="1">
        <v>0</v>
      </c>
      <c r="G5" s="1">
        <v>1084191</v>
      </c>
      <c r="H5" s="1">
        <v>0</v>
      </c>
    </row>
    <row r="6" spans="1:8" x14ac:dyDescent="0.3">
      <c r="A6" s="1" t="s">
        <v>18</v>
      </c>
      <c r="B6" s="1" t="s">
        <v>19</v>
      </c>
      <c r="C6" s="1">
        <v>2013</v>
      </c>
      <c r="D6" s="1">
        <v>17690</v>
      </c>
      <c r="E6" s="1">
        <v>113</v>
      </c>
      <c r="F6" s="1">
        <v>85</v>
      </c>
      <c r="G6" s="1">
        <v>1280681</v>
      </c>
      <c r="H6" s="1">
        <v>4</v>
      </c>
    </row>
    <row r="7" spans="1:8" x14ac:dyDescent="0.3">
      <c r="A7" s="1" t="s">
        <v>20</v>
      </c>
      <c r="B7" s="1" t="s">
        <v>21</v>
      </c>
      <c r="C7" s="1">
        <v>2013</v>
      </c>
      <c r="D7" s="1">
        <v>23955</v>
      </c>
      <c r="E7" s="1">
        <v>281</v>
      </c>
      <c r="F7" s="1">
        <v>216</v>
      </c>
      <c r="G7" s="1">
        <v>1419745</v>
      </c>
      <c r="H7" s="1">
        <v>13</v>
      </c>
    </row>
    <row r="8" spans="1:8" x14ac:dyDescent="0.3">
      <c r="A8" s="1" t="s">
        <v>22</v>
      </c>
      <c r="B8" s="1" t="s">
        <v>23</v>
      </c>
      <c r="C8" s="1">
        <v>2013</v>
      </c>
      <c r="D8" s="1">
        <v>16628</v>
      </c>
      <c r="E8" s="1">
        <v>79</v>
      </c>
      <c r="F8" s="1">
        <v>87</v>
      </c>
      <c r="G8" s="1">
        <v>1132871</v>
      </c>
      <c r="H8" s="1">
        <v>20</v>
      </c>
    </row>
    <row r="9" spans="1:8" x14ac:dyDescent="0.3">
      <c r="A9" s="1" t="s">
        <v>24</v>
      </c>
      <c r="B9" s="1" t="s">
        <v>25</v>
      </c>
      <c r="C9" s="1">
        <v>2013</v>
      </c>
      <c r="D9" s="1">
        <v>63223</v>
      </c>
      <c r="E9" s="1">
        <v>404</v>
      </c>
      <c r="F9" s="1">
        <v>491</v>
      </c>
      <c r="G9" s="1">
        <v>5581123</v>
      </c>
      <c r="H9" s="1">
        <v>494</v>
      </c>
    </row>
    <row r="10" spans="1:8" x14ac:dyDescent="0.3">
      <c r="A10" s="1" t="s">
        <v>26</v>
      </c>
      <c r="B10" s="1" t="s">
        <v>27</v>
      </c>
      <c r="C10" s="1">
        <v>2013</v>
      </c>
      <c r="D10" s="1">
        <v>17623</v>
      </c>
      <c r="E10" s="1">
        <v>216</v>
      </c>
      <c r="F10" s="1">
        <v>68</v>
      </c>
      <c r="G10" s="1">
        <v>1009016</v>
      </c>
      <c r="H10" s="1">
        <v>12</v>
      </c>
    </row>
    <row r="11" spans="1:8" x14ac:dyDescent="0.3">
      <c r="A11" s="1" t="s">
        <v>28</v>
      </c>
      <c r="B11" s="1" t="s">
        <v>29</v>
      </c>
      <c r="C11" s="1">
        <v>2013</v>
      </c>
      <c r="D11" s="1">
        <v>19897</v>
      </c>
      <c r="E11" s="1">
        <v>128</v>
      </c>
      <c r="F11" s="1">
        <v>127</v>
      </c>
      <c r="G11" s="1">
        <v>1545510</v>
      </c>
      <c r="H11" s="1">
        <v>24</v>
      </c>
    </row>
    <row r="12" spans="1:8" x14ac:dyDescent="0.3">
      <c r="A12" s="1" t="s">
        <v>30</v>
      </c>
      <c r="B12" s="1" t="s">
        <v>31</v>
      </c>
      <c r="C12" s="1">
        <v>2013</v>
      </c>
      <c r="D12" s="1">
        <v>39152</v>
      </c>
      <c r="E12" s="1">
        <v>436</v>
      </c>
      <c r="F12" s="1">
        <v>533</v>
      </c>
      <c r="G12" s="1">
        <v>1749842</v>
      </c>
      <c r="H12" s="1">
        <v>54</v>
      </c>
    </row>
    <row r="13" spans="1:8" x14ac:dyDescent="0.3">
      <c r="A13" s="1" t="s">
        <v>32</v>
      </c>
      <c r="B13" s="1" t="s">
        <v>33</v>
      </c>
      <c r="C13" s="1">
        <v>2013</v>
      </c>
      <c r="D13" s="1">
        <v>16577</v>
      </c>
      <c r="E13" s="1">
        <v>78</v>
      </c>
      <c r="F13" s="1">
        <v>69</v>
      </c>
      <c r="G13" s="1">
        <v>972369</v>
      </c>
      <c r="H13" s="1">
        <v>7</v>
      </c>
    </row>
    <row r="14" spans="1:8" x14ac:dyDescent="0.3">
      <c r="A14" s="1" t="s">
        <v>34</v>
      </c>
      <c r="B14" s="1" t="s">
        <v>35</v>
      </c>
      <c r="C14" s="1">
        <v>2013</v>
      </c>
      <c r="D14" s="1">
        <v>11241</v>
      </c>
      <c r="E14" s="1">
        <v>100</v>
      </c>
      <c r="F14" s="1">
        <v>70</v>
      </c>
      <c r="G14" s="1">
        <v>399974</v>
      </c>
      <c r="H14" s="1">
        <v>7</v>
      </c>
    </row>
    <row r="15" spans="1:8" x14ac:dyDescent="0.3">
      <c r="A15" s="1" t="s">
        <v>36</v>
      </c>
      <c r="B15" s="1" t="s">
        <v>37</v>
      </c>
      <c r="C15" s="1">
        <v>2013</v>
      </c>
      <c r="D15" s="1">
        <v>34395</v>
      </c>
      <c r="E15" s="1">
        <v>433</v>
      </c>
      <c r="F15" s="1">
        <v>284</v>
      </c>
      <c r="G15" s="1">
        <v>2624562</v>
      </c>
      <c r="H15" s="1">
        <v>47</v>
      </c>
    </row>
    <row r="16" spans="1:8" x14ac:dyDescent="0.3">
      <c r="A16" s="1" t="s">
        <v>38</v>
      </c>
      <c r="B16" s="1" t="s">
        <v>39</v>
      </c>
      <c r="C16" s="1">
        <v>2013</v>
      </c>
      <c r="D16" s="1">
        <v>26225</v>
      </c>
      <c r="E16" s="1">
        <v>576</v>
      </c>
      <c r="F16" s="1">
        <v>328</v>
      </c>
      <c r="G16" s="1">
        <v>1647930</v>
      </c>
      <c r="H16" s="1">
        <v>21</v>
      </c>
    </row>
    <row r="17" spans="1:8" x14ac:dyDescent="0.3">
      <c r="A17" s="1" t="s">
        <v>40</v>
      </c>
      <c r="B17" s="1" t="s">
        <v>41</v>
      </c>
      <c r="C17" s="1">
        <v>2013</v>
      </c>
      <c r="D17" s="1">
        <v>20840</v>
      </c>
      <c r="E17" s="1">
        <v>289</v>
      </c>
      <c r="F17" s="1">
        <v>153</v>
      </c>
      <c r="G17" s="1">
        <v>1425453</v>
      </c>
      <c r="H17" s="1">
        <v>0</v>
      </c>
    </row>
    <row r="18" spans="1:8" x14ac:dyDescent="0.3">
      <c r="A18" s="1" t="s">
        <v>42</v>
      </c>
      <c r="B18" s="1" t="s">
        <v>43</v>
      </c>
      <c r="C18" s="1">
        <v>2013</v>
      </c>
      <c r="D18" s="1">
        <v>14793</v>
      </c>
      <c r="E18" s="1">
        <v>143</v>
      </c>
      <c r="F18" s="1">
        <v>98</v>
      </c>
      <c r="G18" s="1">
        <v>885568</v>
      </c>
      <c r="H18" s="1">
        <v>0</v>
      </c>
    </row>
    <row r="19" spans="1:8" x14ac:dyDescent="0.3">
      <c r="A19" s="1" t="s">
        <v>44</v>
      </c>
      <c r="B19" s="1" t="s">
        <v>45</v>
      </c>
      <c r="C19" s="1">
        <v>2013</v>
      </c>
      <c r="D19" s="1">
        <v>16666</v>
      </c>
      <c r="E19" s="1">
        <v>354</v>
      </c>
      <c r="F19" s="1">
        <v>114</v>
      </c>
      <c r="G19" s="1">
        <v>334828</v>
      </c>
      <c r="H19" s="1">
        <v>0</v>
      </c>
    </row>
    <row r="20" spans="1:8" x14ac:dyDescent="0.3">
      <c r="A20" s="1" t="s">
        <v>46</v>
      </c>
      <c r="B20" s="1" t="s">
        <v>47</v>
      </c>
      <c r="C20" s="1">
        <v>2013</v>
      </c>
      <c r="D20" s="1">
        <v>58901</v>
      </c>
      <c r="E20" s="1">
        <v>393</v>
      </c>
      <c r="F20" s="1">
        <v>543</v>
      </c>
      <c r="G20" s="1">
        <v>1900681</v>
      </c>
      <c r="H20" s="1">
        <v>136</v>
      </c>
    </row>
    <row r="21" spans="1:8" x14ac:dyDescent="0.3">
      <c r="A21" s="1" t="s">
        <v>48</v>
      </c>
      <c r="B21" s="1" t="s">
        <v>49</v>
      </c>
      <c r="C21" s="1">
        <v>2013</v>
      </c>
      <c r="D21" s="1">
        <v>25938</v>
      </c>
      <c r="E21" s="1">
        <v>547</v>
      </c>
      <c r="F21" s="1">
        <v>235</v>
      </c>
      <c r="G21" s="1">
        <v>1046471</v>
      </c>
      <c r="H21" s="1">
        <v>0</v>
      </c>
    </row>
    <row r="22" spans="1:8" x14ac:dyDescent="0.3">
      <c r="A22" s="1" t="s">
        <v>50</v>
      </c>
      <c r="B22" s="1" t="s">
        <v>51</v>
      </c>
      <c r="C22" s="1">
        <v>2013</v>
      </c>
      <c r="D22" s="1">
        <v>22021</v>
      </c>
      <c r="E22" s="1">
        <v>85</v>
      </c>
      <c r="F22" s="1">
        <v>192</v>
      </c>
      <c r="G22" s="1">
        <v>2133747</v>
      </c>
      <c r="H22" s="1">
        <v>54</v>
      </c>
    </row>
    <row r="23" spans="1:8" x14ac:dyDescent="0.3">
      <c r="A23" s="1" t="s">
        <v>52</v>
      </c>
      <c r="B23" s="1" t="s">
        <v>53</v>
      </c>
      <c r="C23" s="1">
        <v>2013</v>
      </c>
      <c r="D23" s="1">
        <v>16674</v>
      </c>
      <c r="E23" s="1">
        <v>176</v>
      </c>
      <c r="F23" s="1">
        <v>283</v>
      </c>
      <c r="G23" s="1">
        <v>1206761</v>
      </c>
      <c r="H23" s="1">
        <v>2</v>
      </c>
    </row>
    <row r="24" spans="1:8" x14ac:dyDescent="0.3">
      <c r="A24" s="1" t="s">
        <v>54</v>
      </c>
      <c r="B24" s="1" t="s">
        <v>55</v>
      </c>
      <c r="C24" s="1">
        <v>2013</v>
      </c>
      <c r="D24" s="1">
        <v>44956</v>
      </c>
      <c r="E24" s="1">
        <v>1958</v>
      </c>
      <c r="F24" s="1">
        <v>859</v>
      </c>
      <c r="G24" s="1">
        <v>528771</v>
      </c>
      <c r="H24" s="1">
        <v>1</v>
      </c>
    </row>
    <row r="25" spans="1:8" x14ac:dyDescent="0.3">
      <c r="A25" s="1" t="s">
        <v>56</v>
      </c>
      <c r="B25" s="1" t="s">
        <v>57</v>
      </c>
      <c r="C25" s="1">
        <v>2013</v>
      </c>
      <c r="D25" s="1">
        <v>23655</v>
      </c>
      <c r="E25" s="1">
        <v>144</v>
      </c>
      <c r="F25" s="1">
        <v>122</v>
      </c>
      <c r="G25" s="1">
        <v>1448044</v>
      </c>
      <c r="H25" s="1">
        <v>8</v>
      </c>
    </row>
    <row r="26" spans="1:8" x14ac:dyDescent="0.3">
      <c r="A26" s="1" t="s">
        <v>58</v>
      </c>
      <c r="B26" s="1" t="s">
        <v>59</v>
      </c>
      <c r="C26" s="1">
        <v>2013</v>
      </c>
      <c r="D26" s="1">
        <v>33720</v>
      </c>
      <c r="E26" s="1">
        <v>212</v>
      </c>
      <c r="F26" s="1">
        <v>30</v>
      </c>
      <c r="G26" s="1">
        <v>2118668</v>
      </c>
      <c r="H26" s="1">
        <v>123</v>
      </c>
    </row>
    <row r="27" spans="1:8" x14ac:dyDescent="0.3">
      <c r="A27" s="1" t="s">
        <v>60</v>
      </c>
      <c r="B27" s="1" t="s">
        <v>61</v>
      </c>
      <c r="C27" s="1">
        <v>2013</v>
      </c>
      <c r="D27" s="1">
        <v>15480</v>
      </c>
      <c r="E27" s="1">
        <v>73</v>
      </c>
      <c r="F27" s="1">
        <v>99</v>
      </c>
      <c r="G27" s="1">
        <v>1384601</v>
      </c>
      <c r="H27" s="1">
        <v>63</v>
      </c>
    </row>
    <row r="28" spans="1:8" x14ac:dyDescent="0.3">
      <c r="A28" s="1" t="s">
        <v>62</v>
      </c>
      <c r="B28" s="1" t="s">
        <v>63</v>
      </c>
      <c r="C28" s="1">
        <v>2013</v>
      </c>
      <c r="D28" s="1">
        <v>34849</v>
      </c>
      <c r="E28" s="1">
        <v>85</v>
      </c>
      <c r="F28" s="1">
        <v>504</v>
      </c>
      <c r="G28" s="1">
        <v>2353378</v>
      </c>
      <c r="H28" s="1">
        <v>0</v>
      </c>
    </row>
    <row r="29" spans="1:8" x14ac:dyDescent="0.3">
      <c r="A29" s="1" t="s">
        <v>64</v>
      </c>
      <c r="B29" s="1" t="s">
        <v>65</v>
      </c>
      <c r="C29" s="1">
        <v>2013</v>
      </c>
      <c r="D29" s="1">
        <v>41410</v>
      </c>
      <c r="E29" s="1">
        <v>267</v>
      </c>
      <c r="F29" s="1">
        <v>523</v>
      </c>
      <c r="G29" s="1">
        <v>4924295</v>
      </c>
      <c r="H29" s="1">
        <v>3</v>
      </c>
    </row>
    <row r="30" spans="1:8" x14ac:dyDescent="0.3">
      <c r="A30" s="1" t="s">
        <v>66</v>
      </c>
      <c r="B30" s="1" t="s">
        <v>67</v>
      </c>
      <c r="C30" s="1">
        <v>2013</v>
      </c>
      <c r="D30" s="1">
        <v>290264</v>
      </c>
      <c r="E30" s="1">
        <v>7839</v>
      </c>
      <c r="F30" s="1">
        <v>10251</v>
      </c>
      <c r="G30" s="1">
        <v>12900000</v>
      </c>
      <c r="H30" s="1">
        <v>169</v>
      </c>
    </row>
    <row r="31" spans="1:8" x14ac:dyDescent="0.3">
      <c r="A31" s="1" t="s">
        <v>68</v>
      </c>
      <c r="B31" s="1" t="s">
        <v>69</v>
      </c>
      <c r="C31" s="1">
        <v>2013</v>
      </c>
      <c r="D31" s="1">
        <v>50503</v>
      </c>
      <c r="E31" s="1">
        <v>24</v>
      </c>
      <c r="F31" s="1">
        <v>490</v>
      </c>
      <c r="G31" s="1">
        <v>5120592</v>
      </c>
      <c r="H31" s="1">
        <v>707</v>
      </c>
    </row>
    <row r="32" spans="1:8" x14ac:dyDescent="0.3">
      <c r="A32" s="1" t="s">
        <v>71</v>
      </c>
      <c r="B32" s="1" t="s">
        <v>72</v>
      </c>
      <c r="C32" s="1">
        <v>2013</v>
      </c>
      <c r="D32" s="1">
        <v>19284</v>
      </c>
      <c r="E32" s="1">
        <v>182</v>
      </c>
      <c r="F32" s="1">
        <v>123</v>
      </c>
      <c r="G32" s="1">
        <v>1075905</v>
      </c>
      <c r="H32" s="1">
        <v>0</v>
      </c>
    </row>
    <row r="33" spans="1:8" x14ac:dyDescent="0.3">
      <c r="A33" s="1" t="s">
        <v>73</v>
      </c>
      <c r="B33" s="1" t="s">
        <v>74</v>
      </c>
      <c r="C33" s="1">
        <v>2013</v>
      </c>
      <c r="D33" s="1">
        <v>24572</v>
      </c>
      <c r="E33" s="1">
        <v>359</v>
      </c>
      <c r="F33" s="1">
        <v>149</v>
      </c>
      <c r="G33" s="1">
        <v>1854337</v>
      </c>
      <c r="H33" s="1">
        <v>9</v>
      </c>
    </row>
    <row r="34" spans="1:8" x14ac:dyDescent="0.3">
      <c r="A34" s="1" t="s">
        <v>75</v>
      </c>
      <c r="B34" s="1" t="s">
        <v>76</v>
      </c>
      <c r="C34" s="1">
        <v>2013</v>
      </c>
      <c r="D34" s="1">
        <v>34282</v>
      </c>
      <c r="E34" s="1">
        <v>814</v>
      </c>
      <c r="F34" s="1">
        <v>119</v>
      </c>
      <c r="G34" s="1">
        <v>2493117</v>
      </c>
      <c r="H34" s="1">
        <v>156</v>
      </c>
    </row>
    <row r="35" spans="1:8" x14ac:dyDescent="0.3">
      <c r="A35" s="1" t="s">
        <v>77</v>
      </c>
      <c r="B35" s="1" t="s">
        <v>78</v>
      </c>
      <c r="C35" s="1">
        <v>2013</v>
      </c>
      <c r="D35" s="1">
        <v>16117</v>
      </c>
      <c r="E35" s="1">
        <v>112</v>
      </c>
      <c r="F35" s="1">
        <v>61</v>
      </c>
      <c r="G35" s="1">
        <v>1652002</v>
      </c>
      <c r="H35" s="1">
        <v>6</v>
      </c>
    </row>
    <row r="36" spans="1:8" x14ac:dyDescent="0.3">
      <c r="A36" s="1" t="s">
        <v>79</v>
      </c>
      <c r="B36" s="1" t="s">
        <v>80</v>
      </c>
      <c r="C36" s="1">
        <v>2013</v>
      </c>
      <c r="D36" s="1">
        <v>13902</v>
      </c>
      <c r="E36" s="1">
        <v>109</v>
      </c>
      <c r="F36" s="1">
        <v>54</v>
      </c>
      <c r="G36" s="1">
        <v>1748948</v>
      </c>
      <c r="H36" s="1">
        <v>0</v>
      </c>
    </row>
    <row r="37" spans="1:8" x14ac:dyDescent="0.3">
      <c r="A37" s="1" t="s">
        <v>81</v>
      </c>
      <c r="B37" s="1" t="s">
        <v>82</v>
      </c>
      <c r="C37" s="1">
        <v>2013</v>
      </c>
      <c r="D37" s="1">
        <v>11730</v>
      </c>
      <c r="E37" s="1">
        <v>123</v>
      </c>
      <c r="F37" s="1">
        <v>10</v>
      </c>
      <c r="G37" s="1">
        <v>1047898</v>
      </c>
      <c r="H37" s="1">
        <v>34</v>
      </c>
    </row>
    <row r="38" spans="1:8" x14ac:dyDescent="0.3">
      <c r="A38" s="1" t="s">
        <v>83</v>
      </c>
      <c r="B38" s="1" t="s">
        <v>84</v>
      </c>
      <c r="C38" s="1">
        <v>2013</v>
      </c>
      <c r="D38" s="1">
        <v>56672</v>
      </c>
      <c r="E38" s="1">
        <v>446</v>
      </c>
      <c r="F38" s="1">
        <v>523</v>
      </c>
      <c r="G38" s="1">
        <v>9034607</v>
      </c>
      <c r="H38" s="1">
        <v>120</v>
      </c>
    </row>
    <row r="39" spans="1:8" x14ac:dyDescent="0.3">
      <c r="A39" s="1" t="s">
        <v>85</v>
      </c>
      <c r="B39" s="1" t="s">
        <v>86</v>
      </c>
      <c r="C39" s="1">
        <v>2013</v>
      </c>
      <c r="D39" s="1">
        <v>19399</v>
      </c>
      <c r="E39" s="1">
        <v>150</v>
      </c>
      <c r="F39" s="1">
        <v>41</v>
      </c>
      <c r="G39" s="1">
        <v>1176890</v>
      </c>
      <c r="H39" s="1">
        <v>0</v>
      </c>
    </row>
    <row r="40" spans="1:8" x14ac:dyDescent="0.3">
      <c r="A40" s="1" t="s">
        <v>87</v>
      </c>
      <c r="B40" s="1" t="s">
        <v>88</v>
      </c>
      <c r="C40" s="1">
        <v>2013</v>
      </c>
      <c r="D40" s="1">
        <v>14089</v>
      </c>
      <c r="E40" s="1">
        <v>84</v>
      </c>
      <c r="F40" s="1">
        <v>54</v>
      </c>
      <c r="G40" s="1">
        <v>1441471</v>
      </c>
      <c r="H40" s="1">
        <v>10</v>
      </c>
    </row>
    <row r="41" spans="1:8" x14ac:dyDescent="0.3">
      <c r="A41" s="1" t="s">
        <v>89</v>
      </c>
      <c r="B41" s="1" t="s">
        <v>90</v>
      </c>
      <c r="C41" s="1">
        <v>2013</v>
      </c>
      <c r="D41" s="1">
        <v>25321</v>
      </c>
      <c r="E41" s="1">
        <v>201</v>
      </c>
      <c r="F41" s="1">
        <v>126</v>
      </c>
      <c r="G41" s="1">
        <v>3755451</v>
      </c>
      <c r="H41" s="1">
        <v>157</v>
      </c>
    </row>
    <row r="42" spans="1:8" x14ac:dyDescent="0.3">
      <c r="A42" s="1" t="s">
        <v>91</v>
      </c>
      <c r="B42" s="1" t="s">
        <v>92</v>
      </c>
      <c r="C42" s="1">
        <v>2013</v>
      </c>
      <c r="D42" s="1">
        <v>12091</v>
      </c>
      <c r="E42" s="1">
        <v>57</v>
      </c>
      <c r="F42" s="1">
        <v>45</v>
      </c>
      <c r="G42" s="1">
        <v>717536</v>
      </c>
      <c r="H42" s="1">
        <v>5</v>
      </c>
    </row>
    <row r="43" spans="1:8" x14ac:dyDescent="0.3">
      <c r="A43" s="1" t="s">
        <v>93</v>
      </c>
      <c r="B43" s="1" t="s">
        <v>94</v>
      </c>
      <c r="C43" s="1">
        <v>2013</v>
      </c>
      <c r="D43" s="1">
        <v>13601</v>
      </c>
      <c r="E43" s="1">
        <v>93</v>
      </c>
      <c r="F43" s="1">
        <v>52</v>
      </c>
      <c r="G43" s="1">
        <v>1256891</v>
      </c>
      <c r="H43" s="1">
        <v>12</v>
      </c>
    </row>
    <row r="44" spans="1:8" x14ac:dyDescent="0.3">
      <c r="A44" s="1" t="s">
        <v>95</v>
      </c>
      <c r="B44" s="1" t="s">
        <v>96</v>
      </c>
      <c r="C44" s="1">
        <v>2013</v>
      </c>
      <c r="D44" s="1">
        <v>11956</v>
      </c>
      <c r="E44" s="1">
        <v>74</v>
      </c>
      <c r="F44" s="1">
        <v>51</v>
      </c>
      <c r="G44" s="1">
        <v>1489955</v>
      </c>
      <c r="H44" s="1">
        <v>4</v>
      </c>
    </row>
    <row r="45" spans="1:8" x14ac:dyDescent="0.3">
      <c r="A45" s="1" t="s">
        <v>97</v>
      </c>
      <c r="B45" s="1" t="s">
        <v>98</v>
      </c>
      <c r="C45" s="1">
        <v>2013</v>
      </c>
      <c r="D45" s="1">
        <v>30712</v>
      </c>
      <c r="E45" s="1">
        <v>211</v>
      </c>
      <c r="F45" s="1">
        <v>164</v>
      </c>
      <c r="G45" s="1">
        <v>2407794</v>
      </c>
      <c r="H45" s="1">
        <v>34</v>
      </c>
    </row>
    <row r="46" spans="1:8" x14ac:dyDescent="0.3">
      <c r="A46" s="1" t="s">
        <v>99</v>
      </c>
      <c r="B46" s="1" t="s">
        <v>100</v>
      </c>
      <c r="C46" s="1">
        <v>2013</v>
      </c>
      <c r="D46" s="1">
        <v>29175</v>
      </c>
      <c r="E46" s="1">
        <v>694</v>
      </c>
      <c r="F46" s="1">
        <v>113</v>
      </c>
      <c r="G46" s="1">
        <v>1977449</v>
      </c>
      <c r="H46" s="1">
        <v>2</v>
      </c>
    </row>
    <row r="47" spans="1:8" x14ac:dyDescent="0.3">
      <c r="A47" s="1" t="s">
        <v>101</v>
      </c>
      <c r="B47" s="1" t="s">
        <v>102</v>
      </c>
      <c r="C47" s="1">
        <v>2013</v>
      </c>
      <c r="D47" s="1">
        <v>14111</v>
      </c>
      <c r="E47" s="1">
        <v>136</v>
      </c>
      <c r="F47" s="1">
        <v>33</v>
      </c>
      <c r="G47" s="1">
        <v>1398826</v>
      </c>
      <c r="H47" s="1">
        <v>0</v>
      </c>
    </row>
    <row r="48" spans="1:8" x14ac:dyDescent="0.3">
      <c r="A48" s="1" t="s">
        <v>103</v>
      </c>
      <c r="B48" s="1" t="s">
        <v>104</v>
      </c>
      <c r="C48" s="1">
        <v>2013</v>
      </c>
      <c r="D48" s="1">
        <v>11177</v>
      </c>
      <c r="E48" s="1">
        <v>63</v>
      </c>
      <c r="F48" s="1">
        <v>59</v>
      </c>
      <c r="G48" s="1">
        <v>1486426</v>
      </c>
      <c r="H48" s="1">
        <v>9</v>
      </c>
    </row>
    <row r="49" spans="1:8" x14ac:dyDescent="0.3">
      <c r="A49" s="1" t="s">
        <v>105</v>
      </c>
      <c r="B49" s="1" t="s">
        <v>106</v>
      </c>
      <c r="C49" s="1">
        <v>2013</v>
      </c>
      <c r="D49" s="1">
        <v>26279</v>
      </c>
      <c r="E49" s="1">
        <v>224</v>
      </c>
      <c r="F49" s="1">
        <v>36</v>
      </c>
      <c r="G49" s="1">
        <v>1009750</v>
      </c>
      <c r="H49" s="1">
        <v>4</v>
      </c>
    </row>
    <row r="50" spans="1:8" x14ac:dyDescent="0.3">
      <c r="A50" s="1" t="s">
        <v>107</v>
      </c>
      <c r="B50" s="1" t="s">
        <v>108</v>
      </c>
      <c r="C50" s="1">
        <v>2013</v>
      </c>
      <c r="D50" s="1">
        <v>21055</v>
      </c>
      <c r="E50" s="1">
        <v>153</v>
      </c>
      <c r="F50" s="1">
        <v>78</v>
      </c>
      <c r="G50" s="1">
        <v>2825097</v>
      </c>
      <c r="H50" s="1">
        <v>31</v>
      </c>
    </row>
    <row r="51" spans="1:8" x14ac:dyDescent="0.3">
      <c r="A51" s="1" t="s">
        <v>109</v>
      </c>
      <c r="B51" s="1" t="s">
        <v>110</v>
      </c>
      <c r="C51" s="1">
        <v>2013</v>
      </c>
      <c r="D51" s="1">
        <v>145964</v>
      </c>
      <c r="E51" s="1">
        <v>1044</v>
      </c>
      <c r="F51" s="1">
        <v>2716</v>
      </c>
      <c r="G51" s="1">
        <v>18663571</v>
      </c>
      <c r="H51" s="1">
        <v>424</v>
      </c>
    </row>
    <row r="52" spans="1:8" x14ac:dyDescent="0.3">
      <c r="A52" s="1" t="s">
        <v>111</v>
      </c>
      <c r="B52" s="1" t="s">
        <v>112</v>
      </c>
      <c r="C52" s="1">
        <v>2013</v>
      </c>
      <c r="D52" s="1">
        <v>38233</v>
      </c>
      <c r="E52" s="1">
        <v>207</v>
      </c>
      <c r="F52" s="1">
        <v>364</v>
      </c>
      <c r="G52" s="1">
        <v>9759997</v>
      </c>
      <c r="H52" s="1">
        <v>2</v>
      </c>
    </row>
    <row r="53" spans="1:8" x14ac:dyDescent="0.3">
      <c r="A53" s="1" t="s">
        <v>113</v>
      </c>
      <c r="B53" s="1" t="s">
        <v>114</v>
      </c>
      <c r="C53" s="1">
        <v>2013</v>
      </c>
      <c r="D53" s="1">
        <v>85727</v>
      </c>
      <c r="E53" s="1">
        <v>794</v>
      </c>
      <c r="F53" s="1">
        <v>652</v>
      </c>
      <c r="G53" s="1">
        <v>8106582</v>
      </c>
      <c r="H53" s="1">
        <v>3</v>
      </c>
    </row>
    <row r="54" spans="1:8" x14ac:dyDescent="0.3">
      <c r="A54" s="1" t="s">
        <v>115</v>
      </c>
      <c r="B54" s="1" t="s">
        <v>116</v>
      </c>
      <c r="C54" s="1">
        <v>2013</v>
      </c>
      <c r="D54" s="1">
        <v>45733</v>
      </c>
      <c r="E54" s="1">
        <v>340</v>
      </c>
      <c r="F54" s="1">
        <v>472</v>
      </c>
      <c r="G54" s="1">
        <v>4478644</v>
      </c>
      <c r="H54" s="1">
        <v>0</v>
      </c>
    </row>
    <row r="55" spans="1:8" x14ac:dyDescent="0.3">
      <c r="A55" s="1" t="s">
        <v>117</v>
      </c>
      <c r="B55" s="1" t="s">
        <v>118</v>
      </c>
      <c r="C55" s="1">
        <v>2013</v>
      </c>
      <c r="D55" s="1">
        <v>38402</v>
      </c>
      <c r="E55" s="1">
        <v>297</v>
      </c>
      <c r="F55" s="1">
        <v>0</v>
      </c>
      <c r="G55" s="1">
        <v>1457331</v>
      </c>
      <c r="H55" s="1">
        <v>8</v>
      </c>
    </row>
    <row r="56" spans="1:8" x14ac:dyDescent="0.3">
      <c r="A56" s="1" t="s">
        <v>119</v>
      </c>
      <c r="B56" s="1" t="s">
        <v>120</v>
      </c>
      <c r="C56" s="1">
        <v>2013</v>
      </c>
      <c r="D56" s="1">
        <v>30754</v>
      </c>
      <c r="E56" s="1">
        <v>207</v>
      </c>
      <c r="F56" s="1">
        <v>49</v>
      </c>
      <c r="G56" s="1">
        <v>1209431</v>
      </c>
      <c r="H56" s="1">
        <v>2</v>
      </c>
    </row>
    <row r="57" spans="1:8" x14ac:dyDescent="0.3">
      <c r="A57" s="1" t="s">
        <v>121</v>
      </c>
      <c r="B57" s="1" t="s">
        <v>122</v>
      </c>
      <c r="C57" s="1">
        <v>2013</v>
      </c>
      <c r="D57" s="1">
        <v>28077</v>
      </c>
      <c r="E57" s="1">
        <v>196</v>
      </c>
      <c r="F57" s="1">
        <v>15</v>
      </c>
      <c r="G57" s="1">
        <v>770678</v>
      </c>
      <c r="H57" s="1">
        <v>8</v>
      </c>
    </row>
    <row r="58" spans="1:8" x14ac:dyDescent="0.3">
      <c r="A58" s="1" t="s">
        <v>123</v>
      </c>
      <c r="B58" s="1" t="s">
        <v>124</v>
      </c>
      <c r="C58" s="1">
        <v>2013</v>
      </c>
      <c r="D58" s="1">
        <v>22739</v>
      </c>
      <c r="E58" s="1">
        <v>125</v>
      </c>
      <c r="F58" s="1">
        <v>59</v>
      </c>
      <c r="G58" s="1">
        <v>1281705</v>
      </c>
      <c r="H58" s="1">
        <v>83</v>
      </c>
    </row>
    <row r="59" spans="1:8" x14ac:dyDescent="0.3">
      <c r="A59" s="1" t="s">
        <v>125</v>
      </c>
      <c r="B59" s="1" t="s">
        <v>126</v>
      </c>
      <c r="C59" s="1">
        <v>2013</v>
      </c>
      <c r="D59" s="1">
        <v>13352</v>
      </c>
      <c r="E59" s="1">
        <v>65</v>
      </c>
      <c r="F59" s="1">
        <v>17</v>
      </c>
      <c r="G59" s="1">
        <v>253196</v>
      </c>
      <c r="H59" s="1">
        <v>0</v>
      </c>
    </row>
    <row r="60" spans="1:8" x14ac:dyDescent="0.3">
      <c r="A60" s="1" t="s">
        <v>127</v>
      </c>
      <c r="B60" s="1" t="s">
        <v>128</v>
      </c>
      <c r="C60" s="1">
        <v>2013</v>
      </c>
      <c r="D60" s="1">
        <v>24462</v>
      </c>
      <c r="E60" s="1">
        <v>81</v>
      </c>
      <c r="F60" s="1">
        <v>45</v>
      </c>
      <c r="G60" s="1">
        <v>1150142</v>
      </c>
      <c r="H60" s="1">
        <v>10</v>
      </c>
    </row>
    <row r="61" spans="1:8" x14ac:dyDescent="0.3">
      <c r="A61" s="1" t="s">
        <v>129</v>
      </c>
      <c r="B61" s="1" t="s">
        <v>130</v>
      </c>
      <c r="C61" s="1">
        <v>2013</v>
      </c>
      <c r="D61" s="1">
        <v>31450</v>
      </c>
      <c r="E61" s="1">
        <v>138</v>
      </c>
      <c r="F61" s="1">
        <v>85</v>
      </c>
      <c r="G61" s="1">
        <v>1311891</v>
      </c>
      <c r="H61" s="1">
        <v>0</v>
      </c>
    </row>
    <row r="62" spans="1:8" x14ac:dyDescent="0.3">
      <c r="A62" s="1" t="s">
        <v>131</v>
      </c>
      <c r="B62" s="1" t="s">
        <v>132</v>
      </c>
      <c r="C62" s="1">
        <v>2013</v>
      </c>
      <c r="D62" s="1">
        <v>29813</v>
      </c>
      <c r="E62" s="1">
        <v>216</v>
      </c>
      <c r="F62" s="1">
        <v>58</v>
      </c>
      <c r="G62" s="1">
        <v>690025</v>
      </c>
      <c r="H62" s="1">
        <v>14</v>
      </c>
    </row>
    <row r="63" spans="1:8" x14ac:dyDescent="0.3">
      <c r="A63" s="1" t="s">
        <v>133</v>
      </c>
      <c r="B63" s="1" t="s">
        <v>134</v>
      </c>
      <c r="C63" s="1">
        <v>2013</v>
      </c>
      <c r="D63" s="1">
        <v>47603</v>
      </c>
      <c r="E63" s="1">
        <v>828</v>
      </c>
      <c r="F63" s="1">
        <v>107</v>
      </c>
      <c r="G63" s="1">
        <v>856604</v>
      </c>
      <c r="H63" s="1">
        <v>28</v>
      </c>
    </row>
    <row r="64" spans="1:8" x14ac:dyDescent="0.3">
      <c r="A64" s="1" t="s">
        <v>135</v>
      </c>
      <c r="B64" s="1" t="s">
        <v>136</v>
      </c>
      <c r="C64" s="1">
        <v>2013</v>
      </c>
      <c r="D64" s="1">
        <v>18119</v>
      </c>
      <c r="E64" s="1">
        <v>215</v>
      </c>
      <c r="F64" s="1">
        <v>54</v>
      </c>
      <c r="G64" s="1">
        <v>583464</v>
      </c>
      <c r="H64" s="1">
        <v>13</v>
      </c>
    </row>
    <row r="65" spans="1:8" x14ac:dyDescent="0.3">
      <c r="A65" s="1" t="s">
        <v>137</v>
      </c>
      <c r="B65" s="1" t="s">
        <v>138</v>
      </c>
      <c r="C65" s="1">
        <v>2013</v>
      </c>
      <c r="D65" s="1">
        <v>32626</v>
      </c>
      <c r="E65" s="1">
        <v>207</v>
      </c>
      <c r="F65" s="1">
        <v>47</v>
      </c>
      <c r="G65" s="1">
        <v>1072720</v>
      </c>
      <c r="H65" s="1">
        <v>8</v>
      </c>
    </row>
    <row r="66" spans="1:8" x14ac:dyDescent="0.3">
      <c r="A66" s="1" t="s">
        <v>139</v>
      </c>
      <c r="B66" s="1" t="s">
        <v>140</v>
      </c>
      <c r="C66" s="1">
        <v>2013</v>
      </c>
      <c r="D66" s="1">
        <v>20610</v>
      </c>
      <c r="E66" s="1">
        <v>75</v>
      </c>
      <c r="F66" s="1">
        <v>42</v>
      </c>
      <c r="G66" s="1">
        <v>1706637</v>
      </c>
      <c r="H66" s="1">
        <v>0</v>
      </c>
    </row>
    <row r="67" spans="1:8" x14ac:dyDescent="0.3">
      <c r="A67" s="1" t="s">
        <v>141</v>
      </c>
      <c r="B67" s="1" t="s">
        <v>142</v>
      </c>
      <c r="C67" s="1">
        <v>2013</v>
      </c>
      <c r="D67" s="1">
        <v>12845</v>
      </c>
      <c r="E67" s="1">
        <v>86</v>
      </c>
      <c r="F67" s="1">
        <v>13</v>
      </c>
      <c r="G67" s="1">
        <v>541016</v>
      </c>
      <c r="H67" s="1">
        <v>22</v>
      </c>
    </row>
    <row r="68" spans="1:8" x14ac:dyDescent="0.3">
      <c r="A68" s="1" t="s">
        <v>143</v>
      </c>
      <c r="B68" s="1" t="s">
        <v>144</v>
      </c>
      <c r="C68" s="1">
        <v>2013</v>
      </c>
      <c r="D68" s="1">
        <v>41883</v>
      </c>
      <c r="E68" s="1">
        <v>418</v>
      </c>
      <c r="F68" s="1">
        <v>207</v>
      </c>
      <c r="G68" s="1">
        <v>1677487</v>
      </c>
      <c r="H68" s="1">
        <v>1</v>
      </c>
    </row>
    <row r="69" spans="1:8" x14ac:dyDescent="0.3">
      <c r="A69" s="1" t="s">
        <v>145</v>
      </c>
      <c r="B69" s="1" t="s">
        <v>146</v>
      </c>
      <c r="C69" s="1">
        <v>2013</v>
      </c>
      <c r="D69" s="1">
        <v>19415</v>
      </c>
      <c r="E69" s="1">
        <v>142</v>
      </c>
      <c r="F69" s="1">
        <v>30</v>
      </c>
      <c r="G69" s="1">
        <v>742489</v>
      </c>
      <c r="H69" s="1">
        <v>9</v>
      </c>
    </row>
    <row r="70" spans="1:8" x14ac:dyDescent="0.3">
      <c r="A70" s="1" t="s">
        <v>147</v>
      </c>
      <c r="B70" s="1" t="s">
        <v>148</v>
      </c>
      <c r="C70" s="1">
        <v>2013</v>
      </c>
      <c r="D70" s="1">
        <v>19993</v>
      </c>
      <c r="E70" s="1">
        <v>96</v>
      </c>
      <c r="F70" s="1">
        <v>59</v>
      </c>
      <c r="G70" s="1">
        <v>588265</v>
      </c>
      <c r="H70" s="1">
        <v>0</v>
      </c>
    </row>
    <row r="71" spans="1:8" x14ac:dyDescent="0.3">
      <c r="A71" s="1" t="s">
        <v>149</v>
      </c>
      <c r="B71" s="1" t="s">
        <v>47</v>
      </c>
      <c r="C71" s="1">
        <v>2013</v>
      </c>
      <c r="D71" s="1">
        <v>26268</v>
      </c>
      <c r="E71" s="1">
        <v>130</v>
      </c>
      <c r="F71" s="1">
        <v>27</v>
      </c>
      <c r="G71" s="1">
        <v>1304314</v>
      </c>
      <c r="H71" s="1">
        <v>0</v>
      </c>
    </row>
    <row r="72" spans="1:8" x14ac:dyDescent="0.3">
      <c r="A72" s="1" t="s">
        <v>150</v>
      </c>
      <c r="B72" s="1" t="s">
        <v>151</v>
      </c>
      <c r="C72" s="1">
        <v>2013</v>
      </c>
      <c r="D72" s="1">
        <v>27894</v>
      </c>
      <c r="E72" s="1">
        <v>70</v>
      </c>
      <c r="F72" s="1">
        <v>47</v>
      </c>
      <c r="G72" s="1">
        <v>1246510</v>
      </c>
      <c r="H72" s="1">
        <v>0</v>
      </c>
    </row>
    <row r="73" spans="1:8" x14ac:dyDescent="0.3">
      <c r="A73" s="1" t="s">
        <v>152</v>
      </c>
      <c r="B73" s="1" t="s">
        <v>153</v>
      </c>
      <c r="C73" s="1">
        <v>2013</v>
      </c>
      <c r="D73" s="1">
        <v>14034</v>
      </c>
      <c r="E73" s="1">
        <v>114</v>
      </c>
      <c r="F73" s="1">
        <v>48</v>
      </c>
      <c r="G73" s="1">
        <v>1080328</v>
      </c>
      <c r="H73" s="1">
        <v>6</v>
      </c>
    </row>
    <row r="74" spans="1:8" x14ac:dyDescent="0.3">
      <c r="A74" s="1" t="s">
        <v>154</v>
      </c>
      <c r="B74" s="1" t="s">
        <v>155</v>
      </c>
      <c r="C74" s="1">
        <v>2013</v>
      </c>
      <c r="D74" s="1">
        <v>36080</v>
      </c>
      <c r="E74" s="1">
        <v>236</v>
      </c>
      <c r="F74" s="1">
        <v>15</v>
      </c>
      <c r="G74" s="1">
        <v>342238</v>
      </c>
      <c r="H74" s="1">
        <v>2</v>
      </c>
    </row>
    <row r="75" spans="1:8" x14ac:dyDescent="0.3">
      <c r="A75" s="1" t="s">
        <v>156</v>
      </c>
      <c r="B75" s="1" t="s">
        <v>157</v>
      </c>
      <c r="C75" s="1">
        <v>2013</v>
      </c>
      <c r="D75" s="1">
        <v>21275</v>
      </c>
      <c r="E75" s="1">
        <v>319</v>
      </c>
      <c r="F75" s="1">
        <v>95</v>
      </c>
      <c r="G75" s="1">
        <v>2223342</v>
      </c>
      <c r="H75" s="1">
        <v>0</v>
      </c>
    </row>
    <row r="76" spans="1:8" x14ac:dyDescent="0.3">
      <c r="A76" s="1" t="s">
        <v>158</v>
      </c>
      <c r="B76" s="1" t="s">
        <v>159</v>
      </c>
      <c r="C76" s="1">
        <v>2013</v>
      </c>
      <c r="D76" s="1">
        <v>25445</v>
      </c>
      <c r="E76" s="1">
        <v>66</v>
      </c>
      <c r="F76" s="1">
        <v>175</v>
      </c>
      <c r="G76" s="1">
        <v>2155661</v>
      </c>
      <c r="H76" s="1">
        <v>51</v>
      </c>
    </row>
    <row r="77" spans="1:8" x14ac:dyDescent="0.3">
      <c r="A77" s="1" t="s">
        <v>160</v>
      </c>
      <c r="B77" s="1" t="s">
        <v>161</v>
      </c>
      <c r="C77" s="1">
        <v>2013</v>
      </c>
      <c r="D77" s="1">
        <v>144304</v>
      </c>
      <c r="E77" s="1">
        <v>2407</v>
      </c>
      <c r="F77" s="1">
        <v>1828</v>
      </c>
      <c r="G77" s="1">
        <v>12900866</v>
      </c>
      <c r="H77" s="1">
        <v>32</v>
      </c>
    </row>
    <row r="78" spans="1:8" x14ac:dyDescent="0.3">
      <c r="A78" s="1" t="s">
        <v>162</v>
      </c>
      <c r="B78" s="1" t="s">
        <v>163</v>
      </c>
      <c r="C78" s="1">
        <v>2013</v>
      </c>
      <c r="D78" s="1">
        <v>23649</v>
      </c>
      <c r="E78" s="1">
        <v>226</v>
      </c>
      <c r="F78" s="1">
        <v>266</v>
      </c>
      <c r="G78" s="1">
        <v>4356276</v>
      </c>
      <c r="H78" s="1">
        <v>0</v>
      </c>
    </row>
    <row r="79" spans="1:8" x14ac:dyDescent="0.3">
      <c r="A79" s="1" t="s">
        <v>164</v>
      </c>
      <c r="B79" s="1" t="s">
        <v>165</v>
      </c>
      <c r="C79" s="1">
        <v>2013</v>
      </c>
      <c r="D79" s="1">
        <v>21634</v>
      </c>
      <c r="E79" s="1">
        <v>280</v>
      </c>
      <c r="F79" s="1">
        <v>198</v>
      </c>
      <c r="G79" s="1">
        <v>1025797</v>
      </c>
      <c r="H79" s="1">
        <v>20</v>
      </c>
    </row>
    <row r="80" spans="1:8" x14ac:dyDescent="0.3">
      <c r="A80" s="1" t="s">
        <v>166</v>
      </c>
      <c r="B80" s="1" t="s">
        <v>167</v>
      </c>
      <c r="C80" s="1">
        <v>2013</v>
      </c>
      <c r="D80" s="1">
        <v>18965</v>
      </c>
      <c r="E80" s="1">
        <v>112</v>
      </c>
      <c r="F80" s="1">
        <v>163</v>
      </c>
      <c r="G80" s="1">
        <v>1762701</v>
      </c>
      <c r="H80" s="1">
        <v>0</v>
      </c>
    </row>
    <row r="81" spans="1:8" x14ac:dyDescent="0.3">
      <c r="A81" s="1" t="s">
        <v>168</v>
      </c>
      <c r="B81" s="1" t="s">
        <v>169</v>
      </c>
      <c r="C81" s="1">
        <v>2013</v>
      </c>
      <c r="D81" s="1">
        <v>20099</v>
      </c>
      <c r="E81" s="1">
        <v>124</v>
      </c>
      <c r="F81" s="1">
        <v>176</v>
      </c>
      <c r="G81" s="1">
        <v>2097628</v>
      </c>
      <c r="H81" s="1">
        <v>9</v>
      </c>
    </row>
    <row r="82" spans="1:8" x14ac:dyDescent="0.3">
      <c r="A82" s="1" t="s">
        <v>170</v>
      </c>
      <c r="B82" s="1" t="s">
        <v>171</v>
      </c>
      <c r="C82" s="1">
        <v>2013</v>
      </c>
      <c r="D82" s="1">
        <v>29847</v>
      </c>
      <c r="E82" s="1">
        <v>204</v>
      </c>
      <c r="F82" s="1">
        <v>206</v>
      </c>
      <c r="G82" s="1">
        <v>2867642</v>
      </c>
      <c r="H82" s="1">
        <v>32</v>
      </c>
    </row>
    <row r="83" spans="1:8" x14ac:dyDescent="0.3">
      <c r="A83" s="1" t="s">
        <v>172</v>
      </c>
      <c r="B83" s="1" t="s">
        <v>173</v>
      </c>
      <c r="C83" s="1">
        <v>2013</v>
      </c>
      <c r="D83" s="1">
        <v>15987</v>
      </c>
      <c r="E83" s="1">
        <v>155</v>
      </c>
      <c r="F83" s="1">
        <v>188</v>
      </c>
      <c r="G83" s="1">
        <v>1241829</v>
      </c>
      <c r="H83" s="1">
        <v>5</v>
      </c>
    </row>
    <row r="84" spans="1:8" x14ac:dyDescent="0.3">
      <c r="A84" s="1" t="s">
        <v>174</v>
      </c>
      <c r="B84" s="1" t="s">
        <v>175</v>
      </c>
      <c r="C84" s="1">
        <v>2013</v>
      </c>
      <c r="D84" s="1">
        <v>16401</v>
      </c>
      <c r="E84" s="1">
        <v>107</v>
      </c>
      <c r="F84" s="1">
        <v>150</v>
      </c>
      <c r="G84" s="1">
        <v>1191072</v>
      </c>
      <c r="H84" s="1">
        <v>28</v>
      </c>
    </row>
    <row r="85" spans="1:8" x14ac:dyDescent="0.3">
      <c r="A85" s="1" t="s">
        <v>176</v>
      </c>
      <c r="B85" s="1" t="s">
        <v>177</v>
      </c>
      <c r="C85" s="1">
        <v>2013</v>
      </c>
      <c r="D85" s="1">
        <v>11975</v>
      </c>
      <c r="E85" s="1">
        <v>108</v>
      </c>
      <c r="F85" s="1">
        <v>76</v>
      </c>
      <c r="G85" s="1">
        <v>972405</v>
      </c>
      <c r="H85" s="1">
        <v>19</v>
      </c>
    </row>
    <row r="86" spans="1:8" x14ac:dyDescent="0.3">
      <c r="A86" s="1" t="s">
        <v>178</v>
      </c>
      <c r="B86" s="1" t="s">
        <v>179</v>
      </c>
      <c r="C86" s="1">
        <v>2013</v>
      </c>
      <c r="D86" s="1">
        <v>19156</v>
      </c>
      <c r="E86" s="1">
        <v>105</v>
      </c>
      <c r="F86" s="1">
        <v>202</v>
      </c>
      <c r="G86" s="1">
        <v>883101</v>
      </c>
      <c r="H86" s="1">
        <v>1</v>
      </c>
    </row>
    <row r="87" spans="1:8" x14ac:dyDescent="0.3">
      <c r="A87" s="1" t="s">
        <v>180</v>
      </c>
      <c r="B87" s="1" t="s">
        <v>181</v>
      </c>
      <c r="C87" s="1">
        <v>2013</v>
      </c>
      <c r="D87" s="1">
        <v>30360</v>
      </c>
      <c r="E87" s="1">
        <v>425</v>
      </c>
      <c r="F87" s="1">
        <v>201</v>
      </c>
      <c r="G87" s="1">
        <v>1556674</v>
      </c>
      <c r="H87" s="1">
        <v>38</v>
      </c>
    </row>
    <row r="88" spans="1:8" x14ac:dyDescent="0.3">
      <c r="A88" s="1" t="s">
        <v>182</v>
      </c>
      <c r="B88" s="1" t="s">
        <v>183</v>
      </c>
      <c r="C88" s="1">
        <v>2013</v>
      </c>
      <c r="D88" s="1">
        <v>29167</v>
      </c>
      <c r="E88" s="1">
        <v>74</v>
      </c>
      <c r="F88" s="1">
        <v>215</v>
      </c>
      <c r="G88" s="1">
        <v>3285024</v>
      </c>
      <c r="H88" s="1">
        <v>3</v>
      </c>
    </row>
    <row r="89" spans="1:8" x14ac:dyDescent="0.3">
      <c r="A89" s="1" t="s">
        <v>184</v>
      </c>
      <c r="B89" s="1" t="s">
        <v>185</v>
      </c>
      <c r="C89" s="1">
        <v>2013</v>
      </c>
      <c r="D89" s="1">
        <v>33781</v>
      </c>
      <c r="E89" s="1">
        <v>163</v>
      </c>
      <c r="F89" s="1">
        <v>396</v>
      </c>
      <c r="G89" s="1">
        <v>2945565</v>
      </c>
      <c r="H89" s="1">
        <v>0</v>
      </c>
    </row>
    <row r="90" spans="1:8" x14ac:dyDescent="0.3">
      <c r="A90" s="1" t="s">
        <v>186</v>
      </c>
      <c r="B90" s="1" t="s">
        <v>187</v>
      </c>
      <c r="C90" s="1">
        <v>2013</v>
      </c>
      <c r="D90" s="1">
        <v>12232</v>
      </c>
      <c r="E90" s="1">
        <v>100</v>
      </c>
      <c r="F90" s="1">
        <v>40</v>
      </c>
      <c r="G90" s="1">
        <v>554961</v>
      </c>
      <c r="H90" s="1">
        <v>6</v>
      </c>
    </row>
    <row r="91" spans="1:8" x14ac:dyDescent="0.3">
      <c r="A91" s="1" t="s">
        <v>188</v>
      </c>
      <c r="B91" s="1" t="s">
        <v>189</v>
      </c>
      <c r="C91" s="1">
        <v>2013</v>
      </c>
      <c r="D91" s="1">
        <v>50431</v>
      </c>
      <c r="E91" s="1">
        <v>507</v>
      </c>
      <c r="F91" s="1">
        <v>1072</v>
      </c>
      <c r="G91" s="1">
        <v>4529715</v>
      </c>
      <c r="H91" s="1">
        <v>966</v>
      </c>
    </row>
    <row r="92" spans="1:8" x14ac:dyDescent="0.3">
      <c r="A92" s="1" t="s">
        <v>190</v>
      </c>
      <c r="B92" s="1" t="s">
        <v>191</v>
      </c>
      <c r="C92" s="1">
        <v>2013</v>
      </c>
      <c r="D92" s="1">
        <v>49435</v>
      </c>
      <c r="E92" s="1">
        <v>697</v>
      </c>
      <c r="F92" s="1">
        <v>745</v>
      </c>
      <c r="G92" s="1">
        <v>4404059</v>
      </c>
      <c r="H92" s="1">
        <v>10</v>
      </c>
    </row>
    <row r="93" spans="1:8" x14ac:dyDescent="0.3">
      <c r="A93" s="1" t="s">
        <v>192</v>
      </c>
      <c r="B93" s="1" t="s">
        <v>193</v>
      </c>
      <c r="C93" s="1">
        <v>2013</v>
      </c>
      <c r="D93" s="1">
        <v>39659</v>
      </c>
      <c r="E93" s="1">
        <v>307</v>
      </c>
      <c r="F93" s="1">
        <v>204</v>
      </c>
      <c r="G93" s="1">
        <v>2480757</v>
      </c>
      <c r="H93" s="1">
        <v>138</v>
      </c>
    </row>
    <row r="94" spans="1:8" x14ac:dyDescent="0.3">
      <c r="A94" s="1" t="s">
        <v>194</v>
      </c>
      <c r="B94" s="1" t="s">
        <v>195</v>
      </c>
      <c r="C94" s="1">
        <v>2013</v>
      </c>
      <c r="D94" s="1">
        <v>37334</v>
      </c>
      <c r="E94" s="1">
        <v>210</v>
      </c>
      <c r="F94" s="1">
        <v>139</v>
      </c>
      <c r="G94" s="1">
        <v>4571053</v>
      </c>
      <c r="H94" s="1">
        <v>14</v>
      </c>
    </row>
    <row r="95" spans="1:8" x14ac:dyDescent="0.3">
      <c r="A95" s="1" t="s">
        <v>196</v>
      </c>
      <c r="B95" s="1" t="s">
        <v>197</v>
      </c>
      <c r="C95" s="1">
        <v>2013</v>
      </c>
      <c r="D95" s="1">
        <v>18953</v>
      </c>
      <c r="E95" s="1">
        <v>153</v>
      </c>
      <c r="F95" s="1">
        <v>54</v>
      </c>
      <c r="G95" s="1">
        <v>1277581</v>
      </c>
      <c r="H95" s="1">
        <v>44</v>
      </c>
    </row>
    <row r="96" spans="1:8" x14ac:dyDescent="0.3">
      <c r="A96" s="1" t="s">
        <v>198</v>
      </c>
      <c r="B96" s="1" t="s">
        <v>199</v>
      </c>
      <c r="C96" s="1">
        <v>2013</v>
      </c>
      <c r="D96" s="1">
        <v>17180</v>
      </c>
      <c r="E96" s="1">
        <v>73</v>
      </c>
      <c r="F96" s="1">
        <v>38</v>
      </c>
      <c r="G96" s="1">
        <v>734630</v>
      </c>
      <c r="H96" s="1">
        <v>44</v>
      </c>
    </row>
    <row r="97" spans="1:8" x14ac:dyDescent="0.3">
      <c r="A97" s="1" t="s">
        <v>200</v>
      </c>
      <c r="B97" s="1" t="s">
        <v>201</v>
      </c>
      <c r="C97" s="1">
        <v>2013</v>
      </c>
      <c r="D97" s="1">
        <v>27293</v>
      </c>
      <c r="E97" s="1">
        <v>110</v>
      </c>
      <c r="F97" s="1">
        <v>67</v>
      </c>
      <c r="G97" s="1">
        <v>1251142</v>
      </c>
      <c r="H97" s="1">
        <v>23</v>
      </c>
    </row>
    <row r="98" spans="1:8" x14ac:dyDescent="0.3">
      <c r="A98" s="1" t="s">
        <v>202</v>
      </c>
      <c r="B98" s="1" t="s">
        <v>203</v>
      </c>
      <c r="C98" s="1">
        <v>2013</v>
      </c>
      <c r="D98" s="1">
        <v>23519</v>
      </c>
      <c r="E98" s="1">
        <v>283</v>
      </c>
      <c r="F98" s="1">
        <v>32</v>
      </c>
      <c r="G98" s="1">
        <v>567720</v>
      </c>
      <c r="H98" s="1">
        <v>41</v>
      </c>
    </row>
    <row r="99" spans="1:8" x14ac:dyDescent="0.3">
      <c r="A99" s="1" t="s">
        <v>204</v>
      </c>
      <c r="B99" s="1" t="s">
        <v>205</v>
      </c>
      <c r="C99" s="1">
        <v>2013</v>
      </c>
      <c r="D99" s="1">
        <v>25765</v>
      </c>
      <c r="E99" s="1">
        <v>177</v>
      </c>
      <c r="F99" s="1">
        <v>62</v>
      </c>
      <c r="G99" s="1">
        <v>588070</v>
      </c>
      <c r="H99" s="1">
        <v>78</v>
      </c>
    </row>
    <row r="100" spans="1:8" x14ac:dyDescent="0.3">
      <c r="A100" s="1" t="s">
        <v>206</v>
      </c>
      <c r="B100" s="1" t="s">
        <v>207</v>
      </c>
      <c r="C100" s="1">
        <v>2013</v>
      </c>
      <c r="D100" s="1">
        <v>50013</v>
      </c>
      <c r="E100" s="1">
        <v>356</v>
      </c>
      <c r="F100" s="1">
        <v>196</v>
      </c>
      <c r="G100" s="1">
        <v>2207551</v>
      </c>
      <c r="H100" s="1">
        <v>86</v>
      </c>
    </row>
    <row r="101" spans="1:8" x14ac:dyDescent="0.3">
      <c r="A101" s="1" t="s">
        <v>208</v>
      </c>
      <c r="B101" s="1" t="s">
        <v>209</v>
      </c>
      <c r="C101" s="1">
        <v>2013</v>
      </c>
      <c r="D101" s="1">
        <v>16744</v>
      </c>
      <c r="E101" s="1">
        <v>82</v>
      </c>
      <c r="F101" s="1">
        <v>20</v>
      </c>
      <c r="G101" s="1">
        <v>258501</v>
      </c>
      <c r="H101" s="1">
        <v>0</v>
      </c>
    </row>
    <row r="102" spans="1:8" x14ac:dyDescent="0.3">
      <c r="A102" s="1" t="s">
        <v>210</v>
      </c>
      <c r="B102" s="1" t="s">
        <v>211</v>
      </c>
      <c r="C102" s="1">
        <v>2013</v>
      </c>
      <c r="D102" s="1">
        <v>29496</v>
      </c>
      <c r="E102" s="1">
        <v>298</v>
      </c>
      <c r="F102" s="1">
        <v>8</v>
      </c>
      <c r="G102" s="1">
        <v>683497</v>
      </c>
      <c r="H102" s="1">
        <v>2</v>
      </c>
    </row>
    <row r="103" spans="1:8" x14ac:dyDescent="0.3">
      <c r="A103" s="1" t="s">
        <v>212</v>
      </c>
      <c r="B103" s="1" t="s">
        <v>213</v>
      </c>
      <c r="C103" s="1">
        <v>2013</v>
      </c>
      <c r="D103" s="1">
        <v>15237</v>
      </c>
      <c r="E103" s="1">
        <v>130</v>
      </c>
      <c r="F103" s="1">
        <v>65</v>
      </c>
      <c r="G103" s="1">
        <v>533083</v>
      </c>
      <c r="H103" s="1">
        <v>4</v>
      </c>
    </row>
    <row r="104" spans="1:8" x14ac:dyDescent="0.3">
      <c r="A104" s="1" t="s">
        <v>214</v>
      </c>
      <c r="B104" s="1" t="s">
        <v>215</v>
      </c>
      <c r="C104" s="1">
        <v>2013</v>
      </c>
      <c r="D104" s="1">
        <v>42555</v>
      </c>
      <c r="E104" s="1">
        <v>264</v>
      </c>
      <c r="F104" s="1">
        <v>51</v>
      </c>
      <c r="G104" s="1">
        <v>1369250</v>
      </c>
      <c r="H104" s="1">
        <v>3</v>
      </c>
    </row>
    <row r="105" spans="1:8" x14ac:dyDescent="0.3">
      <c r="A105" s="1" t="s">
        <v>216</v>
      </c>
      <c r="B105" s="1" t="s">
        <v>217</v>
      </c>
      <c r="C105" s="1">
        <v>2013</v>
      </c>
      <c r="D105" s="1">
        <v>16223</v>
      </c>
      <c r="E105" s="1">
        <v>100</v>
      </c>
      <c r="F105" s="1">
        <v>30</v>
      </c>
      <c r="G105" s="1">
        <v>732364</v>
      </c>
      <c r="H105" s="1">
        <v>17</v>
      </c>
    </row>
    <row r="106" spans="1:8" x14ac:dyDescent="0.3">
      <c r="A106" s="1" t="s">
        <v>218</v>
      </c>
      <c r="B106" s="1" t="s">
        <v>219</v>
      </c>
      <c r="C106" s="1">
        <v>2013</v>
      </c>
      <c r="D106" s="1">
        <v>39029</v>
      </c>
      <c r="E106" s="1">
        <v>190</v>
      </c>
      <c r="F106" s="1">
        <v>153</v>
      </c>
      <c r="G106" s="1">
        <v>2095307</v>
      </c>
      <c r="H106" s="1">
        <v>2</v>
      </c>
    </row>
    <row r="107" spans="1:8" x14ac:dyDescent="0.3">
      <c r="A107" s="1" t="s">
        <v>220</v>
      </c>
      <c r="B107" s="1" t="s">
        <v>221</v>
      </c>
      <c r="C107" s="1">
        <v>2013</v>
      </c>
      <c r="D107" s="1">
        <v>12065</v>
      </c>
      <c r="E107" s="1">
        <v>139</v>
      </c>
      <c r="F107" s="1">
        <v>0</v>
      </c>
      <c r="G107" s="1">
        <v>8061</v>
      </c>
      <c r="H107" s="1">
        <v>0</v>
      </c>
    </row>
    <row r="108" spans="1:8" x14ac:dyDescent="0.3">
      <c r="A108" s="1" t="s">
        <v>222</v>
      </c>
      <c r="B108" s="1" t="s">
        <v>151</v>
      </c>
      <c r="C108" s="1">
        <v>2013</v>
      </c>
      <c r="D108" s="1">
        <v>45019</v>
      </c>
      <c r="E108" s="1">
        <v>287</v>
      </c>
      <c r="F108" s="1">
        <v>134</v>
      </c>
      <c r="G108" s="1">
        <v>2837364</v>
      </c>
      <c r="H108" s="1">
        <v>18</v>
      </c>
    </row>
    <row r="109" spans="1:8" x14ac:dyDescent="0.3">
      <c r="A109" s="1" t="s">
        <v>223</v>
      </c>
      <c r="B109" s="1" t="s">
        <v>224</v>
      </c>
      <c r="C109" s="1">
        <v>2013</v>
      </c>
      <c r="D109" s="1">
        <v>25053</v>
      </c>
      <c r="E109" s="1">
        <v>148</v>
      </c>
      <c r="F109" s="1">
        <v>44</v>
      </c>
      <c r="G109" s="1">
        <v>1218937</v>
      </c>
      <c r="H109" s="1">
        <v>3</v>
      </c>
    </row>
    <row r="110" spans="1:8" x14ac:dyDescent="0.3">
      <c r="A110" s="1" t="s">
        <v>225</v>
      </c>
      <c r="B110" s="1" t="s">
        <v>226</v>
      </c>
      <c r="C110" s="1">
        <v>2013</v>
      </c>
      <c r="D110" s="1">
        <v>13143</v>
      </c>
      <c r="E110" s="1">
        <v>85</v>
      </c>
      <c r="F110" s="1">
        <v>17</v>
      </c>
      <c r="G110" s="1">
        <v>414971</v>
      </c>
      <c r="H110" s="1">
        <v>1</v>
      </c>
    </row>
    <row r="111" spans="1:8" x14ac:dyDescent="0.3">
      <c r="A111" s="1" t="s">
        <v>227</v>
      </c>
      <c r="B111" s="1" t="s">
        <v>228</v>
      </c>
      <c r="C111" s="1">
        <v>2013</v>
      </c>
      <c r="D111" s="1">
        <v>24173</v>
      </c>
      <c r="E111" s="1">
        <v>162</v>
      </c>
      <c r="F111" s="1">
        <v>91</v>
      </c>
      <c r="G111" s="1">
        <v>1854530</v>
      </c>
      <c r="H111" s="1">
        <v>37</v>
      </c>
    </row>
    <row r="112" spans="1:8" x14ac:dyDescent="0.3">
      <c r="A112" s="1" t="s">
        <v>229</v>
      </c>
      <c r="B112" s="1" t="s">
        <v>230</v>
      </c>
      <c r="C112" s="1">
        <v>2013</v>
      </c>
      <c r="D112" s="1">
        <v>64186</v>
      </c>
      <c r="E112" s="1">
        <v>728</v>
      </c>
      <c r="F112" s="1">
        <v>365</v>
      </c>
      <c r="G112" s="1">
        <v>3449899</v>
      </c>
      <c r="H112" s="1">
        <v>33</v>
      </c>
    </row>
    <row r="113" spans="1:8" x14ac:dyDescent="0.3">
      <c r="A113" s="1" t="s">
        <v>231</v>
      </c>
      <c r="B113" s="1" t="s">
        <v>232</v>
      </c>
      <c r="C113" s="1">
        <v>2013</v>
      </c>
      <c r="D113" s="1">
        <v>11153</v>
      </c>
      <c r="E113" s="1">
        <v>109</v>
      </c>
      <c r="F113" s="1">
        <v>23</v>
      </c>
      <c r="G113" s="1">
        <v>408738</v>
      </c>
      <c r="H113" s="1">
        <v>0</v>
      </c>
    </row>
    <row r="114" spans="1:8" x14ac:dyDescent="0.3">
      <c r="A114" s="1" t="s">
        <v>233</v>
      </c>
      <c r="B114" s="1" t="s">
        <v>234</v>
      </c>
      <c r="C114" s="1">
        <v>2013</v>
      </c>
      <c r="D114" s="1">
        <v>348151</v>
      </c>
      <c r="E114" s="1">
        <v>1435</v>
      </c>
      <c r="F114" s="1">
        <v>4727</v>
      </c>
      <c r="G114" s="1">
        <v>31002842</v>
      </c>
      <c r="H114" s="1">
        <v>1078</v>
      </c>
    </row>
    <row r="115" spans="1:8" x14ac:dyDescent="0.3">
      <c r="A115" s="1" t="s">
        <v>235</v>
      </c>
      <c r="B115" s="1" t="s">
        <v>236</v>
      </c>
      <c r="C115" s="1">
        <v>2013</v>
      </c>
      <c r="D115" s="1">
        <v>31023</v>
      </c>
      <c r="E115" s="1">
        <v>112</v>
      </c>
      <c r="F115" s="1">
        <v>153</v>
      </c>
      <c r="G115" s="1">
        <v>5081845</v>
      </c>
      <c r="H115" s="1">
        <v>0</v>
      </c>
    </row>
    <row r="116" spans="1:8" x14ac:dyDescent="0.3">
      <c r="A116" s="1" t="s">
        <v>237</v>
      </c>
      <c r="B116" s="1" t="s">
        <v>238</v>
      </c>
      <c r="C116" s="1">
        <v>2013</v>
      </c>
      <c r="D116" s="1">
        <v>19449</v>
      </c>
      <c r="E116" s="1">
        <v>71</v>
      </c>
      <c r="F116" s="1">
        <v>184</v>
      </c>
      <c r="G116" s="1">
        <v>911352</v>
      </c>
      <c r="H116" s="1">
        <v>0</v>
      </c>
    </row>
    <row r="117" spans="1:8" x14ac:dyDescent="0.3">
      <c r="A117" s="1" t="s">
        <v>239</v>
      </c>
      <c r="B117" s="1" t="s">
        <v>240</v>
      </c>
      <c r="C117" s="1">
        <v>2013</v>
      </c>
      <c r="D117" s="1">
        <v>30620</v>
      </c>
      <c r="E117" s="1">
        <v>432</v>
      </c>
      <c r="F117" s="1">
        <v>104</v>
      </c>
      <c r="G117" s="1">
        <v>593252</v>
      </c>
      <c r="H117" s="1">
        <v>0</v>
      </c>
    </row>
    <row r="118" spans="1:8" x14ac:dyDescent="0.3">
      <c r="A118" s="1" t="s">
        <v>241</v>
      </c>
      <c r="B118" s="1" t="s">
        <v>242</v>
      </c>
      <c r="C118" s="1">
        <v>2013</v>
      </c>
      <c r="D118" s="1">
        <v>26683</v>
      </c>
      <c r="E118" s="1">
        <v>244</v>
      </c>
      <c r="F118" s="1">
        <v>14</v>
      </c>
      <c r="G118" s="1">
        <v>385255</v>
      </c>
      <c r="H118" s="1">
        <v>8</v>
      </c>
    </row>
    <row r="119" spans="1:8" x14ac:dyDescent="0.3">
      <c r="A119" s="1" t="s">
        <v>243</v>
      </c>
      <c r="B119" s="1" t="s">
        <v>244</v>
      </c>
      <c r="C119" s="1">
        <v>2013</v>
      </c>
      <c r="D119" s="1">
        <v>43513</v>
      </c>
      <c r="E119" s="1">
        <v>274</v>
      </c>
      <c r="F119" s="1">
        <v>154</v>
      </c>
      <c r="G119" s="1">
        <v>4381617</v>
      </c>
      <c r="H119" s="1">
        <v>168</v>
      </c>
    </row>
    <row r="120" spans="1:8" x14ac:dyDescent="0.3">
      <c r="A120" s="1" t="s">
        <v>245</v>
      </c>
      <c r="B120" s="1" t="s">
        <v>246</v>
      </c>
      <c r="C120" s="1">
        <v>2013</v>
      </c>
      <c r="D120" s="1">
        <v>16226</v>
      </c>
      <c r="E120" s="1">
        <v>161</v>
      </c>
      <c r="F120" s="1">
        <v>17</v>
      </c>
      <c r="G120" s="1">
        <v>337684</v>
      </c>
      <c r="H120" s="1">
        <v>0</v>
      </c>
    </row>
    <row r="121" spans="1:8" x14ac:dyDescent="0.3">
      <c r="A121" s="1" t="s">
        <v>247</v>
      </c>
      <c r="B121" s="1" t="s">
        <v>248</v>
      </c>
      <c r="C121" s="1">
        <v>2013</v>
      </c>
      <c r="D121" s="1">
        <v>30993</v>
      </c>
      <c r="E121" s="1">
        <v>291</v>
      </c>
      <c r="F121" s="1">
        <v>75</v>
      </c>
      <c r="G121" s="1">
        <v>1334909</v>
      </c>
      <c r="H121" s="1">
        <v>0</v>
      </c>
    </row>
    <row r="122" spans="1:8" x14ac:dyDescent="0.3">
      <c r="A122" s="1" t="s">
        <v>249</v>
      </c>
      <c r="B122" s="1" t="s">
        <v>250</v>
      </c>
      <c r="C122" s="1">
        <v>2013</v>
      </c>
      <c r="D122" s="1">
        <v>81522</v>
      </c>
      <c r="E122" s="1">
        <v>1300</v>
      </c>
      <c r="F122" s="1">
        <v>163</v>
      </c>
      <c r="G122" s="1">
        <v>1048763</v>
      </c>
      <c r="H122" s="1">
        <v>21</v>
      </c>
    </row>
    <row r="123" spans="1:8" x14ac:dyDescent="0.3">
      <c r="A123" s="1" t="s">
        <v>251</v>
      </c>
      <c r="B123" s="1" t="s">
        <v>252</v>
      </c>
      <c r="C123" s="1">
        <v>2013</v>
      </c>
      <c r="D123" s="1">
        <v>32824</v>
      </c>
      <c r="E123" s="1">
        <v>384</v>
      </c>
      <c r="F123" s="1">
        <v>33</v>
      </c>
      <c r="G123" s="1">
        <v>467441</v>
      </c>
      <c r="H123" s="1">
        <v>11</v>
      </c>
    </row>
    <row r="124" spans="1:8" x14ac:dyDescent="0.3">
      <c r="A124" s="1" t="s">
        <v>253</v>
      </c>
      <c r="B124" s="1" t="s">
        <v>254</v>
      </c>
      <c r="C124" s="1">
        <v>2013</v>
      </c>
      <c r="D124" s="1">
        <v>16971</v>
      </c>
      <c r="E124" s="1">
        <v>100</v>
      </c>
      <c r="F124" s="1">
        <v>40</v>
      </c>
      <c r="G124" s="1">
        <v>359518</v>
      </c>
      <c r="H124" s="1">
        <v>0</v>
      </c>
    </row>
    <row r="125" spans="1:8" x14ac:dyDescent="0.3">
      <c r="A125" s="1" t="s">
        <v>255</v>
      </c>
      <c r="B125" s="1" t="s">
        <v>256</v>
      </c>
      <c r="C125" s="1">
        <v>2013</v>
      </c>
      <c r="D125" s="1">
        <v>33139</v>
      </c>
      <c r="E125" s="1">
        <v>410</v>
      </c>
      <c r="F125" s="1">
        <v>54</v>
      </c>
      <c r="G125" s="1">
        <v>334578</v>
      </c>
      <c r="H125" s="1">
        <v>0</v>
      </c>
    </row>
    <row r="126" spans="1:8" x14ac:dyDescent="0.3">
      <c r="A126" s="1" t="s">
        <v>257</v>
      </c>
      <c r="B126" s="1" t="s">
        <v>258</v>
      </c>
      <c r="C126" s="1">
        <v>2013</v>
      </c>
      <c r="D126" s="1">
        <v>52125</v>
      </c>
      <c r="E126" s="1">
        <v>625</v>
      </c>
      <c r="F126" s="1">
        <v>161</v>
      </c>
      <c r="G126" s="1">
        <v>1088283</v>
      </c>
      <c r="H126" s="1">
        <v>28</v>
      </c>
    </row>
    <row r="127" spans="1:8" x14ac:dyDescent="0.3">
      <c r="A127" s="1" t="s">
        <v>259</v>
      </c>
      <c r="B127" s="1" t="s">
        <v>260</v>
      </c>
      <c r="C127" s="1">
        <v>2013</v>
      </c>
      <c r="D127" s="1">
        <v>51482</v>
      </c>
      <c r="E127" s="1">
        <v>515</v>
      </c>
      <c r="F127" s="1">
        <v>110</v>
      </c>
      <c r="G127" s="1">
        <v>1175040</v>
      </c>
      <c r="H127" s="1">
        <v>4</v>
      </c>
    </row>
    <row r="128" spans="1:8" x14ac:dyDescent="0.3">
      <c r="A128" s="1" t="s">
        <v>261</v>
      </c>
      <c r="B128" s="1" t="s">
        <v>262</v>
      </c>
      <c r="C128" s="1">
        <v>2013</v>
      </c>
      <c r="D128" s="1">
        <v>37455</v>
      </c>
      <c r="E128" s="1">
        <v>213</v>
      </c>
      <c r="F128" s="1">
        <v>151</v>
      </c>
      <c r="G128" s="1">
        <v>1627393</v>
      </c>
      <c r="H128" s="1">
        <v>23</v>
      </c>
    </row>
    <row r="129" spans="1:8" x14ac:dyDescent="0.3">
      <c r="A129" s="1" t="s">
        <v>263</v>
      </c>
      <c r="B129" s="1" t="s">
        <v>264</v>
      </c>
      <c r="C129" s="1">
        <v>2013</v>
      </c>
      <c r="D129" s="1">
        <v>50116</v>
      </c>
      <c r="E129" s="1">
        <v>475</v>
      </c>
      <c r="F129" s="1">
        <v>195</v>
      </c>
      <c r="G129" s="1">
        <v>3472629</v>
      </c>
      <c r="H129" s="1">
        <v>24</v>
      </c>
    </row>
    <row r="130" spans="1:8" x14ac:dyDescent="0.3">
      <c r="A130" s="1" t="s">
        <v>265</v>
      </c>
      <c r="B130" s="1" t="s">
        <v>266</v>
      </c>
      <c r="C130" s="1">
        <v>2013</v>
      </c>
      <c r="D130" s="1">
        <v>12777</v>
      </c>
      <c r="E130" s="1">
        <v>84</v>
      </c>
      <c r="F130" s="1">
        <v>8</v>
      </c>
      <c r="G130" s="1">
        <v>429757</v>
      </c>
      <c r="H130" s="1">
        <v>2</v>
      </c>
    </row>
    <row r="131" spans="1:8" x14ac:dyDescent="0.3">
      <c r="A131" s="1" t="s">
        <v>267</v>
      </c>
      <c r="B131" s="1" t="s">
        <v>268</v>
      </c>
      <c r="C131" s="1">
        <v>2013</v>
      </c>
      <c r="D131" s="1">
        <v>24389</v>
      </c>
      <c r="E131" s="1">
        <v>302</v>
      </c>
      <c r="F131" s="1">
        <v>68</v>
      </c>
      <c r="G131" s="1">
        <v>214928</v>
      </c>
      <c r="H131" s="1">
        <v>9</v>
      </c>
    </row>
    <row r="132" spans="1:8" x14ac:dyDescent="0.3">
      <c r="A132" s="1" t="s">
        <v>269</v>
      </c>
      <c r="B132" s="1" t="s">
        <v>270</v>
      </c>
      <c r="C132" s="1">
        <v>2013</v>
      </c>
      <c r="D132" s="1">
        <v>52291</v>
      </c>
      <c r="E132" s="1">
        <v>765</v>
      </c>
      <c r="F132" s="1">
        <v>0</v>
      </c>
      <c r="G132" s="1">
        <v>418529</v>
      </c>
      <c r="H132" s="1">
        <v>4</v>
      </c>
    </row>
    <row r="133" spans="1:8" x14ac:dyDescent="0.3">
      <c r="A133" s="1" t="s">
        <v>271</v>
      </c>
      <c r="B133" s="1" t="s">
        <v>272</v>
      </c>
      <c r="C133" s="1">
        <v>2013</v>
      </c>
      <c r="D133" s="1">
        <v>23946</v>
      </c>
      <c r="E133" s="1">
        <v>201</v>
      </c>
      <c r="F133" s="1">
        <v>38</v>
      </c>
      <c r="G133" s="1">
        <v>509227</v>
      </c>
      <c r="H133" s="1">
        <v>0</v>
      </c>
    </row>
    <row r="134" spans="1:8" x14ac:dyDescent="0.3">
      <c r="A134" s="1" t="s">
        <v>273</v>
      </c>
      <c r="B134" s="1" t="s">
        <v>274</v>
      </c>
      <c r="C134" s="1">
        <v>2013</v>
      </c>
      <c r="D134" s="1">
        <v>45452</v>
      </c>
      <c r="E134" s="1">
        <v>467</v>
      </c>
      <c r="F134" s="1">
        <v>144</v>
      </c>
      <c r="G134" s="1">
        <v>1858543</v>
      </c>
      <c r="H134" s="1">
        <v>6</v>
      </c>
    </row>
    <row r="135" spans="1:8" x14ac:dyDescent="0.3">
      <c r="A135" s="1" t="s">
        <v>275</v>
      </c>
      <c r="B135" s="1" t="s">
        <v>276</v>
      </c>
      <c r="C135" s="1">
        <v>2013</v>
      </c>
      <c r="D135" s="1">
        <v>36075</v>
      </c>
      <c r="E135" s="1">
        <v>659</v>
      </c>
      <c r="F135" s="1">
        <v>280</v>
      </c>
      <c r="G135" s="1">
        <v>262990</v>
      </c>
      <c r="H135" s="1">
        <v>0</v>
      </c>
    </row>
    <row r="136" spans="1:8" x14ac:dyDescent="0.3">
      <c r="A136" s="1" t="s">
        <v>277</v>
      </c>
      <c r="B136" s="1" t="s">
        <v>278</v>
      </c>
      <c r="C136" s="1">
        <v>2013</v>
      </c>
      <c r="D136" s="1">
        <v>346414</v>
      </c>
      <c r="E136" s="1">
        <v>7019</v>
      </c>
      <c r="F136" s="1">
        <v>9721</v>
      </c>
      <c r="G136" s="1">
        <v>22286481</v>
      </c>
      <c r="H136" s="1">
        <v>207</v>
      </c>
    </row>
    <row r="137" spans="1:8" x14ac:dyDescent="0.3">
      <c r="A137" s="1" t="s">
        <v>279</v>
      </c>
      <c r="B137" s="1" t="s">
        <v>280</v>
      </c>
      <c r="C137" s="1">
        <v>2013</v>
      </c>
      <c r="D137" s="1">
        <v>29406</v>
      </c>
      <c r="E137" s="1">
        <v>301</v>
      </c>
      <c r="F137" s="1">
        <v>225</v>
      </c>
      <c r="G137" s="1">
        <v>3466770</v>
      </c>
      <c r="H137" s="1">
        <v>2</v>
      </c>
    </row>
    <row r="138" spans="1:8" x14ac:dyDescent="0.3">
      <c r="A138" s="1" t="s">
        <v>281</v>
      </c>
      <c r="B138" s="1" t="s">
        <v>282</v>
      </c>
      <c r="C138" s="1">
        <v>2013</v>
      </c>
      <c r="D138" s="1">
        <v>42734</v>
      </c>
      <c r="E138" s="1">
        <v>260</v>
      </c>
      <c r="F138" s="1">
        <v>292</v>
      </c>
      <c r="G138" s="1">
        <v>6390453</v>
      </c>
      <c r="H138" s="1">
        <v>76</v>
      </c>
    </row>
    <row r="139" spans="1:8" x14ac:dyDescent="0.3">
      <c r="A139" s="1" t="s">
        <v>283</v>
      </c>
      <c r="B139" s="1" t="s">
        <v>284</v>
      </c>
      <c r="C139" s="1">
        <v>2013</v>
      </c>
      <c r="D139" s="1">
        <v>11584</v>
      </c>
      <c r="E139" s="1">
        <v>90</v>
      </c>
      <c r="F139" s="1">
        <v>8</v>
      </c>
      <c r="G139" s="1">
        <v>122743</v>
      </c>
      <c r="H139" s="1">
        <v>0</v>
      </c>
    </row>
    <row r="140" spans="1:8" x14ac:dyDescent="0.3">
      <c r="A140" s="1" t="s">
        <v>285</v>
      </c>
      <c r="B140" s="1" t="s">
        <v>286</v>
      </c>
      <c r="C140" s="1">
        <v>2013</v>
      </c>
      <c r="D140" s="1">
        <v>30403</v>
      </c>
      <c r="E140" s="1">
        <v>287</v>
      </c>
      <c r="F140" s="1">
        <v>195</v>
      </c>
      <c r="G140" s="1">
        <v>3086758</v>
      </c>
      <c r="H140" s="1">
        <v>36</v>
      </c>
    </row>
    <row r="141" spans="1:8" x14ac:dyDescent="0.3">
      <c r="A141" s="1" t="s">
        <v>287</v>
      </c>
      <c r="B141" s="1" t="s">
        <v>288</v>
      </c>
      <c r="C141" s="1">
        <v>2013</v>
      </c>
      <c r="D141" s="1">
        <v>33838</v>
      </c>
      <c r="E141" s="1">
        <v>389</v>
      </c>
      <c r="F141" s="1">
        <v>11</v>
      </c>
      <c r="G141" s="1">
        <v>477698</v>
      </c>
      <c r="H141" s="1">
        <v>5</v>
      </c>
    </row>
    <row r="142" spans="1:8" x14ac:dyDescent="0.3">
      <c r="A142" s="1" t="s">
        <v>289</v>
      </c>
      <c r="B142" s="1" t="s">
        <v>290</v>
      </c>
      <c r="C142" s="1">
        <v>2013</v>
      </c>
      <c r="D142" s="1">
        <v>15906</v>
      </c>
      <c r="E142" s="1">
        <v>111</v>
      </c>
      <c r="F142" s="1">
        <v>34</v>
      </c>
      <c r="G142" s="1">
        <v>996615</v>
      </c>
      <c r="H142" s="1">
        <v>28</v>
      </c>
    </row>
    <row r="143" spans="1:8" x14ac:dyDescent="0.3">
      <c r="A143" s="1" t="s">
        <v>291</v>
      </c>
      <c r="B143" s="1" t="s">
        <v>292</v>
      </c>
      <c r="C143" s="1">
        <v>2013</v>
      </c>
      <c r="D143" s="1">
        <v>33139</v>
      </c>
      <c r="E143" s="1">
        <v>565</v>
      </c>
      <c r="F143" s="1">
        <v>18</v>
      </c>
      <c r="G143" s="1">
        <v>1175328</v>
      </c>
      <c r="H143" s="1">
        <v>38</v>
      </c>
    </row>
    <row r="144" spans="1:8" x14ac:dyDescent="0.3">
      <c r="A144" s="1" t="s">
        <v>293</v>
      </c>
      <c r="B144" s="1" t="s">
        <v>294</v>
      </c>
      <c r="C144" s="1">
        <v>2013</v>
      </c>
      <c r="D144" s="1">
        <v>35413</v>
      </c>
      <c r="E144" s="1">
        <v>393</v>
      </c>
      <c r="F144" s="1">
        <v>0</v>
      </c>
      <c r="G144" s="1">
        <v>730854</v>
      </c>
      <c r="H144" s="1">
        <v>6</v>
      </c>
    </row>
    <row r="145" spans="1:8" x14ac:dyDescent="0.3">
      <c r="A145" s="1" t="s">
        <v>295</v>
      </c>
      <c r="B145" s="1" t="s">
        <v>296</v>
      </c>
      <c r="C145" s="1">
        <v>2013</v>
      </c>
      <c r="D145" s="1">
        <v>21636</v>
      </c>
      <c r="E145" s="1">
        <v>238</v>
      </c>
      <c r="F145" s="1">
        <v>66</v>
      </c>
      <c r="G145" s="1">
        <v>658733</v>
      </c>
      <c r="H145" s="1">
        <v>0</v>
      </c>
    </row>
    <row r="146" spans="1:8" x14ac:dyDescent="0.3">
      <c r="A146" s="1" t="s">
        <v>297</v>
      </c>
      <c r="B146" s="1" t="s">
        <v>298</v>
      </c>
      <c r="C146" s="1">
        <v>2013</v>
      </c>
      <c r="D146" s="1">
        <v>41909</v>
      </c>
      <c r="E146" s="1">
        <v>931</v>
      </c>
      <c r="F146" s="1">
        <v>270</v>
      </c>
      <c r="G146" s="1">
        <v>1213455</v>
      </c>
      <c r="H146" s="1">
        <v>54</v>
      </c>
    </row>
    <row r="147" spans="1:8" x14ac:dyDescent="0.3">
      <c r="A147" s="1" t="s">
        <v>299</v>
      </c>
      <c r="B147" s="1" t="s">
        <v>300</v>
      </c>
      <c r="C147" s="1">
        <v>2013</v>
      </c>
      <c r="D147" s="1">
        <v>13076</v>
      </c>
      <c r="E147" s="1">
        <v>59</v>
      </c>
      <c r="F147" s="1">
        <v>0</v>
      </c>
      <c r="G147" s="1">
        <v>143601</v>
      </c>
      <c r="H147" s="1">
        <v>10</v>
      </c>
    </row>
    <row r="148" spans="1:8" x14ac:dyDescent="0.3">
      <c r="A148" s="1" t="s">
        <v>301</v>
      </c>
      <c r="B148" s="1" t="s">
        <v>302</v>
      </c>
      <c r="C148" s="1">
        <v>2013</v>
      </c>
      <c r="D148" s="1">
        <v>11309</v>
      </c>
      <c r="E148" s="1">
        <v>84</v>
      </c>
      <c r="F148" s="1">
        <v>44</v>
      </c>
      <c r="G148" s="1">
        <v>302567</v>
      </c>
      <c r="H148" s="1">
        <v>2</v>
      </c>
    </row>
    <row r="149" spans="1:8" x14ac:dyDescent="0.3">
      <c r="A149" s="1" t="s">
        <v>303</v>
      </c>
      <c r="B149" s="1" t="s">
        <v>304</v>
      </c>
      <c r="C149" s="1">
        <v>2013</v>
      </c>
      <c r="D149" s="1">
        <v>14913</v>
      </c>
      <c r="E149" s="1">
        <v>135</v>
      </c>
      <c r="F149" s="1">
        <v>0</v>
      </c>
      <c r="G149" s="1">
        <v>694691</v>
      </c>
      <c r="H149" s="1">
        <v>0</v>
      </c>
    </row>
    <row r="150" spans="1:8" x14ac:dyDescent="0.3">
      <c r="A150" s="1" t="s">
        <v>305</v>
      </c>
      <c r="B150" s="1" t="s">
        <v>306</v>
      </c>
      <c r="C150" s="1">
        <v>2013</v>
      </c>
      <c r="D150" s="1">
        <v>53421</v>
      </c>
      <c r="E150" s="1">
        <v>791</v>
      </c>
      <c r="F150" s="1">
        <v>460</v>
      </c>
      <c r="G150" s="1">
        <v>1070473</v>
      </c>
      <c r="H150" s="1">
        <v>108</v>
      </c>
    </row>
    <row r="151" spans="1:8" x14ac:dyDescent="0.3">
      <c r="A151" s="1" t="s">
        <v>307</v>
      </c>
      <c r="B151" s="1" t="s">
        <v>308</v>
      </c>
      <c r="C151" s="1">
        <v>2013</v>
      </c>
      <c r="D151" s="1">
        <v>24368</v>
      </c>
      <c r="E151" s="1">
        <v>366</v>
      </c>
      <c r="F151" s="1">
        <v>223</v>
      </c>
      <c r="G151" s="1">
        <v>1099716</v>
      </c>
      <c r="H151" s="1">
        <v>33</v>
      </c>
    </row>
    <row r="152" spans="1:8" x14ac:dyDescent="0.3">
      <c r="A152" s="1" t="s">
        <v>309</v>
      </c>
      <c r="B152" s="1" t="s">
        <v>310</v>
      </c>
      <c r="C152" s="1">
        <v>2013</v>
      </c>
      <c r="D152" s="1">
        <v>28369</v>
      </c>
      <c r="E152" s="1">
        <v>500</v>
      </c>
      <c r="F152" s="1">
        <v>284</v>
      </c>
      <c r="G152" s="1">
        <v>1236903</v>
      </c>
      <c r="H152" s="1">
        <v>24</v>
      </c>
    </row>
    <row r="153" spans="1:8" x14ac:dyDescent="0.3">
      <c r="A153" s="1" t="s">
        <v>311</v>
      </c>
      <c r="B153" s="1" t="s">
        <v>312</v>
      </c>
      <c r="C153" s="1">
        <v>2013</v>
      </c>
      <c r="D153" s="1">
        <v>23692</v>
      </c>
      <c r="E153" s="1">
        <v>363</v>
      </c>
      <c r="F153" s="1">
        <v>3</v>
      </c>
      <c r="G153" s="1">
        <v>329286</v>
      </c>
      <c r="H153" s="1">
        <v>16</v>
      </c>
    </row>
    <row r="154" spans="1:8" x14ac:dyDescent="0.3">
      <c r="A154" s="1" t="s">
        <v>313</v>
      </c>
      <c r="B154" s="1" t="s">
        <v>314</v>
      </c>
      <c r="C154" s="1">
        <v>2013</v>
      </c>
      <c r="D154" s="1">
        <v>24286</v>
      </c>
      <c r="E154" s="1">
        <v>99</v>
      </c>
      <c r="F154" s="1">
        <v>23</v>
      </c>
      <c r="G154" s="1">
        <v>929328</v>
      </c>
      <c r="H154" s="1">
        <v>14</v>
      </c>
    </row>
    <row r="155" spans="1:8" x14ac:dyDescent="0.3">
      <c r="A155" s="1" t="s">
        <v>315</v>
      </c>
      <c r="B155" s="1" t="s">
        <v>316</v>
      </c>
      <c r="C155" s="1">
        <v>2013</v>
      </c>
      <c r="D155" s="1">
        <v>45330</v>
      </c>
      <c r="E155" s="1">
        <v>550</v>
      </c>
      <c r="F155" s="1">
        <v>179</v>
      </c>
      <c r="G155" s="1">
        <v>1317565</v>
      </c>
      <c r="H155" s="1">
        <v>98</v>
      </c>
    </row>
    <row r="156" spans="1:8" x14ac:dyDescent="0.3">
      <c r="A156" s="1" t="s">
        <v>317</v>
      </c>
      <c r="B156" s="1" t="s">
        <v>318</v>
      </c>
      <c r="C156" s="1">
        <v>2013</v>
      </c>
      <c r="D156" s="1">
        <v>70115</v>
      </c>
      <c r="E156" s="1">
        <v>1227</v>
      </c>
      <c r="F156" s="1">
        <v>1315</v>
      </c>
      <c r="G156" s="1">
        <v>1586777</v>
      </c>
      <c r="H156" s="1">
        <v>84</v>
      </c>
    </row>
    <row r="157" spans="1:8" x14ac:dyDescent="0.3">
      <c r="A157" s="1" t="s">
        <v>319</v>
      </c>
      <c r="B157" s="1" t="s">
        <v>320</v>
      </c>
      <c r="C157" s="1">
        <v>2013</v>
      </c>
      <c r="D157" s="1">
        <v>33669</v>
      </c>
      <c r="E157" s="1">
        <v>500</v>
      </c>
      <c r="F157" s="1">
        <v>35</v>
      </c>
      <c r="G157" s="1">
        <v>534613</v>
      </c>
      <c r="H157" s="1">
        <v>17</v>
      </c>
    </row>
    <row r="158" spans="1:8" x14ac:dyDescent="0.3">
      <c r="A158" s="1" t="s">
        <v>321</v>
      </c>
      <c r="B158" s="1" t="s">
        <v>322</v>
      </c>
      <c r="C158" s="1">
        <v>2013</v>
      </c>
      <c r="D158" s="1">
        <v>29427</v>
      </c>
      <c r="E158" s="1">
        <v>325</v>
      </c>
      <c r="F158" s="1">
        <v>120</v>
      </c>
      <c r="G158" s="1">
        <v>1468522</v>
      </c>
      <c r="H158" s="1">
        <v>27</v>
      </c>
    </row>
    <row r="159" spans="1:8" x14ac:dyDescent="0.3">
      <c r="A159" s="1" t="s">
        <v>323</v>
      </c>
      <c r="B159" s="1" t="s">
        <v>324</v>
      </c>
      <c r="C159" s="1">
        <v>2013</v>
      </c>
      <c r="D159" s="1">
        <v>60480</v>
      </c>
      <c r="E159" s="1">
        <v>465</v>
      </c>
      <c r="F159" s="1">
        <v>537</v>
      </c>
      <c r="G159" s="1">
        <v>1936326</v>
      </c>
      <c r="H159" s="1">
        <v>108</v>
      </c>
    </row>
    <row r="160" spans="1:8" x14ac:dyDescent="0.3">
      <c r="A160" s="1" t="s">
        <v>325</v>
      </c>
      <c r="B160" s="1" t="s">
        <v>326</v>
      </c>
      <c r="C160" s="1">
        <v>2013</v>
      </c>
      <c r="D160" s="1">
        <v>15822</v>
      </c>
      <c r="E160" s="1">
        <v>135</v>
      </c>
      <c r="F160" s="1">
        <v>82</v>
      </c>
      <c r="G160" s="1">
        <v>777305</v>
      </c>
      <c r="H160" s="1">
        <v>10</v>
      </c>
    </row>
    <row r="161" spans="1:8" x14ac:dyDescent="0.3">
      <c r="A161" s="1" t="s">
        <v>327</v>
      </c>
      <c r="B161" s="1" t="s">
        <v>328</v>
      </c>
      <c r="C161" s="1">
        <v>2013</v>
      </c>
      <c r="D161" s="1">
        <v>14537</v>
      </c>
      <c r="E161" s="1">
        <v>65</v>
      </c>
      <c r="F161" s="1">
        <v>7</v>
      </c>
      <c r="G161" s="1">
        <v>98686</v>
      </c>
      <c r="H161" s="1">
        <v>1</v>
      </c>
    </row>
    <row r="162" spans="1:8" x14ac:dyDescent="0.3">
      <c r="A162" s="1" t="s">
        <v>329</v>
      </c>
      <c r="B162" s="1" t="s">
        <v>330</v>
      </c>
      <c r="C162" s="1">
        <v>2013</v>
      </c>
      <c r="D162" s="1">
        <v>17928</v>
      </c>
      <c r="E162" s="1">
        <v>303</v>
      </c>
      <c r="F162" s="1">
        <v>115</v>
      </c>
      <c r="G162" s="1">
        <v>1458782</v>
      </c>
      <c r="H162" s="1">
        <v>0</v>
      </c>
    </row>
    <row r="163" spans="1:8" x14ac:dyDescent="0.3">
      <c r="A163" s="1" t="s">
        <v>331</v>
      </c>
      <c r="B163" s="1" t="s">
        <v>332</v>
      </c>
      <c r="C163" s="1">
        <v>2013</v>
      </c>
      <c r="D163" s="1">
        <v>44136</v>
      </c>
      <c r="E163" s="1">
        <v>650</v>
      </c>
      <c r="F163" s="1">
        <v>30</v>
      </c>
      <c r="G163" s="1">
        <v>1060913</v>
      </c>
      <c r="H163" s="1">
        <v>19</v>
      </c>
    </row>
    <row r="164" spans="1:8" x14ac:dyDescent="0.3">
      <c r="A164" s="1" t="s">
        <v>333</v>
      </c>
      <c r="B164" s="1" t="s">
        <v>334</v>
      </c>
      <c r="C164" s="1">
        <v>2013</v>
      </c>
      <c r="D164" s="1">
        <v>25687</v>
      </c>
      <c r="E164" s="1">
        <v>229</v>
      </c>
      <c r="F164" s="1">
        <v>16</v>
      </c>
      <c r="G164" s="1">
        <v>133936</v>
      </c>
      <c r="H164" s="1">
        <v>14</v>
      </c>
    </row>
    <row r="165" spans="1:8" x14ac:dyDescent="0.3">
      <c r="A165" s="1" t="s">
        <v>335</v>
      </c>
      <c r="B165" s="1" t="s">
        <v>336</v>
      </c>
      <c r="C165" s="1">
        <v>2013</v>
      </c>
      <c r="D165" s="1">
        <v>16502</v>
      </c>
      <c r="E165" s="1">
        <v>144</v>
      </c>
      <c r="F165" s="1">
        <v>54</v>
      </c>
      <c r="G165" s="1">
        <v>1529042</v>
      </c>
      <c r="H165" s="1">
        <v>45</v>
      </c>
    </row>
    <row r="166" spans="1:8" x14ac:dyDescent="0.3">
      <c r="A166" s="1" t="s">
        <v>337</v>
      </c>
      <c r="B166" s="1" t="s">
        <v>338</v>
      </c>
      <c r="C166" s="1">
        <v>2013</v>
      </c>
      <c r="D166" s="1">
        <v>28774</v>
      </c>
      <c r="E166" s="1">
        <v>214</v>
      </c>
      <c r="F166" s="1">
        <v>76</v>
      </c>
      <c r="G166" s="1">
        <v>1703466</v>
      </c>
      <c r="H166" s="1">
        <v>4</v>
      </c>
    </row>
    <row r="167" spans="1:8" x14ac:dyDescent="0.3">
      <c r="A167" s="1" t="s">
        <v>339</v>
      </c>
      <c r="B167" s="1" t="s">
        <v>340</v>
      </c>
      <c r="C167" s="1">
        <v>2013</v>
      </c>
      <c r="D167" s="1">
        <v>20604</v>
      </c>
      <c r="E167" s="1">
        <v>102</v>
      </c>
      <c r="F167" s="1">
        <v>44</v>
      </c>
      <c r="G167" s="1">
        <v>362737</v>
      </c>
      <c r="H167" s="1">
        <v>17</v>
      </c>
    </row>
    <row r="168" spans="1:8" x14ac:dyDescent="0.3">
      <c r="A168" s="1" t="s">
        <v>341</v>
      </c>
      <c r="B168" s="1" t="s">
        <v>342</v>
      </c>
      <c r="C168" s="1">
        <v>2013</v>
      </c>
      <c r="D168" s="1">
        <v>12898</v>
      </c>
      <c r="E168" s="1">
        <v>144</v>
      </c>
      <c r="F168" s="1">
        <v>18</v>
      </c>
      <c r="G168" s="1">
        <v>398484</v>
      </c>
      <c r="H168" s="1">
        <v>7</v>
      </c>
    </row>
    <row r="169" spans="1:8" x14ac:dyDescent="0.3">
      <c r="A169" s="1" t="s">
        <v>343</v>
      </c>
      <c r="B169" s="1" t="s">
        <v>344</v>
      </c>
      <c r="C169" s="1">
        <v>2013</v>
      </c>
      <c r="D169" s="1">
        <v>41597</v>
      </c>
      <c r="E169" s="1">
        <v>924</v>
      </c>
      <c r="F169" s="1">
        <v>476</v>
      </c>
      <c r="G169" s="1">
        <v>376943</v>
      </c>
      <c r="H169" s="1">
        <v>68</v>
      </c>
    </row>
    <row r="170" spans="1:8" x14ac:dyDescent="0.3">
      <c r="A170" s="1" t="s">
        <v>345</v>
      </c>
      <c r="B170" s="1" t="s">
        <v>346</v>
      </c>
      <c r="C170" s="1">
        <v>2013</v>
      </c>
      <c r="D170" s="1">
        <v>24155</v>
      </c>
      <c r="E170" s="1">
        <v>222</v>
      </c>
      <c r="F170" s="1">
        <v>33</v>
      </c>
      <c r="G170" s="1">
        <v>1059676</v>
      </c>
      <c r="H170" s="1">
        <v>49</v>
      </c>
    </row>
    <row r="171" spans="1:8" x14ac:dyDescent="0.3">
      <c r="A171" s="1" t="s">
        <v>347</v>
      </c>
      <c r="B171" s="1" t="s">
        <v>348</v>
      </c>
      <c r="C171" s="1">
        <v>2013</v>
      </c>
      <c r="D171" s="1">
        <v>77412</v>
      </c>
      <c r="E171" s="1">
        <v>1807</v>
      </c>
      <c r="F171" s="1">
        <v>792</v>
      </c>
      <c r="G171" s="1">
        <v>2445683</v>
      </c>
      <c r="H171" s="1">
        <v>133</v>
      </c>
    </row>
    <row r="172" spans="1:8" x14ac:dyDescent="0.3">
      <c r="A172" s="1" t="s">
        <v>349</v>
      </c>
      <c r="B172" s="1" t="s">
        <v>350</v>
      </c>
      <c r="C172" s="1">
        <v>2013</v>
      </c>
      <c r="D172" s="1">
        <v>22480</v>
      </c>
      <c r="E172" s="1">
        <v>288</v>
      </c>
      <c r="F172" s="1">
        <v>49</v>
      </c>
      <c r="G172" s="1">
        <v>509679</v>
      </c>
      <c r="H172" s="1">
        <v>20</v>
      </c>
    </row>
    <row r="173" spans="1:8" x14ac:dyDescent="0.3">
      <c r="A173" s="1" t="s">
        <v>351</v>
      </c>
      <c r="B173" s="1" t="s">
        <v>352</v>
      </c>
      <c r="C173" s="1">
        <v>2013</v>
      </c>
      <c r="D173" s="1">
        <v>11998</v>
      </c>
      <c r="E173" s="1">
        <v>131</v>
      </c>
      <c r="F173" s="1">
        <v>10</v>
      </c>
      <c r="G173" s="1">
        <v>145072</v>
      </c>
      <c r="H173" s="1">
        <v>0</v>
      </c>
    </row>
    <row r="174" spans="1:8" x14ac:dyDescent="0.3">
      <c r="A174" s="1" t="s">
        <v>353</v>
      </c>
      <c r="B174" s="1" t="s">
        <v>354</v>
      </c>
      <c r="C174" s="1">
        <v>2013</v>
      </c>
      <c r="D174" s="1">
        <v>11860</v>
      </c>
      <c r="E174" s="1">
        <v>62</v>
      </c>
      <c r="F174" s="1">
        <v>15</v>
      </c>
      <c r="G174" s="1">
        <v>683778</v>
      </c>
      <c r="H174" s="1">
        <v>4</v>
      </c>
    </row>
    <row r="175" spans="1:8" x14ac:dyDescent="0.3">
      <c r="A175" s="1" t="s">
        <v>355</v>
      </c>
      <c r="B175" s="1" t="s">
        <v>356</v>
      </c>
      <c r="C175" s="1">
        <v>2013</v>
      </c>
      <c r="D175" s="1">
        <v>29918</v>
      </c>
      <c r="E175" s="1">
        <v>391</v>
      </c>
      <c r="F175" s="1">
        <v>110</v>
      </c>
      <c r="G175" s="1">
        <v>2371069</v>
      </c>
      <c r="H175" s="1">
        <v>1</v>
      </c>
    </row>
    <row r="176" spans="1:8" x14ac:dyDescent="0.3">
      <c r="A176" s="1" t="s">
        <v>357</v>
      </c>
      <c r="B176" s="1" t="s">
        <v>358</v>
      </c>
      <c r="C176" s="1">
        <v>2013</v>
      </c>
      <c r="D176" s="1">
        <v>18716</v>
      </c>
      <c r="E176" s="1">
        <v>258</v>
      </c>
      <c r="F176" s="1">
        <v>223</v>
      </c>
      <c r="G176" s="1">
        <v>2702758</v>
      </c>
      <c r="H176" s="1">
        <v>90</v>
      </c>
    </row>
    <row r="177" spans="1:8" x14ac:dyDescent="0.3">
      <c r="A177" s="1" t="s">
        <v>359</v>
      </c>
      <c r="B177" s="1" t="s">
        <v>360</v>
      </c>
      <c r="C177" s="1">
        <v>2013</v>
      </c>
      <c r="D177" s="1">
        <v>49556</v>
      </c>
      <c r="E177" s="1">
        <v>351</v>
      </c>
      <c r="F177" s="1">
        <v>499</v>
      </c>
      <c r="G177" s="1">
        <v>7425767</v>
      </c>
      <c r="H177" s="1">
        <v>69</v>
      </c>
    </row>
    <row r="178" spans="1:8" x14ac:dyDescent="0.3">
      <c r="A178" s="1" t="s">
        <v>361</v>
      </c>
      <c r="B178" s="1" t="s">
        <v>362</v>
      </c>
      <c r="C178" s="1">
        <v>2013</v>
      </c>
      <c r="D178" s="1">
        <v>81811</v>
      </c>
      <c r="E178" s="1">
        <v>567</v>
      </c>
      <c r="F178" s="1">
        <v>417</v>
      </c>
      <c r="G178" s="1">
        <v>11294999</v>
      </c>
      <c r="H178" s="1">
        <v>84</v>
      </c>
    </row>
    <row r="179" spans="1:8" x14ac:dyDescent="0.3">
      <c r="A179" s="1" t="s">
        <v>363</v>
      </c>
      <c r="B179" s="1" t="s">
        <v>364</v>
      </c>
      <c r="C179" s="1">
        <v>2013</v>
      </c>
      <c r="D179" s="1">
        <v>30758</v>
      </c>
      <c r="E179" s="1">
        <v>650</v>
      </c>
      <c r="F179" s="1">
        <v>541</v>
      </c>
      <c r="G179" s="1">
        <v>2279148</v>
      </c>
      <c r="H179" s="1">
        <v>113</v>
      </c>
    </row>
    <row r="180" spans="1:8" x14ac:dyDescent="0.3">
      <c r="A180" s="1" t="s">
        <v>365</v>
      </c>
      <c r="B180" s="1" t="s">
        <v>366</v>
      </c>
      <c r="C180" s="1">
        <v>2013</v>
      </c>
      <c r="D180" s="1">
        <v>885393</v>
      </c>
      <c r="E180" s="1">
        <v>13128</v>
      </c>
      <c r="F180" s="1">
        <v>12947</v>
      </c>
      <c r="G180" s="1">
        <v>39526529</v>
      </c>
      <c r="H180" s="1">
        <v>1646</v>
      </c>
    </row>
    <row r="181" spans="1:8" x14ac:dyDescent="0.3">
      <c r="A181" s="1" t="s">
        <v>367</v>
      </c>
      <c r="B181" s="1" t="s">
        <v>242</v>
      </c>
      <c r="C181" s="1">
        <v>2013</v>
      </c>
      <c r="D181" s="1">
        <v>31916</v>
      </c>
      <c r="E181" s="1">
        <v>150</v>
      </c>
      <c r="F181" s="1">
        <v>254</v>
      </c>
      <c r="G181" s="1">
        <v>2306263</v>
      </c>
      <c r="H181" s="1">
        <v>40</v>
      </c>
    </row>
    <row r="182" spans="1:8" x14ac:dyDescent="0.3">
      <c r="A182" s="1" t="s">
        <v>368</v>
      </c>
      <c r="B182" s="1" t="s">
        <v>369</v>
      </c>
      <c r="C182" s="1">
        <v>2013</v>
      </c>
      <c r="D182" s="1">
        <v>17077</v>
      </c>
      <c r="E182" s="1">
        <v>38</v>
      </c>
      <c r="F182" s="1">
        <v>102</v>
      </c>
      <c r="G182" s="1">
        <v>1011852</v>
      </c>
      <c r="H182" s="1">
        <v>11</v>
      </c>
    </row>
    <row r="183" spans="1:8" x14ac:dyDescent="0.3">
      <c r="A183" s="1" t="s">
        <v>370</v>
      </c>
      <c r="B183" s="1" t="s">
        <v>371</v>
      </c>
      <c r="C183" s="1">
        <v>2013</v>
      </c>
      <c r="D183" s="1">
        <v>35872</v>
      </c>
      <c r="E183" s="1">
        <v>118</v>
      </c>
      <c r="F183" s="1">
        <v>444</v>
      </c>
      <c r="G183" s="1">
        <v>2999607</v>
      </c>
      <c r="H183" s="1">
        <v>102</v>
      </c>
    </row>
    <row r="184" spans="1:8" x14ac:dyDescent="0.3">
      <c r="A184" s="1" t="s">
        <v>372</v>
      </c>
      <c r="B184" s="1" t="s">
        <v>373</v>
      </c>
      <c r="C184" s="1">
        <v>2013</v>
      </c>
      <c r="D184" s="1">
        <v>22598</v>
      </c>
      <c r="E184" s="1">
        <v>86</v>
      </c>
      <c r="F184" s="1">
        <v>143</v>
      </c>
      <c r="G184" s="1">
        <v>1449837</v>
      </c>
      <c r="H184" s="1">
        <v>12</v>
      </c>
    </row>
    <row r="185" spans="1:8" x14ac:dyDescent="0.3">
      <c r="A185" s="1" t="s">
        <v>374</v>
      </c>
      <c r="B185" s="1" t="s">
        <v>375</v>
      </c>
      <c r="C185" s="1">
        <v>2013</v>
      </c>
      <c r="D185" s="1">
        <v>20939</v>
      </c>
      <c r="E185" s="1">
        <v>50</v>
      </c>
      <c r="F185" s="1">
        <v>127</v>
      </c>
      <c r="G185" s="1">
        <v>969800</v>
      </c>
      <c r="H185" s="1">
        <v>0</v>
      </c>
    </row>
    <row r="186" spans="1:8" x14ac:dyDescent="0.3">
      <c r="A186" s="1" t="s">
        <v>376</v>
      </c>
      <c r="B186" s="1" t="s">
        <v>377</v>
      </c>
      <c r="C186" s="1">
        <v>2013</v>
      </c>
      <c r="D186" s="1">
        <v>14603</v>
      </c>
      <c r="E186" s="1">
        <v>115</v>
      </c>
      <c r="F186" s="1">
        <v>97</v>
      </c>
      <c r="G186" s="1">
        <v>601094</v>
      </c>
      <c r="H186" s="1">
        <v>0</v>
      </c>
    </row>
    <row r="187" spans="1:8" x14ac:dyDescent="0.3">
      <c r="A187" s="1" t="s">
        <v>378</v>
      </c>
      <c r="B187" s="1" t="s">
        <v>379</v>
      </c>
      <c r="C187" s="1">
        <v>2013</v>
      </c>
      <c r="D187" s="1">
        <v>48295</v>
      </c>
      <c r="E187" s="1">
        <v>281</v>
      </c>
      <c r="F187" s="1">
        <v>284</v>
      </c>
      <c r="G187" s="1">
        <v>2561648</v>
      </c>
      <c r="H187" s="1">
        <v>54</v>
      </c>
    </row>
    <row r="188" spans="1:8" x14ac:dyDescent="0.3">
      <c r="A188" s="1" t="s">
        <v>380</v>
      </c>
      <c r="B188" s="1" t="s">
        <v>381</v>
      </c>
      <c r="C188" s="1">
        <v>2013</v>
      </c>
      <c r="D188" s="1">
        <v>20660</v>
      </c>
      <c r="E188" s="1">
        <v>111</v>
      </c>
      <c r="F188" s="1">
        <v>51</v>
      </c>
      <c r="G188" s="1">
        <v>645828</v>
      </c>
      <c r="H188" s="1">
        <v>6</v>
      </c>
    </row>
    <row r="189" spans="1:8" x14ac:dyDescent="0.3">
      <c r="A189" s="1" t="s">
        <v>382</v>
      </c>
      <c r="B189" s="1" t="s">
        <v>140</v>
      </c>
      <c r="C189" s="1">
        <v>2013</v>
      </c>
      <c r="D189" s="1">
        <v>41361</v>
      </c>
      <c r="E189" s="1">
        <v>365</v>
      </c>
      <c r="F189" s="1">
        <v>126</v>
      </c>
      <c r="G189" s="1">
        <v>891153</v>
      </c>
      <c r="H189" s="1">
        <v>5</v>
      </c>
    </row>
    <row r="190" spans="1:8" x14ac:dyDescent="0.3">
      <c r="A190" s="1" t="s">
        <v>383</v>
      </c>
      <c r="B190" s="1" t="s">
        <v>384</v>
      </c>
      <c r="C190" s="1">
        <v>2013</v>
      </c>
      <c r="D190" s="1">
        <v>20185</v>
      </c>
      <c r="E190" s="1">
        <v>51</v>
      </c>
      <c r="F190" s="1">
        <v>100</v>
      </c>
      <c r="G190" s="1">
        <v>1766314</v>
      </c>
      <c r="H190" s="1">
        <v>17</v>
      </c>
    </row>
    <row r="191" spans="1:8" x14ac:dyDescent="0.3">
      <c r="A191" s="1" t="s">
        <v>385</v>
      </c>
      <c r="B191" s="1" t="s">
        <v>386</v>
      </c>
      <c r="C191" s="1">
        <v>2013</v>
      </c>
      <c r="D191" s="1">
        <v>24081</v>
      </c>
      <c r="E191" s="1">
        <v>72</v>
      </c>
      <c r="F191" s="1">
        <v>93</v>
      </c>
      <c r="G191" s="1">
        <v>1438292</v>
      </c>
      <c r="H191" s="1">
        <v>44</v>
      </c>
    </row>
    <row r="192" spans="1:8" x14ac:dyDescent="0.3">
      <c r="A192" s="1" t="s">
        <v>387</v>
      </c>
      <c r="B192" s="1" t="s">
        <v>388</v>
      </c>
      <c r="C192" s="1">
        <v>2013</v>
      </c>
      <c r="D192" s="1">
        <v>50900</v>
      </c>
      <c r="E192" s="1">
        <v>308</v>
      </c>
      <c r="F192" s="1">
        <v>793</v>
      </c>
      <c r="G192" s="1">
        <v>2255635</v>
      </c>
      <c r="H192" s="1">
        <v>16</v>
      </c>
    </row>
    <row r="193" spans="1:8" x14ac:dyDescent="0.3">
      <c r="A193" s="1" t="s">
        <v>389</v>
      </c>
      <c r="B193" s="1" t="s">
        <v>390</v>
      </c>
      <c r="C193" s="1">
        <v>2013</v>
      </c>
      <c r="D193" s="1">
        <v>6677</v>
      </c>
      <c r="E193" s="1">
        <v>51</v>
      </c>
      <c r="F193" s="1">
        <v>34</v>
      </c>
      <c r="G193" s="1">
        <v>1178772</v>
      </c>
      <c r="H193" s="1">
        <v>65</v>
      </c>
    </row>
    <row r="194" spans="1:8" x14ac:dyDescent="0.3">
      <c r="A194" s="1" t="s">
        <v>391</v>
      </c>
      <c r="B194" s="1" t="s">
        <v>392</v>
      </c>
      <c r="C194" s="1">
        <v>2013</v>
      </c>
      <c r="D194" s="1">
        <v>18033</v>
      </c>
      <c r="E194" s="1">
        <v>161</v>
      </c>
      <c r="F194" s="1">
        <v>12</v>
      </c>
      <c r="G194" s="1">
        <v>147013</v>
      </c>
      <c r="H194" s="1">
        <v>2</v>
      </c>
    </row>
    <row r="195" spans="1:8" x14ac:dyDescent="0.3">
      <c r="A195" s="1" t="s">
        <v>393</v>
      </c>
      <c r="B195" s="1" t="s">
        <v>394</v>
      </c>
      <c r="C195" s="1">
        <v>2013</v>
      </c>
      <c r="D195" s="1">
        <v>36702</v>
      </c>
      <c r="E195" s="1">
        <v>374</v>
      </c>
      <c r="F195" s="1">
        <v>95</v>
      </c>
      <c r="G195" s="1">
        <v>2109981</v>
      </c>
      <c r="H195" s="1">
        <v>26</v>
      </c>
    </row>
    <row r="196" spans="1:8" x14ac:dyDescent="0.3">
      <c r="A196" s="1" t="s">
        <v>395</v>
      </c>
      <c r="B196" s="1" t="s">
        <v>396</v>
      </c>
      <c r="C196" s="1">
        <v>2013</v>
      </c>
      <c r="D196" s="1">
        <v>34847</v>
      </c>
      <c r="E196" s="1">
        <v>196</v>
      </c>
      <c r="F196" s="1">
        <v>121</v>
      </c>
      <c r="G196" s="1">
        <v>1967652</v>
      </c>
      <c r="H196" s="1">
        <v>2</v>
      </c>
    </row>
    <row r="197" spans="1:8" x14ac:dyDescent="0.3">
      <c r="A197" s="1" t="s">
        <v>397</v>
      </c>
      <c r="B197" s="1" t="s">
        <v>398</v>
      </c>
      <c r="C197" s="1">
        <v>2013</v>
      </c>
      <c r="D197" s="1">
        <v>32793</v>
      </c>
      <c r="E197" s="1">
        <v>170</v>
      </c>
      <c r="F197" s="1">
        <v>73</v>
      </c>
      <c r="G197" s="1">
        <v>2596641</v>
      </c>
      <c r="H197" s="1">
        <v>0</v>
      </c>
    </row>
    <row r="198" spans="1:8" x14ac:dyDescent="0.3">
      <c r="A198" s="1" t="s">
        <v>399</v>
      </c>
      <c r="B198" s="1" t="s">
        <v>400</v>
      </c>
      <c r="C198" s="1">
        <v>2013</v>
      </c>
      <c r="D198" s="1">
        <v>16372</v>
      </c>
      <c r="E198" s="1">
        <v>132</v>
      </c>
      <c r="F198" s="1">
        <v>5</v>
      </c>
      <c r="G198" s="1">
        <v>255352</v>
      </c>
      <c r="H198" s="1">
        <v>0</v>
      </c>
    </row>
    <row r="199" spans="1:8" x14ac:dyDescent="0.3">
      <c r="A199" s="1" t="s">
        <v>401</v>
      </c>
      <c r="B199" s="1" t="s">
        <v>167</v>
      </c>
      <c r="C199" s="1">
        <v>2013</v>
      </c>
      <c r="D199" s="1">
        <v>30622</v>
      </c>
      <c r="E199" s="1">
        <v>247</v>
      </c>
      <c r="F199" s="1">
        <v>15</v>
      </c>
      <c r="G199" s="1">
        <v>300448</v>
      </c>
      <c r="H199" s="1">
        <v>5</v>
      </c>
    </row>
    <row r="200" spans="1:8" x14ac:dyDescent="0.3">
      <c r="A200" s="1" t="s">
        <v>402</v>
      </c>
      <c r="B200" s="1" t="s">
        <v>403</v>
      </c>
      <c r="C200" s="1">
        <v>2013</v>
      </c>
      <c r="D200" s="1">
        <v>19382</v>
      </c>
      <c r="E200" s="1">
        <v>143</v>
      </c>
      <c r="F200" s="1">
        <v>30</v>
      </c>
      <c r="G200" s="1">
        <v>805449</v>
      </c>
      <c r="H200" s="1">
        <v>0</v>
      </c>
    </row>
    <row r="201" spans="1:8" x14ac:dyDescent="0.3">
      <c r="A201" s="1" t="s">
        <v>404</v>
      </c>
      <c r="B201" s="1" t="s">
        <v>405</v>
      </c>
      <c r="C201" s="1">
        <v>2013</v>
      </c>
      <c r="D201" s="1">
        <v>16442</v>
      </c>
      <c r="E201" s="1">
        <v>107</v>
      </c>
      <c r="F201" s="1">
        <v>19</v>
      </c>
      <c r="G201" s="1">
        <v>648621</v>
      </c>
      <c r="H201" s="1">
        <v>7</v>
      </c>
    </row>
    <row r="202" spans="1:8" x14ac:dyDescent="0.3">
      <c r="A202" s="1" t="s">
        <v>406</v>
      </c>
      <c r="B202" s="1" t="s">
        <v>407</v>
      </c>
      <c r="C202" s="1">
        <v>2013</v>
      </c>
      <c r="D202" s="1">
        <v>22906</v>
      </c>
      <c r="E202" s="1">
        <v>208</v>
      </c>
      <c r="F202" s="1">
        <v>59</v>
      </c>
      <c r="G202" s="1">
        <v>358134</v>
      </c>
      <c r="H202" s="1">
        <v>8</v>
      </c>
    </row>
    <row r="203" spans="1:8" x14ac:dyDescent="0.3">
      <c r="A203" s="1" t="s">
        <v>408</v>
      </c>
      <c r="B203" s="1" t="s">
        <v>409</v>
      </c>
      <c r="C203" s="1">
        <v>2013</v>
      </c>
      <c r="D203" s="1">
        <v>39967</v>
      </c>
      <c r="E203" s="1">
        <v>375</v>
      </c>
      <c r="F203" s="1">
        <v>114</v>
      </c>
      <c r="G203" s="1">
        <v>1654107</v>
      </c>
      <c r="H203" s="1">
        <v>3</v>
      </c>
    </row>
    <row r="204" spans="1:8" x14ac:dyDescent="0.3">
      <c r="A204" s="1" t="s">
        <v>410</v>
      </c>
      <c r="B204" s="1" t="s">
        <v>411</v>
      </c>
      <c r="C204" s="1">
        <v>2013</v>
      </c>
      <c r="D204" s="1">
        <v>19381</v>
      </c>
      <c r="E204" s="1">
        <v>205</v>
      </c>
      <c r="F204" s="1">
        <v>30</v>
      </c>
      <c r="G204" s="1">
        <v>605199</v>
      </c>
      <c r="H204" s="1">
        <v>12</v>
      </c>
    </row>
    <row r="205" spans="1:8" x14ac:dyDescent="0.3">
      <c r="A205" s="1" t="s">
        <v>412</v>
      </c>
      <c r="B205" s="1" t="s">
        <v>413</v>
      </c>
      <c r="C205" s="1">
        <v>2013</v>
      </c>
      <c r="D205" s="1">
        <v>19633</v>
      </c>
      <c r="E205" s="1">
        <v>290</v>
      </c>
      <c r="F205" s="1">
        <v>33</v>
      </c>
      <c r="G205" s="1">
        <v>276139</v>
      </c>
      <c r="H205" s="1">
        <v>10</v>
      </c>
    </row>
    <row r="206" spans="1:8" x14ac:dyDescent="0.3">
      <c r="A206" s="1" t="s">
        <v>414</v>
      </c>
      <c r="B206" s="1" t="s">
        <v>415</v>
      </c>
      <c r="C206" s="1">
        <v>2013</v>
      </c>
      <c r="D206" s="1">
        <v>23063</v>
      </c>
      <c r="E206" s="1">
        <v>155</v>
      </c>
      <c r="F206" s="1">
        <v>35</v>
      </c>
      <c r="G206" s="1">
        <v>542838</v>
      </c>
      <c r="H206" s="1">
        <v>2</v>
      </c>
    </row>
    <row r="207" spans="1:8" x14ac:dyDescent="0.3">
      <c r="A207" s="1" t="s">
        <v>416</v>
      </c>
      <c r="B207" s="1" t="s">
        <v>417</v>
      </c>
      <c r="C207" s="1">
        <v>2013</v>
      </c>
      <c r="D207" s="1">
        <v>19884</v>
      </c>
      <c r="E207" s="1">
        <v>246</v>
      </c>
      <c r="F207" s="1">
        <v>22</v>
      </c>
      <c r="G207" s="1">
        <v>205992</v>
      </c>
      <c r="H207" s="1">
        <v>0</v>
      </c>
    </row>
    <row r="208" spans="1:8" x14ac:dyDescent="0.3">
      <c r="A208" s="1" t="s">
        <v>418</v>
      </c>
      <c r="B208" s="1" t="s">
        <v>419</v>
      </c>
      <c r="C208" s="1">
        <v>2013</v>
      </c>
      <c r="D208" s="1">
        <v>46624</v>
      </c>
      <c r="E208" s="1">
        <v>677</v>
      </c>
      <c r="F208" s="1">
        <v>97</v>
      </c>
      <c r="G208" s="1">
        <v>312645</v>
      </c>
      <c r="H208" s="1">
        <v>27</v>
      </c>
    </row>
    <row r="209" spans="1:8" x14ac:dyDescent="0.3">
      <c r="A209" s="1" t="s">
        <v>420</v>
      </c>
      <c r="B209" s="1" t="s">
        <v>421</v>
      </c>
      <c r="C209" s="1">
        <v>2013</v>
      </c>
      <c r="D209" s="1">
        <v>28306</v>
      </c>
      <c r="E209" s="1">
        <v>209</v>
      </c>
      <c r="F209" s="1">
        <v>42</v>
      </c>
      <c r="G209" s="1">
        <v>2345204</v>
      </c>
      <c r="H209" s="1">
        <v>180</v>
      </c>
    </row>
    <row r="210" spans="1:8" x14ac:dyDescent="0.3">
      <c r="A210" s="1" t="s">
        <v>422</v>
      </c>
      <c r="B210" s="1" t="s">
        <v>423</v>
      </c>
      <c r="C210" s="1">
        <v>2013</v>
      </c>
      <c r="D210" s="1">
        <v>35258</v>
      </c>
      <c r="E210" s="1">
        <v>170</v>
      </c>
      <c r="F210" s="1">
        <v>201</v>
      </c>
      <c r="G210" s="1">
        <v>1247029</v>
      </c>
      <c r="H210" s="1">
        <v>2</v>
      </c>
    </row>
    <row r="211" spans="1:8" x14ac:dyDescent="0.3">
      <c r="A211" s="1" t="s">
        <v>424</v>
      </c>
      <c r="B211" s="1" t="s">
        <v>425</v>
      </c>
      <c r="C211" s="1">
        <v>2013</v>
      </c>
      <c r="D211" s="1">
        <v>16929</v>
      </c>
      <c r="E211" s="1">
        <v>179</v>
      </c>
      <c r="F211" s="1">
        <v>24</v>
      </c>
      <c r="G211" s="1">
        <v>295646</v>
      </c>
      <c r="H211" s="1">
        <v>74</v>
      </c>
    </row>
    <row r="212" spans="1:8" x14ac:dyDescent="0.3">
      <c r="A212" s="1" t="s">
        <v>426</v>
      </c>
      <c r="B212" s="1" t="s">
        <v>427</v>
      </c>
      <c r="C212" s="1">
        <v>2013</v>
      </c>
      <c r="D212" s="1">
        <v>15520</v>
      </c>
      <c r="E212" s="1">
        <v>114</v>
      </c>
      <c r="F212" s="1">
        <v>39</v>
      </c>
      <c r="G212" s="1">
        <v>813422</v>
      </c>
      <c r="H212" s="1">
        <v>0</v>
      </c>
    </row>
    <row r="213" spans="1:8" x14ac:dyDescent="0.3">
      <c r="A213" s="1" t="s">
        <v>428</v>
      </c>
      <c r="B213" s="1" t="s">
        <v>429</v>
      </c>
      <c r="C213" s="1">
        <v>2013</v>
      </c>
      <c r="D213" s="1">
        <v>7704</v>
      </c>
      <c r="E213" s="1">
        <v>61</v>
      </c>
      <c r="F213" s="1">
        <v>27</v>
      </c>
      <c r="G213" s="1">
        <v>379859</v>
      </c>
      <c r="H213" s="1">
        <v>1</v>
      </c>
    </row>
    <row r="214" spans="1:8" x14ac:dyDescent="0.3">
      <c r="A214" s="1" t="s">
        <v>430</v>
      </c>
      <c r="B214" s="1" t="s">
        <v>431</v>
      </c>
      <c r="C214" s="1">
        <v>2013</v>
      </c>
      <c r="D214" s="1">
        <v>17066</v>
      </c>
      <c r="E214" s="1">
        <v>132</v>
      </c>
      <c r="F214" s="1">
        <v>126</v>
      </c>
      <c r="G214" s="1">
        <v>1023823</v>
      </c>
      <c r="H214" s="1">
        <v>0</v>
      </c>
    </row>
    <row r="215" spans="1:8" x14ac:dyDescent="0.3">
      <c r="A215" s="1" t="s">
        <v>432</v>
      </c>
      <c r="B215" s="1" t="s">
        <v>433</v>
      </c>
      <c r="C215" s="1">
        <v>2013</v>
      </c>
      <c r="D215" s="1">
        <v>24584</v>
      </c>
      <c r="E215" s="1">
        <v>148</v>
      </c>
      <c r="F215" s="1">
        <v>258</v>
      </c>
      <c r="G215" s="1">
        <v>5146723</v>
      </c>
      <c r="H215" s="1">
        <v>0</v>
      </c>
    </row>
    <row r="216" spans="1:8" x14ac:dyDescent="0.3">
      <c r="A216" s="1" t="s">
        <v>434</v>
      </c>
      <c r="B216" s="1" t="s">
        <v>435</v>
      </c>
      <c r="C216" s="1">
        <v>2013</v>
      </c>
      <c r="D216" s="1">
        <v>69804</v>
      </c>
      <c r="E216" s="1">
        <v>1346</v>
      </c>
      <c r="F216" s="1">
        <v>1215</v>
      </c>
      <c r="G216" s="1">
        <v>6299638</v>
      </c>
      <c r="H216" s="1">
        <v>30</v>
      </c>
    </row>
    <row r="217" spans="1:8" x14ac:dyDescent="0.3">
      <c r="A217" s="1" t="s">
        <v>436</v>
      </c>
      <c r="B217" s="1" t="s">
        <v>437</v>
      </c>
      <c r="C217" s="1">
        <v>2013</v>
      </c>
      <c r="D217" s="1">
        <v>17170</v>
      </c>
      <c r="E217" s="1">
        <v>101</v>
      </c>
      <c r="F217" s="1">
        <v>40</v>
      </c>
      <c r="G217" s="1">
        <v>2112360</v>
      </c>
      <c r="H217" s="1">
        <v>0</v>
      </c>
    </row>
    <row r="218" spans="1:8" x14ac:dyDescent="0.3">
      <c r="A218" s="1" t="s">
        <v>438</v>
      </c>
      <c r="B218" s="1" t="s">
        <v>439</v>
      </c>
      <c r="C218" s="1">
        <v>2013</v>
      </c>
      <c r="D218" s="1">
        <v>19559</v>
      </c>
      <c r="E218" s="1">
        <v>144</v>
      </c>
      <c r="F218" s="1">
        <v>105</v>
      </c>
      <c r="G218" s="1">
        <v>942696</v>
      </c>
      <c r="H218" s="1">
        <v>2</v>
      </c>
    </row>
    <row r="219" spans="1:8" x14ac:dyDescent="0.3">
      <c r="A219" s="1" t="s">
        <v>440</v>
      </c>
      <c r="B219" s="1" t="s">
        <v>441</v>
      </c>
      <c r="C219" s="1">
        <v>2013</v>
      </c>
      <c r="D219" s="1">
        <v>51617</v>
      </c>
      <c r="E219" s="1">
        <v>784</v>
      </c>
      <c r="F219" s="1">
        <v>160</v>
      </c>
      <c r="G219" s="1">
        <v>2816509</v>
      </c>
      <c r="H219" s="1">
        <v>9</v>
      </c>
    </row>
    <row r="220" spans="1:8" x14ac:dyDescent="0.3">
      <c r="A220" s="1" t="s">
        <v>442</v>
      </c>
      <c r="B220" s="1" t="s">
        <v>443</v>
      </c>
      <c r="C220" s="1">
        <v>2013</v>
      </c>
      <c r="D220" s="1">
        <v>23340</v>
      </c>
      <c r="E220" s="1">
        <v>121</v>
      </c>
      <c r="F220" s="1">
        <v>0</v>
      </c>
      <c r="G220" s="1">
        <v>1075536</v>
      </c>
      <c r="H220" s="1">
        <v>1</v>
      </c>
    </row>
    <row r="221" spans="1:8" x14ac:dyDescent="0.3">
      <c r="A221" s="1" t="s">
        <v>444</v>
      </c>
      <c r="B221" s="1" t="s">
        <v>445</v>
      </c>
      <c r="C221" s="1">
        <v>2013</v>
      </c>
      <c r="D221" s="1">
        <v>15152</v>
      </c>
      <c r="E221" s="1">
        <v>96</v>
      </c>
      <c r="F221" s="1">
        <v>57</v>
      </c>
      <c r="G221" s="1">
        <v>1201962</v>
      </c>
      <c r="H221" s="1">
        <v>8</v>
      </c>
    </row>
    <row r="222" spans="1:8" x14ac:dyDescent="0.3">
      <c r="A222" s="1" t="s">
        <v>446</v>
      </c>
      <c r="B222" s="1" t="s">
        <v>447</v>
      </c>
      <c r="C222" s="1">
        <v>2013</v>
      </c>
      <c r="D222" s="1">
        <v>21619</v>
      </c>
      <c r="E222" s="1">
        <v>101</v>
      </c>
      <c r="F222" s="1">
        <v>0</v>
      </c>
      <c r="G222" s="1">
        <v>1585866</v>
      </c>
      <c r="H222" s="1">
        <v>76</v>
      </c>
    </row>
    <row r="223" spans="1:8" x14ac:dyDescent="0.3">
      <c r="A223" s="1" t="s">
        <v>448</v>
      </c>
      <c r="B223" s="1" t="s">
        <v>449</v>
      </c>
      <c r="C223" s="1">
        <v>2013</v>
      </c>
      <c r="D223" s="1">
        <v>10546</v>
      </c>
      <c r="E223" s="1">
        <v>56</v>
      </c>
      <c r="F223" s="1">
        <v>32</v>
      </c>
      <c r="G223" s="1">
        <v>602305</v>
      </c>
      <c r="H223" s="1">
        <v>86</v>
      </c>
    </row>
    <row r="224" spans="1:8" x14ac:dyDescent="0.3">
      <c r="A224" s="1" t="s">
        <v>450</v>
      </c>
      <c r="B224" s="1" t="s">
        <v>451</v>
      </c>
      <c r="C224" s="1">
        <v>2013</v>
      </c>
      <c r="D224" s="1">
        <v>14667</v>
      </c>
      <c r="E224" s="1">
        <v>102</v>
      </c>
      <c r="F224" s="1">
        <v>11</v>
      </c>
      <c r="G224" s="1">
        <v>235696</v>
      </c>
      <c r="H224" s="1">
        <v>0</v>
      </c>
    </row>
    <row r="225" spans="1:8" x14ac:dyDescent="0.3">
      <c r="A225" s="1" t="s">
        <v>452</v>
      </c>
      <c r="B225" s="1" t="s">
        <v>453</v>
      </c>
      <c r="C225" s="1">
        <v>2013</v>
      </c>
      <c r="D225" s="1">
        <v>13432</v>
      </c>
      <c r="E225" s="1">
        <v>37</v>
      </c>
      <c r="F225" s="1">
        <v>8</v>
      </c>
      <c r="G225" s="1">
        <v>669639</v>
      </c>
      <c r="H225" s="1">
        <v>0</v>
      </c>
    </row>
    <row r="226" spans="1:8" x14ac:dyDescent="0.3">
      <c r="A226" s="1" t="s">
        <v>454</v>
      </c>
      <c r="B226" s="1" t="s">
        <v>455</v>
      </c>
      <c r="C226" s="1">
        <v>2013</v>
      </c>
      <c r="D226" s="1">
        <v>6968</v>
      </c>
      <c r="E226" s="1">
        <v>49</v>
      </c>
      <c r="F226" s="1">
        <v>10</v>
      </c>
      <c r="G226" s="1">
        <v>307020</v>
      </c>
      <c r="H226" s="1">
        <v>0</v>
      </c>
    </row>
    <row r="227" spans="1:8" x14ac:dyDescent="0.3">
      <c r="A227" s="1" t="s">
        <v>456</v>
      </c>
      <c r="B227" s="1" t="s">
        <v>457</v>
      </c>
      <c r="C227" s="1">
        <v>2013</v>
      </c>
      <c r="D227" s="1">
        <v>17856</v>
      </c>
      <c r="E227" s="1">
        <v>58</v>
      </c>
      <c r="F227" s="1">
        <v>0</v>
      </c>
      <c r="G227" s="1">
        <v>362740</v>
      </c>
      <c r="H227" s="1">
        <v>5</v>
      </c>
    </row>
    <row r="228" spans="1:8" x14ac:dyDescent="0.3">
      <c r="A228" s="1" t="s">
        <v>458</v>
      </c>
      <c r="B228" s="1" t="s">
        <v>459</v>
      </c>
      <c r="C228" s="1">
        <v>2013</v>
      </c>
      <c r="D228" s="1">
        <v>25138</v>
      </c>
      <c r="E228" s="1">
        <v>112</v>
      </c>
      <c r="F228" s="1">
        <v>23</v>
      </c>
      <c r="G228" s="1">
        <v>1730120</v>
      </c>
      <c r="H228" s="1">
        <v>1</v>
      </c>
    </row>
    <row r="229" spans="1:8" x14ac:dyDescent="0.3">
      <c r="A229" s="1" t="s">
        <v>460</v>
      </c>
      <c r="B229" s="1" t="s">
        <v>461</v>
      </c>
      <c r="C229" s="1">
        <v>2013</v>
      </c>
      <c r="D229" s="1">
        <v>10908</v>
      </c>
      <c r="E229" s="1">
        <v>93</v>
      </c>
      <c r="F229" s="1">
        <v>8</v>
      </c>
      <c r="G229" s="1">
        <v>456340</v>
      </c>
      <c r="H229" s="1">
        <v>0</v>
      </c>
    </row>
    <row r="230" spans="1:8" x14ac:dyDescent="0.3">
      <c r="A230" s="1" t="s">
        <v>462</v>
      </c>
      <c r="B230" s="1" t="s">
        <v>463</v>
      </c>
      <c r="C230" s="1">
        <v>2013</v>
      </c>
      <c r="D230" s="1">
        <v>17694</v>
      </c>
      <c r="E230" s="1">
        <v>92</v>
      </c>
      <c r="F230" s="1">
        <v>24</v>
      </c>
      <c r="G230" s="1">
        <v>406818</v>
      </c>
      <c r="H230" s="1">
        <v>22</v>
      </c>
    </row>
    <row r="231" spans="1:8" x14ac:dyDescent="0.3">
      <c r="A231" s="1" t="s">
        <v>464</v>
      </c>
      <c r="B231" s="1" t="s">
        <v>465</v>
      </c>
      <c r="C231" s="1">
        <v>2013</v>
      </c>
      <c r="D231" s="1">
        <v>14010</v>
      </c>
      <c r="E231" s="1">
        <v>133</v>
      </c>
      <c r="F231" s="1">
        <v>99</v>
      </c>
      <c r="G231" s="1">
        <v>751647</v>
      </c>
      <c r="H231" s="1">
        <v>1</v>
      </c>
    </row>
    <row r="232" spans="1:8" x14ac:dyDescent="0.3">
      <c r="A232" s="1" t="s">
        <v>466</v>
      </c>
      <c r="B232" s="1" t="s">
        <v>467</v>
      </c>
      <c r="C232" s="1">
        <v>2013</v>
      </c>
      <c r="D232" s="1">
        <v>122593</v>
      </c>
      <c r="E232" s="1">
        <v>1574</v>
      </c>
      <c r="F232" s="1">
        <v>2069</v>
      </c>
      <c r="G232" s="1">
        <v>16287415</v>
      </c>
      <c r="H232" s="1">
        <v>299</v>
      </c>
    </row>
    <row r="233" spans="1:8" x14ac:dyDescent="0.3">
      <c r="A233" s="1" t="s">
        <v>468</v>
      </c>
      <c r="B233" s="1" t="s">
        <v>469</v>
      </c>
      <c r="C233" s="1">
        <v>2013</v>
      </c>
      <c r="D233" s="1">
        <v>22668</v>
      </c>
      <c r="E233" s="1">
        <v>256</v>
      </c>
      <c r="F233" s="1">
        <v>233</v>
      </c>
      <c r="G233" s="1">
        <v>3070188</v>
      </c>
      <c r="H233" s="1">
        <v>3</v>
      </c>
    </row>
    <row r="234" spans="1:8" x14ac:dyDescent="0.3">
      <c r="A234" s="1" t="s">
        <v>470</v>
      </c>
      <c r="B234" s="1" t="s">
        <v>471</v>
      </c>
      <c r="C234" s="1">
        <v>2013</v>
      </c>
      <c r="D234" s="1">
        <v>24705</v>
      </c>
      <c r="E234" s="1">
        <v>374</v>
      </c>
      <c r="F234" s="1">
        <v>274</v>
      </c>
      <c r="G234" s="1">
        <v>3728140</v>
      </c>
      <c r="H234" s="1">
        <v>0</v>
      </c>
    </row>
    <row r="235" spans="1:8" x14ac:dyDescent="0.3">
      <c r="A235" s="1" t="s">
        <v>472</v>
      </c>
      <c r="B235" s="1" t="s">
        <v>473</v>
      </c>
      <c r="C235" s="1">
        <v>2013</v>
      </c>
      <c r="D235" s="1">
        <v>22054</v>
      </c>
      <c r="E235" s="1">
        <v>205</v>
      </c>
      <c r="F235" s="1">
        <v>117</v>
      </c>
      <c r="G235" s="1">
        <v>910114</v>
      </c>
      <c r="H235" s="1">
        <v>0</v>
      </c>
    </row>
    <row r="236" spans="1:8" x14ac:dyDescent="0.3">
      <c r="A236" s="1" t="s">
        <v>474</v>
      </c>
      <c r="B236" s="1" t="s">
        <v>475</v>
      </c>
      <c r="C236" s="1">
        <v>2013</v>
      </c>
      <c r="D236" s="1">
        <v>28254</v>
      </c>
      <c r="E236" s="1">
        <v>270</v>
      </c>
      <c r="F236" s="1">
        <v>188</v>
      </c>
      <c r="G236" s="1">
        <v>3201088</v>
      </c>
      <c r="H236" s="1">
        <v>23</v>
      </c>
    </row>
    <row r="237" spans="1:8" x14ac:dyDescent="0.3">
      <c r="A237" s="1" t="s">
        <v>476</v>
      </c>
      <c r="B237" s="1" t="s">
        <v>477</v>
      </c>
      <c r="C237" s="1">
        <v>2013</v>
      </c>
      <c r="D237" s="1">
        <v>17615</v>
      </c>
      <c r="E237" s="1">
        <v>134</v>
      </c>
      <c r="F237" s="1">
        <v>119</v>
      </c>
      <c r="G237" s="1">
        <v>2255337</v>
      </c>
      <c r="H237" s="1">
        <v>23</v>
      </c>
    </row>
    <row r="238" spans="1:8" x14ac:dyDescent="0.3">
      <c r="A238" s="1" t="s">
        <v>478</v>
      </c>
      <c r="B238" s="1" t="s">
        <v>479</v>
      </c>
      <c r="C238" s="1">
        <v>2013</v>
      </c>
      <c r="D238" s="1">
        <v>33895</v>
      </c>
      <c r="E238" s="1">
        <v>1393</v>
      </c>
      <c r="F238" s="1">
        <v>934</v>
      </c>
      <c r="G238" s="1">
        <v>1744161</v>
      </c>
      <c r="H238" s="1">
        <v>75</v>
      </c>
    </row>
    <row r="239" spans="1:8" x14ac:dyDescent="0.3">
      <c r="A239" s="1" t="s">
        <v>480</v>
      </c>
      <c r="B239" s="1" t="s">
        <v>481</v>
      </c>
      <c r="C239" s="1">
        <v>2013</v>
      </c>
      <c r="D239" s="1">
        <v>32694</v>
      </c>
      <c r="E239" s="1">
        <v>799</v>
      </c>
      <c r="F239" s="1">
        <v>264</v>
      </c>
      <c r="G239" s="1">
        <v>2260462</v>
      </c>
      <c r="H239" s="1">
        <v>116</v>
      </c>
    </row>
    <row r="240" spans="1:8" x14ac:dyDescent="0.3">
      <c r="A240" s="1" t="s">
        <v>482</v>
      </c>
      <c r="B240" s="1" t="s">
        <v>483</v>
      </c>
      <c r="C240" s="1">
        <v>2013</v>
      </c>
      <c r="D240" s="1">
        <v>20422</v>
      </c>
      <c r="E240" s="1">
        <v>260</v>
      </c>
      <c r="F240" s="1">
        <v>82</v>
      </c>
      <c r="G240" s="1">
        <v>1999588</v>
      </c>
      <c r="H240" s="1">
        <v>94</v>
      </c>
    </row>
    <row r="241" spans="1:8" x14ac:dyDescent="0.3">
      <c r="A241" s="1" t="s">
        <v>484</v>
      </c>
      <c r="B241" s="1" t="s">
        <v>485</v>
      </c>
      <c r="C241" s="1">
        <v>2013</v>
      </c>
      <c r="D241" s="1">
        <v>25361</v>
      </c>
      <c r="E241" s="1">
        <v>125</v>
      </c>
      <c r="F241" s="1">
        <v>139</v>
      </c>
      <c r="G241" s="1">
        <v>2823570</v>
      </c>
      <c r="H241" s="1">
        <v>12</v>
      </c>
    </row>
    <row r="242" spans="1:8" x14ac:dyDescent="0.3">
      <c r="A242" s="1" t="s">
        <v>486</v>
      </c>
      <c r="B242" s="1" t="s">
        <v>487</v>
      </c>
      <c r="C242" s="1">
        <v>2013</v>
      </c>
      <c r="D242" s="1">
        <v>21279</v>
      </c>
      <c r="E242" s="1">
        <v>182</v>
      </c>
      <c r="F242" s="1">
        <v>303</v>
      </c>
      <c r="G242" s="1">
        <v>1984198</v>
      </c>
      <c r="H242" s="1">
        <v>8</v>
      </c>
    </row>
    <row r="243" spans="1:8" x14ac:dyDescent="0.3">
      <c r="A243" s="1" t="s">
        <v>488</v>
      </c>
      <c r="B243" s="1" t="s">
        <v>489</v>
      </c>
      <c r="C243" s="1">
        <v>2013</v>
      </c>
      <c r="D243" s="1">
        <v>21233</v>
      </c>
      <c r="E243" s="1">
        <v>213</v>
      </c>
      <c r="F243" s="1">
        <v>292</v>
      </c>
      <c r="G243" s="1">
        <v>2747102</v>
      </c>
      <c r="H243" s="1">
        <v>10</v>
      </c>
    </row>
    <row r="244" spans="1:8" x14ac:dyDescent="0.3">
      <c r="A244" s="1" t="s">
        <v>490</v>
      </c>
      <c r="B244" s="1" t="s">
        <v>310</v>
      </c>
      <c r="C244" s="1">
        <v>2013</v>
      </c>
      <c r="D244" s="1">
        <v>12608</v>
      </c>
      <c r="E244" s="1">
        <v>134</v>
      </c>
      <c r="F244" s="1">
        <v>86</v>
      </c>
      <c r="G244" s="1">
        <v>1341892</v>
      </c>
      <c r="H244" s="1">
        <v>2</v>
      </c>
    </row>
    <row r="245" spans="1:8" x14ac:dyDescent="0.3">
      <c r="A245" s="1" t="s">
        <v>491</v>
      </c>
      <c r="B245" s="1" t="s">
        <v>492</v>
      </c>
      <c r="C245" s="1">
        <v>2013</v>
      </c>
      <c r="D245" s="1">
        <v>26348</v>
      </c>
      <c r="E245" s="1">
        <v>593</v>
      </c>
      <c r="F245" s="1">
        <v>386</v>
      </c>
      <c r="G245" s="1">
        <v>1378796</v>
      </c>
      <c r="H245" s="1">
        <v>34</v>
      </c>
    </row>
    <row r="246" spans="1:8" x14ac:dyDescent="0.3">
      <c r="A246" s="1" t="s">
        <v>493</v>
      </c>
      <c r="B246" s="1" t="s">
        <v>494</v>
      </c>
      <c r="C246" s="1">
        <v>2013</v>
      </c>
      <c r="D246" s="1">
        <v>30868</v>
      </c>
      <c r="E246" s="1">
        <v>358</v>
      </c>
      <c r="F246" s="1">
        <v>207</v>
      </c>
      <c r="G246" s="1">
        <v>1706895</v>
      </c>
      <c r="H246" s="1">
        <v>16</v>
      </c>
    </row>
    <row r="247" spans="1:8" x14ac:dyDescent="0.3">
      <c r="A247" s="1" t="s">
        <v>495</v>
      </c>
      <c r="B247" s="1" t="s">
        <v>496</v>
      </c>
      <c r="C247" s="1">
        <v>2013</v>
      </c>
      <c r="D247" s="1">
        <v>38385</v>
      </c>
      <c r="E247" s="1">
        <v>359</v>
      </c>
      <c r="F247" s="1">
        <v>207</v>
      </c>
      <c r="G247" s="1">
        <v>4605008</v>
      </c>
      <c r="H247" s="1">
        <v>22</v>
      </c>
    </row>
    <row r="248" spans="1:8" x14ac:dyDescent="0.3">
      <c r="A248" s="1" t="s">
        <v>497</v>
      </c>
      <c r="B248" s="1" t="s">
        <v>498</v>
      </c>
      <c r="C248" s="1">
        <v>2013</v>
      </c>
      <c r="D248" s="1">
        <v>36388</v>
      </c>
      <c r="E248" s="1">
        <v>368</v>
      </c>
      <c r="F248" s="1">
        <v>420</v>
      </c>
      <c r="G248" s="1">
        <v>5089281</v>
      </c>
      <c r="H248" s="1">
        <v>62</v>
      </c>
    </row>
    <row r="249" spans="1:8" x14ac:dyDescent="0.3">
      <c r="A249" s="1" t="s">
        <v>499</v>
      </c>
      <c r="B249" s="1" t="s">
        <v>500</v>
      </c>
      <c r="C249" s="1">
        <v>2013</v>
      </c>
      <c r="D249" s="1">
        <v>65559</v>
      </c>
      <c r="E249" s="1">
        <v>1172</v>
      </c>
      <c r="F249" s="1">
        <v>1228</v>
      </c>
      <c r="G249" s="1">
        <v>5164177</v>
      </c>
      <c r="H249" s="1">
        <v>15</v>
      </c>
    </row>
    <row r="250" spans="1:8" x14ac:dyDescent="0.3">
      <c r="A250" s="1" t="s">
        <v>501</v>
      </c>
      <c r="B250" s="1" t="s">
        <v>502</v>
      </c>
      <c r="C250" s="1">
        <v>2013</v>
      </c>
      <c r="D250" s="1">
        <v>12704</v>
      </c>
      <c r="E250" s="1">
        <v>60</v>
      </c>
      <c r="F250" s="1">
        <v>57</v>
      </c>
      <c r="G250" s="1">
        <v>2532921</v>
      </c>
      <c r="H250" s="1">
        <v>32</v>
      </c>
    </row>
    <row r="251" spans="1:8" x14ac:dyDescent="0.3">
      <c r="A251" s="1" t="s">
        <v>503</v>
      </c>
      <c r="B251" s="1" t="s">
        <v>504</v>
      </c>
      <c r="C251" s="1">
        <v>2013</v>
      </c>
      <c r="D251" s="1">
        <v>203223</v>
      </c>
      <c r="E251" s="1">
        <v>3851</v>
      </c>
      <c r="F251" s="1">
        <v>6271</v>
      </c>
      <c r="G251" s="1">
        <v>18086098</v>
      </c>
      <c r="H251" s="1">
        <v>120</v>
      </c>
    </row>
    <row r="252" spans="1:8" x14ac:dyDescent="0.3">
      <c r="A252" s="1" t="s">
        <v>505</v>
      </c>
      <c r="B252" s="1" t="s">
        <v>506</v>
      </c>
      <c r="C252" s="1">
        <v>2013</v>
      </c>
      <c r="D252" s="1">
        <v>108992</v>
      </c>
      <c r="E252" s="1">
        <v>1066</v>
      </c>
      <c r="F252" s="1">
        <v>2078</v>
      </c>
      <c r="G252" s="1">
        <v>5966802</v>
      </c>
      <c r="H252" s="1">
        <v>0</v>
      </c>
    </row>
    <row r="253" spans="1:8" x14ac:dyDescent="0.3">
      <c r="A253" s="1" t="s">
        <v>507</v>
      </c>
      <c r="B253" s="1" t="s">
        <v>508</v>
      </c>
      <c r="C253" s="1">
        <v>2013</v>
      </c>
      <c r="D253" s="1">
        <v>38020</v>
      </c>
      <c r="E253" s="1">
        <v>264</v>
      </c>
      <c r="F253" s="1">
        <v>479</v>
      </c>
      <c r="G253" s="1">
        <v>2349754</v>
      </c>
      <c r="H253" s="1">
        <v>0</v>
      </c>
    </row>
    <row r="254" spans="1:8" x14ac:dyDescent="0.3">
      <c r="A254" s="1" t="s">
        <v>509</v>
      </c>
      <c r="B254" s="1" t="s">
        <v>510</v>
      </c>
      <c r="C254" s="1">
        <v>2013</v>
      </c>
      <c r="D254" s="1">
        <v>18958</v>
      </c>
      <c r="E254" s="1">
        <v>95</v>
      </c>
      <c r="F254" s="1">
        <v>335</v>
      </c>
      <c r="G254" s="1">
        <v>771833</v>
      </c>
      <c r="H254" s="1">
        <v>18</v>
      </c>
    </row>
    <row r="255" spans="1:8" x14ac:dyDescent="0.3">
      <c r="A255" s="1" t="s">
        <v>511</v>
      </c>
      <c r="B255" s="1" t="s">
        <v>512</v>
      </c>
      <c r="C255" s="1">
        <v>2013</v>
      </c>
      <c r="D255" s="1">
        <v>60510</v>
      </c>
      <c r="E255" s="1">
        <v>247</v>
      </c>
      <c r="F255" s="1">
        <v>372</v>
      </c>
      <c r="G255" s="1">
        <v>6261962</v>
      </c>
      <c r="H255" s="1">
        <v>25</v>
      </c>
    </row>
    <row r="256" spans="1:8" x14ac:dyDescent="0.3">
      <c r="A256" s="1" t="s">
        <v>513</v>
      </c>
      <c r="B256" s="1" t="s">
        <v>443</v>
      </c>
      <c r="C256" s="1">
        <v>2013</v>
      </c>
      <c r="D256" s="1">
        <v>48313</v>
      </c>
      <c r="E256" s="1">
        <v>531</v>
      </c>
      <c r="F256" s="1">
        <v>224</v>
      </c>
      <c r="G256" s="1">
        <v>1198701</v>
      </c>
      <c r="H256" s="1">
        <v>45</v>
      </c>
    </row>
    <row r="257" spans="1:8" x14ac:dyDescent="0.3">
      <c r="A257" s="1" t="s">
        <v>514</v>
      </c>
      <c r="B257" s="1" t="s">
        <v>515</v>
      </c>
      <c r="C257" s="1">
        <v>2013</v>
      </c>
      <c r="D257" s="1">
        <v>59238</v>
      </c>
      <c r="E257" s="1">
        <v>636</v>
      </c>
      <c r="F257" s="1">
        <v>257</v>
      </c>
      <c r="G257" s="1">
        <v>2572964</v>
      </c>
      <c r="H257" s="1">
        <v>38</v>
      </c>
    </row>
    <row r="258" spans="1:8" x14ac:dyDescent="0.3">
      <c r="A258" s="1" t="s">
        <v>516</v>
      </c>
      <c r="B258" s="1" t="s">
        <v>517</v>
      </c>
      <c r="C258" s="1">
        <v>2013</v>
      </c>
      <c r="D258" s="1">
        <v>45589</v>
      </c>
      <c r="E258" s="1">
        <v>482</v>
      </c>
      <c r="F258" s="1">
        <v>44</v>
      </c>
      <c r="G258" s="1">
        <v>714326</v>
      </c>
      <c r="H258" s="1">
        <v>26</v>
      </c>
    </row>
    <row r="259" spans="1:8" x14ac:dyDescent="0.3">
      <c r="A259" s="1" t="s">
        <v>518</v>
      </c>
      <c r="B259" s="1" t="s">
        <v>519</v>
      </c>
      <c r="C259" s="1">
        <v>2013</v>
      </c>
      <c r="D259" s="1">
        <v>37507</v>
      </c>
      <c r="E259" s="1">
        <v>281</v>
      </c>
      <c r="F259" s="1">
        <v>209</v>
      </c>
      <c r="G259" s="1">
        <v>2593078</v>
      </c>
      <c r="H259" s="1">
        <v>0</v>
      </c>
    </row>
    <row r="260" spans="1:8" x14ac:dyDescent="0.3">
      <c r="A260" s="1" t="s">
        <v>520</v>
      </c>
      <c r="B260" s="1" t="s">
        <v>521</v>
      </c>
      <c r="C260" s="1">
        <v>2013</v>
      </c>
      <c r="D260" s="1">
        <v>26261</v>
      </c>
      <c r="E260" s="1">
        <v>229</v>
      </c>
      <c r="F260" s="1">
        <v>13</v>
      </c>
      <c r="G260" s="1">
        <v>250923</v>
      </c>
      <c r="H260" s="1">
        <v>3</v>
      </c>
    </row>
    <row r="261" spans="1:8" x14ac:dyDescent="0.3">
      <c r="A261" s="1" t="s">
        <v>522</v>
      </c>
      <c r="B261" s="1" t="s">
        <v>523</v>
      </c>
      <c r="C261" s="1">
        <v>2013</v>
      </c>
      <c r="D261" s="1">
        <v>24670</v>
      </c>
      <c r="E261" s="1">
        <v>238</v>
      </c>
      <c r="F261" s="1">
        <v>51</v>
      </c>
      <c r="G261" s="1">
        <v>901557</v>
      </c>
      <c r="H261" s="1">
        <v>33</v>
      </c>
    </row>
    <row r="262" spans="1:8" x14ac:dyDescent="0.3">
      <c r="A262" s="1" t="s">
        <v>524</v>
      </c>
      <c r="B262" s="1" t="s">
        <v>525</v>
      </c>
      <c r="C262" s="1">
        <v>2013</v>
      </c>
      <c r="D262" s="1">
        <v>32095</v>
      </c>
      <c r="E262" s="1">
        <v>434</v>
      </c>
      <c r="F262" s="1">
        <v>158</v>
      </c>
      <c r="G262" s="1">
        <v>2286170</v>
      </c>
      <c r="H262" s="1">
        <v>13</v>
      </c>
    </row>
    <row r="263" spans="1:8" x14ac:dyDescent="0.3">
      <c r="A263" s="1" t="s">
        <v>526</v>
      </c>
      <c r="B263" s="1" t="s">
        <v>527</v>
      </c>
      <c r="C263" s="1">
        <v>2013</v>
      </c>
      <c r="D263" s="1">
        <v>26335</v>
      </c>
      <c r="E263" s="1">
        <v>176</v>
      </c>
      <c r="F263" s="1">
        <v>46</v>
      </c>
      <c r="G263" s="1">
        <v>1394084</v>
      </c>
      <c r="H263" s="1">
        <v>0</v>
      </c>
    </row>
    <row r="264" spans="1:8" x14ac:dyDescent="0.3">
      <c r="A264" s="1" t="s">
        <v>528</v>
      </c>
      <c r="B264" s="1" t="s">
        <v>529</v>
      </c>
      <c r="C264" s="1">
        <v>2013</v>
      </c>
      <c r="D264" s="1">
        <v>30901</v>
      </c>
      <c r="E264" s="1">
        <v>416</v>
      </c>
      <c r="F264" s="1">
        <v>196</v>
      </c>
      <c r="G264" s="1">
        <v>847471</v>
      </c>
      <c r="H264" s="1">
        <v>2</v>
      </c>
    </row>
    <row r="265" spans="1:8" x14ac:dyDescent="0.3">
      <c r="A265" s="1" t="s">
        <v>530</v>
      </c>
      <c r="B265" s="1" t="s">
        <v>531</v>
      </c>
      <c r="C265" s="1">
        <v>2013</v>
      </c>
      <c r="D265" s="1">
        <v>35638</v>
      </c>
      <c r="E265" s="1">
        <v>123</v>
      </c>
      <c r="F265" s="1">
        <v>176</v>
      </c>
      <c r="G265" s="1">
        <v>3446046</v>
      </c>
      <c r="H265" s="1">
        <v>14</v>
      </c>
    </row>
    <row r="266" spans="1:8" x14ac:dyDescent="0.3">
      <c r="A266" s="1" t="s">
        <v>532</v>
      </c>
      <c r="B266" s="1" t="s">
        <v>533</v>
      </c>
      <c r="C266" s="1">
        <v>2013</v>
      </c>
      <c r="D266" s="1">
        <v>23848</v>
      </c>
      <c r="E266" s="1">
        <v>260</v>
      </c>
      <c r="F266" s="1">
        <v>18</v>
      </c>
      <c r="G266" s="1">
        <v>623791</v>
      </c>
      <c r="H266" s="1">
        <v>42</v>
      </c>
    </row>
    <row r="267" spans="1:8" x14ac:dyDescent="0.3">
      <c r="A267" s="1" t="s">
        <v>534</v>
      </c>
      <c r="B267" s="1" t="s">
        <v>535</v>
      </c>
      <c r="C267" s="1">
        <v>2013</v>
      </c>
      <c r="D267" s="1">
        <v>47593</v>
      </c>
      <c r="E267" s="1">
        <v>567</v>
      </c>
      <c r="F267" s="1">
        <v>351</v>
      </c>
      <c r="G267" s="1">
        <v>3572905</v>
      </c>
      <c r="H267" s="1">
        <v>30</v>
      </c>
    </row>
    <row r="268" spans="1:8" x14ac:dyDescent="0.3">
      <c r="A268" s="1" t="s">
        <v>536</v>
      </c>
      <c r="B268" s="1" t="s">
        <v>537</v>
      </c>
      <c r="C268" s="1">
        <v>2013</v>
      </c>
      <c r="D268" s="1">
        <v>17725</v>
      </c>
      <c r="E268" s="1">
        <v>246</v>
      </c>
      <c r="F268" s="1">
        <v>134</v>
      </c>
      <c r="G268" s="1">
        <v>345063</v>
      </c>
      <c r="H268" s="1">
        <v>0</v>
      </c>
    </row>
    <row r="269" spans="1:8" x14ac:dyDescent="0.3">
      <c r="A269" s="1" t="s">
        <v>538</v>
      </c>
      <c r="B269" s="1" t="s">
        <v>539</v>
      </c>
      <c r="C269" s="1">
        <v>2013</v>
      </c>
      <c r="D269" s="1">
        <v>48290</v>
      </c>
      <c r="E269" s="1">
        <v>392</v>
      </c>
      <c r="F269" s="1">
        <v>86</v>
      </c>
      <c r="G269" s="1">
        <v>3137944</v>
      </c>
      <c r="H269" s="1">
        <v>96</v>
      </c>
    </row>
    <row r="270" spans="1:8" x14ac:dyDescent="0.3">
      <c r="A270" s="1" t="s">
        <v>540</v>
      </c>
      <c r="B270" s="1" t="s">
        <v>541</v>
      </c>
      <c r="C270" s="1">
        <v>2013</v>
      </c>
      <c r="D270" s="1">
        <v>47081</v>
      </c>
      <c r="E270" s="1">
        <v>124</v>
      </c>
      <c r="F270" s="1">
        <v>159</v>
      </c>
      <c r="G270" s="1">
        <v>4371263</v>
      </c>
      <c r="H270" s="1">
        <v>37</v>
      </c>
    </row>
    <row r="271" spans="1:8" x14ac:dyDescent="0.3">
      <c r="A271" s="1" t="s">
        <v>542</v>
      </c>
      <c r="B271" s="1" t="s">
        <v>543</v>
      </c>
      <c r="C271" s="1">
        <v>2013</v>
      </c>
      <c r="D271" s="1">
        <v>49654</v>
      </c>
      <c r="E271" s="1">
        <v>541</v>
      </c>
      <c r="F271" s="1">
        <v>38</v>
      </c>
      <c r="G271" s="1">
        <v>1255779</v>
      </c>
      <c r="H271" s="1">
        <v>0</v>
      </c>
    </row>
    <row r="272" spans="1:8" x14ac:dyDescent="0.3">
      <c r="A272" s="1" t="s">
        <v>544</v>
      </c>
      <c r="B272" s="1" t="s">
        <v>545</v>
      </c>
      <c r="C272" s="1">
        <v>2013</v>
      </c>
      <c r="D272" s="1">
        <v>68954</v>
      </c>
      <c r="E272" s="1">
        <v>535</v>
      </c>
      <c r="F272" s="1">
        <v>688</v>
      </c>
      <c r="G272" s="1">
        <v>6237824</v>
      </c>
      <c r="H272" s="1">
        <v>81</v>
      </c>
    </row>
    <row r="273" spans="1:8" x14ac:dyDescent="0.3">
      <c r="A273" s="1" t="s">
        <v>546</v>
      </c>
      <c r="B273" s="1" t="s">
        <v>547</v>
      </c>
      <c r="C273" s="1">
        <v>2013</v>
      </c>
      <c r="D273" s="1">
        <v>73209</v>
      </c>
      <c r="E273" s="1">
        <v>161</v>
      </c>
      <c r="F273" s="1">
        <v>716</v>
      </c>
      <c r="G273" s="1">
        <v>7509429</v>
      </c>
      <c r="H273" s="1">
        <v>56</v>
      </c>
    </row>
    <row r="274" spans="1:8" x14ac:dyDescent="0.3">
      <c r="A274" s="1" t="s">
        <v>548</v>
      </c>
      <c r="B274" s="1" t="s">
        <v>549</v>
      </c>
      <c r="C274" s="1">
        <v>2013</v>
      </c>
      <c r="D274" s="1">
        <v>52336</v>
      </c>
      <c r="E274" s="1">
        <v>162</v>
      </c>
      <c r="F274" s="1">
        <v>363</v>
      </c>
      <c r="G274" s="1">
        <v>14980167</v>
      </c>
      <c r="H274" s="1">
        <v>22</v>
      </c>
    </row>
    <row r="275" spans="1:8" x14ac:dyDescent="0.3">
      <c r="A275" s="1" t="s">
        <v>550</v>
      </c>
      <c r="B275" s="1" t="s">
        <v>551</v>
      </c>
      <c r="C275" s="1">
        <v>2013</v>
      </c>
      <c r="D275" s="1">
        <v>97849</v>
      </c>
      <c r="E275" s="1">
        <v>488</v>
      </c>
      <c r="F275" s="1">
        <v>477</v>
      </c>
      <c r="G275" s="1">
        <v>11864865</v>
      </c>
      <c r="H275" s="1">
        <v>254</v>
      </c>
    </row>
    <row r="276" spans="1:8" x14ac:dyDescent="0.3">
      <c r="A276" s="1" t="s">
        <v>552</v>
      </c>
      <c r="B276" s="1" t="s">
        <v>553</v>
      </c>
      <c r="C276" s="1">
        <v>2013</v>
      </c>
      <c r="D276" s="1">
        <v>49359</v>
      </c>
      <c r="E276" s="1">
        <v>225</v>
      </c>
      <c r="F276" s="1">
        <v>278</v>
      </c>
      <c r="G276" s="1">
        <v>3782293</v>
      </c>
      <c r="H276" s="1">
        <v>0</v>
      </c>
    </row>
    <row r="277" spans="1:8" x14ac:dyDescent="0.3">
      <c r="A277" s="1" t="s">
        <v>554</v>
      </c>
      <c r="B277" s="1" t="s">
        <v>555</v>
      </c>
      <c r="C277" s="1">
        <v>2013</v>
      </c>
      <c r="D277" s="1">
        <v>77882</v>
      </c>
      <c r="E277" s="1">
        <v>199</v>
      </c>
      <c r="F277" s="1">
        <v>955</v>
      </c>
      <c r="G277" s="1">
        <v>7390010</v>
      </c>
      <c r="H277" s="1">
        <v>109</v>
      </c>
    </row>
    <row r="278" spans="1:8" x14ac:dyDescent="0.3">
      <c r="A278" s="1" t="s">
        <v>556</v>
      </c>
      <c r="B278" s="1" t="s">
        <v>557</v>
      </c>
      <c r="C278" s="1">
        <v>2013</v>
      </c>
      <c r="D278" s="1">
        <v>31538</v>
      </c>
      <c r="E278" s="1">
        <v>96</v>
      </c>
      <c r="F278" s="1">
        <v>70</v>
      </c>
      <c r="G278" s="1">
        <v>2715170</v>
      </c>
      <c r="H278" s="1">
        <v>0</v>
      </c>
    </row>
    <row r="279" spans="1:8" x14ac:dyDescent="0.3">
      <c r="A279" s="1" t="s">
        <v>558</v>
      </c>
      <c r="B279" s="1" t="s">
        <v>559</v>
      </c>
      <c r="C279" s="1">
        <v>2013</v>
      </c>
      <c r="D279" s="1">
        <v>34108</v>
      </c>
      <c r="E279" s="1">
        <v>148</v>
      </c>
      <c r="F279" s="1">
        <v>356</v>
      </c>
      <c r="G279" s="1">
        <v>2507350</v>
      </c>
      <c r="H279" s="1">
        <v>0</v>
      </c>
    </row>
    <row r="280" spans="1:8" x14ac:dyDescent="0.3">
      <c r="A280" s="1" t="s">
        <v>560</v>
      </c>
      <c r="B280" s="1" t="s">
        <v>561</v>
      </c>
      <c r="C280" s="1">
        <v>2013</v>
      </c>
      <c r="D280" s="1">
        <v>138700</v>
      </c>
      <c r="E280" s="1">
        <v>510</v>
      </c>
      <c r="F280" s="1">
        <v>996</v>
      </c>
      <c r="G280" s="1">
        <v>17710000</v>
      </c>
      <c r="H280" s="1">
        <v>257</v>
      </c>
    </row>
    <row r="281" spans="1:8" x14ac:dyDescent="0.3">
      <c r="A281" s="1" t="s">
        <v>562</v>
      </c>
      <c r="B281" s="1" t="s">
        <v>563</v>
      </c>
      <c r="C281" s="1">
        <v>2013</v>
      </c>
      <c r="D281" s="1">
        <v>28012</v>
      </c>
      <c r="E281" s="1">
        <v>256</v>
      </c>
      <c r="F281" s="1">
        <v>322</v>
      </c>
      <c r="G281" s="1">
        <v>4015961</v>
      </c>
      <c r="H281" s="1">
        <v>12</v>
      </c>
    </row>
    <row r="282" spans="1:8" x14ac:dyDescent="0.3">
      <c r="A282" s="1" t="s">
        <v>564</v>
      </c>
      <c r="B282" s="1" t="s">
        <v>565</v>
      </c>
      <c r="C282" s="1">
        <v>2013</v>
      </c>
      <c r="D282" s="1">
        <v>22138</v>
      </c>
      <c r="E282" s="1">
        <v>49</v>
      </c>
      <c r="F282" s="1">
        <v>154</v>
      </c>
      <c r="G282" s="1">
        <v>2843729</v>
      </c>
      <c r="H282" s="1">
        <v>0</v>
      </c>
    </row>
    <row r="283" spans="1:8" x14ac:dyDescent="0.3">
      <c r="A283" s="1" t="s">
        <v>566</v>
      </c>
      <c r="B283" s="1" t="s">
        <v>567</v>
      </c>
      <c r="C283" s="1">
        <v>2013</v>
      </c>
      <c r="D283" s="1">
        <v>57719</v>
      </c>
      <c r="E283" s="1">
        <v>109</v>
      </c>
      <c r="F283" s="1">
        <v>485</v>
      </c>
      <c r="G283" s="1">
        <v>6224139</v>
      </c>
      <c r="H283" s="1">
        <v>0</v>
      </c>
    </row>
    <row r="284" spans="1:8" x14ac:dyDescent="0.3">
      <c r="A284" s="1" t="s">
        <v>568</v>
      </c>
      <c r="B284" s="1" t="s">
        <v>569</v>
      </c>
      <c r="C284" s="1">
        <v>2013</v>
      </c>
      <c r="D284" s="1">
        <v>46835</v>
      </c>
      <c r="E284" s="1">
        <v>343</v>
      </c>
      <c r="F284" s="1">
        <v>298</v>
      </c>
      <c r="G284" s="1">
        <v>4991479</v>
      </c>
      <c r="H284" s="1">
        <v>40</v>
      </c>
    </row>
    <row r="285" spans="1:8" x14ac:dyDescent="0.3">
      <c r="A285" s="1" t="s">
        <v>570</v>
      </c>
      <c r="B285" s="1" t="s">
        <v>571</v>
      </c>
      <c r="C285" s="1">
        <v>2013</v>
      </c>
      <c r="D285" s="1">
        <v>30883</v>
      </c>
      <c r="E285" s="1">
        <v>45</v>
      </c>
      <c r="F285" s="1">
        <v>500</v>
      </c>
      <c r="G285" s="1">
        <v>4587552</v>
      </c>
      <c r="H285" s="1">
        <v>403</v>
      </c>
    </row>
    <row r="286" spans="1:8" x14ac:dyDescent="0.3">
      <c r="A286" s="1" t="s">
        <v>572</v>
      </c>
      <c r="B286" s="1" t="s">
        <v>573</v>
      </c>
      <c r="C286" s="1">
        <v>2013</v>
      </c>
      <c r="D286" s="1">
        <v>91331</v>
      </c>
      <c r="E286" s="1">
        <v>377</v>
      </c>
      <c r="F286" s="1">
        <v>475</v>
      </c>
      <c r="G286" s="1">
        <v>12537439</v>
      </c>
      <c r="H286" s="1">
        <v>441</v>
      </c>
    </row>
    <row r="287" spans="1:8" x14ac:dyDescent="0.3">
      <c r="A287" s="1" t="s">
        <v>574</v>
      </c>
      <c r="B287" s="1" t="s">
        <v>575</v>
      </c>
      <c r="C287" s="1">
        <v>2013</v>
      </c>
      <c r="D287" s="1">
        <v>22386</v>
      </c>
      <c r="E287" s="1">
        <v>48</v>
      </c>
      <c r="F287" s="1">
        <v>163</v>
      </c>
      <c r="G287" s="1">
        <v>2791444</v>
      </c>
      <c r="H287" s="1">
        <v>296</v>
      </c>
    </row>
    <row r="288" spans="1:8" x14ac:dyDescent="0.3">
      <c r="A288" s="1" t="s">
        <v>576</v>
      </c>
      <c r="B288" s="1" t="s">
        <v>577</v>
      </c>
      <c r="C288" s="1">
        <v>2013</v>
      </c>
      <c r="D288" s="1">
        <v>48720</v>
      </c>
      <c r="E288" s="1">
        <v>405</v>
      </c>
      <c r="F288" s="1">
        <v>685</v>
      </c>
      <c r="G288" s="1">
        <v>5504085</v>
      </c>
      <c r="H288" s="1">
        <v>0</v>
      </c>
    </row>
    <row r="289" spans="1:8" x14ac:dyDescent="0.3">
      <c r="A289" s="1" t="s">
        <v>578</v>
      </c>
      <c r="B289" s="1" t="s">
        <v>579</v>
      </c>
      <c r="C289" s="1">
        <v>2013</v>
      </c>
      <c r="D289" s="1">
        <v>69627</v>
      </c>
      <c r="E289" s="1">
        <v>164</v>
      </c>
      <c r="F289" s="1">
        <v>546</v>
      </c>
      <c r="G289" s="1">
        <v>11129414</v>
      </c>
      <c r="H289" s="1">
        <v>22</v>
      </c>
    </row>
    <row r="290" spans="1:8" x14ac:dyDescent="0.3">
      <c r="A290" s="1" t="s">
        <v>580</v>
      </c>
      <c r="B290" s="1" t="s">
        <v>581</v>
      </c>
      <c r="C290" s="1">
        <v>2013</v>
      </c>
      <c r="D290" s="1">
        <v>19487</v>
      </c>
      <c r="E290" s="1">
        <v>138</v>
      </c>
      <c r="F290" s="1">
        <v>160</v>
      </c>
      <c r="G290" s="1">
        <v>1180071</v>
      </c>
      <c r="H290" s="1">
        <v>80</v>
      </c>
    </row>
    <row r="291" spans="1:8" x14ac:dyDescent="0.3">
      <c r="A291" s="1" t="s">
        <v>582</v>
      </c>
      <c r="B291" s="1" t="s">
        <v>583</v>
      </c>
      <c r="C291" s="1">
        <v>2013</v>
      </c>
      <c r="D291" s="1">
        <v>24453</v>
      </c>
      <c r="E291" s="1">
        <v>165</v>
      </c>
      <c r="F291" s="1">
        <v>38</v>
      </c>
      <c r="G291" s="1">
        <v>805055</v>
      </c>
      <c r="H291" s="1">
        <v>1</v>
      </c>
    </row>
    <row r="292" spans="1:8" x14ac:dyDescent="0.3">
      <c r="A292" s="1" t="s">
        <v>584</v>
      </c>
      <c r="B292" s="1" t="s">
        <v>585</v>
      </c>
      <c r="C292" s="1">
        <v>2013</v>
      </c>
      <c r="D292" s="1">
        <v>29505</v>
      </c>
      <c r="E292" s="1">
        <v>136</v>
      </c>
      <c r="F292" s="1">
        <v>0</v>
      </c>
      <c r="G292" s="1">
        <v>778059</v>
      </c>
      <c r="H292" s="1">
        <v>16</v>
      </c>
    </row>
    <row r="293" spans="1:8" x14ac:dyDescent="0.3">
      <c r="A293" s="1" t="s">
        <v>586</v>
      </c>
      <c r="B293" s="1" t="s">
        <v>587</v>
      </c>
      <c r="C293" s="1">
        <v>2013</v>
      </c>
      <c r="D293" s="1">
        <v>10876</v>
      </c>
      <c r="E293" s="1">
        <v>42</v>
      </c>
      <c r="F293" s="1">
        <v>5</v>
      </c>
      <c r="G293" s="1">
        <v>176145</v>
      </c>
      <c r="H293" s="1">
        <v>0</v>
      </c>
    </row>
    <row r="294" spans="1:8" x14ac:dyDescent="0.3">
      <c r="A294" s="1" t="s">
        <v>588</v>
      </c>
      <c r="B294" s="1" t="s">
        <v>589</v>
      </c>
      <c r="C294" s="1">
        <v>2013</v>
      </c>
      <c r="D294" s="1">
        <v>57933</v>
      </c>
      <c r="E294" s="1">
        <v>695</v>
      </c>
      <c r="F294" s="1">
        <v>3</v>
      </c>
      <c r="G294" s="1">
        <v>432272</v>
      </c>
      <c r="H294" s="1">
        <v>17</v>
      </c>
    </row>
    <row r="295" spans="1:8" x14ac:dyDescent="0.3">
      <c r="A295" s="1" t="s">
        <v>590</v>
      </c>
      <c r="B295" s="1" t="s">
        <v>591</v>
      </c>
      <c r="C295" s="1">
        <v>2013</v>
      </c>
      <c r="D295" s="1">
        <v>29505</v>
      </c>
      <c r="E295" s="1">
        <v>137</v>
      </c>
      <c r="F295" s="1">
        <v>43</v>
      </c>
      <c r="G295" s="1">
        <v>622323</v>
      </c>
      <c r="H295" s="1">
        <v>10</v>
      </c>
    </row>
    <row r="296" spans="1:8" x14ac:dyDescent="0.3">
      <c r="A296" s="1" t="s">
        <v>592</v>
      </c>
      <c r="B296" s="1" t="s">
        <v>593</v>
      </c>
      <c r="C296" s="1">
        <v>2013</v>
      </c>
      <c r="D296" s="1">
        <v>18465</v>
      </c>
      <c r="E296" s="1">
        <v>65</v>
      </c>
      <c r="F296" s="1">
        <v>8</v>
      </c>
      <c r="G296" s="1">
        <v>359180</v>
      </c>
      <c r="H296" s="1">
        <v>16</v>
      </c>
    </row>
    <row r="297" spans="1:8" x14ac:dyDescent="0.3">
      <c r="A297" s="1" t="s">
        <v>594</v>
      </c>
      <c r="B297" s="1" t="s">
        <v>595</v>
      </c>
      <c r="C297" s="1">
        <v>2013</v>
      </c>
      <c r="D297" s="1">
        <v>40690</v>
      </c>
      <c r="E297" s="1">
        <v>243</v>
      </c>
      <c r="F297" s="1">
        <v>75</v>
      </c>
      <c r="G297" s="1">
        <v>1924440</v>
      </c>
      <c r="H297" s="1">
        <v>10</v>
      </c>
    </row>
    <row r="298" spans="1:8" x14ac:dyDescent="0.3">
      <c r="A298" s="1" t="s">
        <v>596</v>
      </c>
      <c r="B298" s="1" t="s">
        <v>597</v>
      </c>
      <c r="C298" s="1">
        <v>2013</v>
      </c>
      <c r="D298" s="1">
        <v>14183</v>
      </c>
      <c r="E298" s="1">
        <v>79</v>
      </c>
      <c r="F298" s="1">
        <v>30</v>
      </c>
      <c r="G298" s="1">
        <v>609151</v>
      </c>
      <c r="H298" s="1">
        <v>0</v>
      </c>
    </row>
    <row r="299" spans="1:8" x14ac:dyDescent="0.3">
      <c r="A299" s="1" t="s">
        <v>598</v>
      </c>
      <c r="B299" s="1" t="s">
        <v>599</v>
      </c>
      <c r="C299" s="1">
        <v>2013</v>
      </c>
      <c r="D299" s="1">
        <v>25428</v>
      </c>
      <c r="E299" s="1">
        <v>101</v>
      </c>
      <c r="F299" s="1">
        <v>32</v>
      </c>
      <c r="G299" s="1">
        <v>701159</v>
      </c>
      <c r="H299" s="1">
        <v>0</v>
      </c>
    </row>
    <row r="300" spans="1:8" x14ac:dyDescent="0.3">
      <c r="A300" s="1" t="s">
        <v>600</v>
      </c>
      <c r="B300" s="1" t="s">
        <v>601</v>
      </c>
      <c r="C300" s="1">
        <v>2013</v>
      </c>
      <c r="D300" s="1">
        <v>30111</v>
      </c>
      <c r="E300" s="1">
        <v>88</v>
      </c>
      <c r="F300" s="1">
        <v>81</v>
      </c>
      <c r="G300" s="1">
        <v>1985205</v>
      </c>
      <c r="H300" s="1">
        <v>0</v>
      </c>
    </row>
    <row r="301" spans="1:8" x14ac:dyDescent="0.3">
      <c r="A301" s="1" t="s">
        <v>602</v>
      </c>
      <c r="B301" s="1" t="s">
        <v>603</v>
      </c>
      <c r="C301" s="1">
        <v>2013</v>
      </c>
      <c r="D301" s="1">
        <v>31904</v>
      </c>
      <c r="E301" s="1">
        <v>120</v>
      </c>
      <c r="F301" s="1">
        <v>133</v>
      </c>
      <c r="G301" s="1">
        <v>2883581</v>
      </c>
      <c r="H301" s="1">
        <v>12</v>
      </c>
    </row>
    <row r="302" spans="1:8" x14ac:dyDescent="0.3">
      <c r="A302" s="1" t="s">
        <v>604</v>
      </c>
      <c r="B302" s="1" t="s">
        <v>605</v>
      </c>
      <c r="C302" s="1">
        <v>2013</v>
      </c>
      <c r="D302" s="1">
        <v>23301</v>
      </c>
      <c r="E302" s="1">
        <v>205</v>
      </c>
      <c r="F302" s="1">
        <v>33</v>
      </c>
      <c r="G302" s="1">
        <v>682059</v>
      </c>
      <c r="H302" s="1">
        <v>22</v>
      </c>
    </row>
    <row r="303" spans="1:8" x14ac:dyDescent="0.3">
      <c r="A303" s="1" t="s">
        <v>606</v>
      </c>
      <c r="B303" s="1" t="s">
        <v>607</v>
      </c>
      <c r="C303" s="1">
        <v>2013</v>
      </c>
      <c r="D303" s="1">
        <v>15973</v>
      </c>
      <c r="E303" s="1">
        <v>126</v>
      </c>
      <c r="F303" s="1">
        <v>26</v>
      </c>
      <c r="G303" s="1">
        <v>264414</v>
      </c>
      <c r="H303" s="1">
        <v>4</v>
      </c>
    </row>
    <row r="304" spans="1:8" x14ac:dyDescent="0.3">
      <c r="A304" s="1" t="s">
        <v>608</v>
      </c>
      <c r="B304" s="1" t="s">
        <v>609</v>
      </c>
      <c r="C304" s="1">
        <v>2013</v>
      </c>
      <c r="D304" s="1">
        <v>80653</v>
      </c>
      <c r="E304" s="1">
        <v>666</v>
      </c>
      <c r="F304" s="1">
        <v>1110</v>
      </c>
      <c r="G304" s="1">
        <v>4345979</v>
      </c>
      <c r="H304" s="1">
        <v>346</v>
      </c>
    </row>
    <row r="305" spans="1:8" x14ac:dyDescent="0.3">
      <c r="A305" s="1" t="s">
        <v>610</v>
      </c>
      <c r="B305" s="1" t="s">
        <v>611</v>
      </c>
      <c r="C305" s="1">
        <v>2013</v>
      </c>
      <c r="D305" s="1">
        <v>20595</v>
      </c>
      <c r="E305" s="1">
        <v>67</v>
      </c>
      <c r="F305" s="1">
        <v>150</v>
      </c>
      <c r="G305" s="1">
        <v>3478005</v>
      </c>
      <c r="H305" s="1">
        <v>0</v>
      </c>
    </row>
    <row r="306" spans="1:8" x14ac:dyDescent="0.3">
      <c r="A306" s="1" t="s">
        <v>612</v>
      </c>
      <c r="B306" s="1" t="s">
        <v>613</v>
      </c>
      <c r="C306" s="1">
        <v>2013</v>
      </c>
      <c r="D306" s="1">
        <v>14121</v>
      </c>
      <c r="E306" s="1">
        <v>38</v>
      </c>
      <c r="F306" s="1">
        <v>122</v>
      </c>
      <c r="G306" s="1">
        <v>1795424</v>
      </c>
      <c r="H306" s="1">
        <v>6</v>
      </c>
    </row>
    <row r="307" spans="1:8" x14ac:dyDescent="0.3">
      <c r="A307" s="1" t="s">
        <v>614</v>
      </c>
      <c r="B307" s="1" t="s">
        <v>615</v>
      </c>
      <c r="C307" s="1">
        <v>2013</v>
      </c>
      <c r="D307" s="1">
        <v>21091</v>
      </c>
      <c r="E307" s="1">
        <v>197</v>
      </c>
      <c r="F307" s="1">
        <v>203</v>
      </c>
      <c r="G307" s="1">
        <v>1938503</v>
      </c>
      <c r="H307" s="1">
        <v>4</v>
      </c>
    </row>
    <row r="308" spans="1:8" x14ac:dyDescent="0.3">
      <c r="A308" s="1" t="s">
        <v>616</v>
      </c>
      <c r="B308" s="1" t="s">
        <v>617</v>
      </c>
      <c r="C308" s="1">
        <v>2013</v>
      </c>
      <c r="D308" s="1">
        <v>17705</v>
      </c>
      <c r="E308" s="1">
        <v>194</v>
      </c>
      <c r="F308" s="1">
        <v>97</v>
      </c>
      <c r="G308" s="1">
        <v>963575</v>
      </c>
      <c r="H308" s="1">
        <v>7</v>
      </c>
    </row>
    <row r="309" spans="1:8" x14ac:dyDescent="0.3">
      <c r="A309" s="1" t="s">
        <v>618</v>
      </c>
      <c r="B309" s="1" t="s">
        <v>619</v>
      </c>
      <c r="C309" s="1">
        <v>2013</v>
      </c>
      <c r="D309" s="1">
        <v>30813</v>
      </c>
      <c r="E309" s="1">
        <v>278</v>
      </c>
      <c r="F309" s="1">
        <v>429</v>
      </c>
      <c r="G309" s="1">
        <v>2598641</v>
      </c>
      <c r="H309" s="1">
        <v>66</v>
      </c>
    </row>
    <row r="310" spans="1:8" x14ac:dyDescent="0.3">
      <c r="A310" s="1" t="s">
        <v>620</v>
      </c>
      <c r="B310" s="1" t="s">
        <v>621</v>
      </c>
      <c r="C310" s="1">
        <v>2013</v>
      </c>
      <c r="D310" s="1">
        <v>20281</v>
      </c>
      <c r="E310" s="1">
        <v>100</v>
      </c>
      <c r="F310" s="1">
        <v>297</v>
      </c>
      <c r="G310" s="1">
        <v>2748303</v>
      </c>
      <c r="H310" s="1">
        <v>10</v>
      </c>
    </row>
    <row r="311" spans="1:8" x14ac:dyDescent="0.3">
      <c r="A311" s="1" t="s">
        <v>622</v>
      </c>
      <c r="B311" s="1" t="s">
        <v>623</v>
      </c>
      <c r="C311" s="1">
        <v>2013</v>
      </c>
      <c r="D311" s="1">
        <v>28866</v>
      </c>
      <c r="E311" s="1">
        <v>356</v>
      </c>
      <c r="F311" s="1">
        <v>359</v>
      </c>
      <c r="G311" s="1">
        <v>1594403</v>
      </c>
      <c r="H311" s="1">
        <v>24</v>
      </c>
    </row>
    <row r="312" spans="1:8" x14ac:dyDescent="0.3">
      <c r="A312" s="1" t="s">
        <v>624</v>
      </c>
      <c r="B312" s="1" t="s">
        <v>625</v>
      </c>
      <c r="C312" s="1">
        <v>2013</v>
      </c>
      <c r="D312" s="1">
        <v>23324</v>
      </c>
      <c r="E312" s="1">
        <v>55</v>
      </c>
      <c r="F312" s="1">
        <v>191</v>
      </c>
      <c r="G312" s="1">
        <v>2799929</v>
      </c>
      <c r="H312" s="1">
        <v>0</v>
      </c>
    </row>
    <row r="313" spans="1:8" x14ac:dyDescent="0.3">
      <c r="A313" s="1" t="s">
        <v>626</v>
      </c>
      <c r="B313" s="1" t="s">
        <v>627</v>
      </c>
      <c r="C313" s="1">
        <v>2013</v>
      </c>
      <c r="D313" s="1">
        <v>14736</v>
      </c>
      <c r="E313" s="1">
        <v>32</v>
      </c>
      <c r="F313" s="1">
        <v>104</v>
      </c>
      <c r="G313" s="1">
        <v>1589778</v>
      </c>
      <c r="H313" s="1">
        <v>61</v>
      </c>
    </row>
    <row r="314" spans="1:8" x14ac:dyDescent="0.3">
      <c r="A314" s="1" t="s">
        <v>628</v>
      </c>
      <c r="B314" s="1" t="s">
        <v>629</v>
      </c>
      <c r="C314" s="1">
        <v>2013</v>
      </c>
      <c r="D314" s="1">
        <v>17469</v>
      </c>
      <c r="E314" s="1">
        <v>139</v>
      </c>
      <c r="F314" s="1">
        <v>116</v>
      </c>
      <c r="G314" s="1">
        <v>2166478</v>
      </c>
      <c r="H314" s="1">
        <v>8</v>
      </c>
    </row>
    <row r="315" spans="1:8" x14ac:dyDescent="0.3">
      <c r="A315" s="1" t="s">
        <v>630</v>
      </c>
      <c r="B315" s="1" t="s">
        <v>631</v>
      </c>
      <c r="C315" s="1">
        <v>2013</v>
      </c>
      <c r="D315" s="1">
        <v>10448</v>
      </c>
      <c r="E315" s="1">
        <v>101</v>
      </c>
      <c r="F315" s="1">
        <v>72</v>
      </c>
      <c r="G315" s="1">
        <v>733814</v>
      </c>
      <c r="H315" s="1">
        <v>3</v>
      </c>
    </row>
    <row r="316" spans="1:8" x14ac:dyDescent="0.3">
      <c r="A316" s="1" t="s">
        <v>632</v>
      </c>
      <c r="B316" s="1" t="s">
        <v>633</v>
      </c>
      <c r="C316" s="1">
        <v>2013</v>
      </c>
      <c r="D316" s="1">
        <v>13202</v>
      </c>
      <c r="E316" s="1">
        <v>87</v>
      </c>
      <c r="F316" s="1">
        <v>41</v>
      </c>
      <c r="G316" s="1">
        <v>745834</v>
      </c>
      <c r="H316" s="1">
        <v>15</v>
      </c>
    </row>
    <row r="317" spans="1:8" x14ac:dyDescent="0.3">
      <c r="A317" s="1" t="s">
        <v>634</v>
      </c>
      <c r="B317" s="1" t="s">
        <v>635</v>
      </c>
      <c r="C317" s="1">
        <v>2013</v>
      </c>
      <c r="D317" s="1">
        <v>11559</v>
      </c>
      <c r="E317" s="1">
        <v>71</v>
      </c>
      <c r="F317" s="1">
        <v>88</v>
      </c>
      <c r="G317" s="1">
        <v>1746576</v>
      </c>
      <c r="H317" s="1">
        <v>9</v>
      </c>
    </row>
    <row r="318" spans="1:8" x14ac:dyDescent="0.3">
      <c r="A318" s="1" t="s">
        <v>636</v>
      </c>
      <c r="B318" s="1" t="s">
        <v>637</v>
      </c>
      <c r="C318" s="1">
        <v>2013</v>
      </c>
      <c r="D318" s="1">
        <v>39158</v>
      </c>
      <c r="E318" s="1">
        <v>667</v>
      </c>
      <c r="F318" s="1">
        <v>91</v>
      </c>
      <c r="G318" s="1">
        <v>3381055</v>
      </c>
      <c r="H318" s="1">
        <v>52</v>
      </c>
    </row>
    <row r="319" spans="1:8" x14ac:dyDescent="0.3">
      <c r="A319" s="1" t="s">
        <v>638</v>
      </c>
      <c r="B319" s="1" t="s">
        <v>639</v>
      </c>
      <c r="C319" s="1">
        <v>2013</v>
      </c>
      <c r="D319" s="1">
        <v>35279</v>
      </c>
      <c r="E319" s="1">
        <v>254</v>
      </c>
      <c r="F319" s="1">
        <v>301</v>
      </c>
      <c r="G319" s="1">
        <v>2295649</v>
      </c>
      <c r="H319" s="1">
        <v>65</v>
      </c>
    </row>
    <row r="320" spans="1:8" x14ac:dyDescent="0.3">
      <c r="A320" s="1" t="s">
        <v>640</v>
      </c>
      <c r="B320" s="1" t="s">
        <v>641</v>
      </c>
      <c r="C320" s="1">
        <v>2013</v>
      </c>
      <c r="D320" s="1">
        <v>18682</v>
      </c>
      <c r="E320" s="1">
        <v>192</v>
      </c>
      <c r="F320" s="1">
        <v>153</v>
      </c>
      <c r="G320" s="1">
        <v>2488987</v>
      </c>
      <c r="H320" s="1">
        <v>15</v>
      </c>
    </row>
    <row r="321" spans="1:8" x14ac:dyDescent="0.3">
      <c r="A321" s="1" t="s">
        <v>642</v>
      </c>
      <c r="B321" s="1" t="s">
        <v>643</v>
      </c>
      <c r="C321" s="1">
        <v>2013</v>
      </c>
      <c r="D321" s="1">
        <v>22098</v>
      </c>
      <c r="E321" s="1">
        <v>346</v>
      </c>
      <c r="F321" s="1">
        <v>185</v>
      </c>
      <c r="G321" s="1">
        <v>1198917</v>
      </c>
      <c r="H321" s="1">
        <v>0</v>
      </c>
    </row>
    <row r="322" spans="1:8" x14ac:dyDescent="0.3">
      <c r="A322" s="1" t="s">
        <v>644</v>
      </c>
      <c r="B322" s="1" t="s">
        <v>645</v>
      </c>
      <c r="C322" s="1">
        <v>2013</v>
      </c>
      <c r="D322" s="1">
        <v>8917</v>
      </c>
      <c r="E322" s="1">
        <v>99</v>
      </c>
      <c r="F322" s="1">
        <v>79</v>
      </c>
      <c r="G322" s="1">
        <v>2397111</v>
      </c>
      <c r="H322" s="1">
        <v>2</v>
      </c>
    </row>
    <row r="323" spans="1:8" x14ac:dyDescent="0.3">
      <c r="A323" s="1" t="s">
        <v>646</v>
      </c>
      <c r="B323" s="1" t="s">
        <v>647</v>
      </c>
      <c r="C323" s="1">
        <v>2013</v>
      </c>
      <c r="D323" s="1">
        <v>8307</v>
      </c>
      <c r="E323" s="1">
        <v>38</v>
      </c>
      <c r="F323" s="1">
        <v>61</v>
      </c>
      <c r="G323" s="1">
        <v>1047488</v>
      </c>
      <c r="H323" s="1">
        <v>5</v>
      </c>
    </row>
    <row r="324" spans="1:8" x14ac:dyDescent="0.3">
      <c r="A324" s="1" t="s">
        <v>648</v>
      </c>
      <c r="B324" s="1" t="s">
        <v>649</v>
      </c>
      <c r="C324" s="1">
        <v>2013</v>
      </c>
      <c r="D324" s="1">
        <v>45798</v>
      </c>
      <c r="E324" s="1">
        <v>299</v>
      </c>
      <c r="F324" s="1">
        <v>559</v>
      </c>
      <c r="G324" s="1">
        <v>8671402</v>
      </c>
      <c r="H324" s="1">
        <v>0</v>
      </c>
    </row>
    <row r="325" spans="1:8" x14ac:dyDescent="0.3">
      <c r="A325" s="1" t="s">
        <v>650</v>
      </c>
      <c r="B325" s="1" t="s">
        <v>651</v>
      </c>
      <c r="C325" s="1">
        <v>2013</v>
      </c>
      <c r="D325" s="1">
        <v>74581</v>
      </c>
      <c r="E325" s="1">
        <v>1187</v>
      </c>
      <c r="F325" s="1">
        <v>1844</v>
      </c>
      <c r="G325" s="1">
        <v>7169468</v>
      </c>
      <c r="H325" s="1">
        <v>10</v>
      </c>
    </row>
    <row r="326" spans="1:8" x14ac:dyDescent="0.3">
      <c r="A326" s="1" t="s">
        <v>652</v>
      </c>
      <c r="B326" s="1" t="s">
        <v>653</v>
      </c>
      <c r="C326" s="1">
        <v>2013</v>
      </c>
      <c r="D326" s="1">
        <v>14415</v>
      </c>
      <c r="E326" s="1">
        <v>80</v>
      </c>
      <c r="F326" s="1">
        <v>59</v>
      </c>
      <c r="G326" s="1">
        <v>1256854</v>
      </c>
      <c r="H326" s="1">
        <v>0</v>
      </c>
    </row>
    <row r="327" spans="1:8" x14ac:dyDescent="0.3">
      <c r="A327" s="1" t="s">
        <v>654</v>
      </c>
      <c r="B327" s="1" t="s">
        <v>655</v>
      </c>
      <c r="C327" s="1">
        <v>2013</v>
      </c>
      <c r="D327" s="1">
        <v>26607</v>
      </c>
      <c r="E327" s="1">
        <v>181</v>
      </c>
      <c r="F327" s="1">
        <v>128</v>
      </c>
      <c r="G327" s="1">
        <v>1898263</v>
      </c>
      <c r="H327" s="1">
        <v>10</v>
      </c>
    </row>
    <row r="328" spans="1:8" x14ac:dyDescent="0.3">
      <c r="A328" s="1" t="s">
        <v>656</v>
      </c>
      <c r="B328" s="1" t="s">
        <v>657</v>
      </c>
      <c r="C328" s="1">
        <v>2013</v>
      </c>
      <c r="D328" s="1">
        <v>47265</v>
      </c>
      <c r="E328" s="1">
        <v>630</v>
      </c>
      <c r="F328" s="1">
        <v>344</v>
      </c>
      <c r="G328" s="1">
        <v>8598799</v>
      </c>
      <c r="H328" s="1">
        <v>4</v>
      </c>
    </row>
    <row r="329" spans="1:8" x14ac:dyDescent="0.3">
      <c r="A329" s="1" t="s">
        <v>658</v>
      </c>
      <c r="B329" s="1" t="s">
        <v>659</v>
      </c>
      <c r="C329" s="1">
        <v>2013</v>
      </c>
      <c r="D329" s="1">
        <v>20938</v>
      </c>
      <c r="E329" s="1">
        <v>176</v>
      </c>
      <c r="F329" s="1">
        <v>86</v>
      </c>
      <c r="G329" s="1">
        <v>1376193</v>
      </c>
      <c r="H329" s="1">
        <v>11</v>
      </c>
    </row>
    <row r="330" spans="1:8" x14ac:dyDescent="0.3">
      <c r="A330" s="1" t="s">
        <v>660</v>
      </c>
      <c r="B330" s="1" t="s">
        <v>292</v>
      </c>
      <c r="C330" s="1">
        <v>2013</v>
      </c>
      <c r="D330" s="1">
        <v>13923</v>
      </c>
      <c r="E330" s="1">
        <v>161</v>
      </c>
      <c r="F330" s="1">
        <v>65</v>
      </c>
      <c r="G330" s="1">
        <v>855392</v>
      </c>
      <c r="H330" s="1">
        <v>0</v>
      </c>
    </row>
    <row r="331" spans="1:8" x14ac:dyDescent="0.3">
      <c r="A331" s="1" t="s">
        <v>661</v>
      </c>
      <c r="B331" s="1" t="s">
        <v>662</v>
      </c>
      <c r="C331" s="1">
        <v>2013</v>
      </c>
      <c r="D331" s="1">
        <v>20637</v>
      </c>
      <c r="E331" s="1">
        <v>148</v>
      </c>
      <c r="F331" s="1">
        <v>43</v>
      </c>
      <c r="G331" s="1">
        <v>1469228</v>
      </c>
      <c r="H331" s="1">
        <v>0</v>
      </c>
    </row>
    <row r="332" spans="1:8" x14ac:dyDescent="0.3">
      <c r="A332" s="1" t="s">
        <v>663</v>
      </c>
      <c r="B332" s="1" t="s">
        <v>664</v>
      </c>
      <c r="C332" s="1">
        <v>2013</v>
      </c>
      <c r="D332" s="1">
        <v>22340</v>
      </c>
      <c r="E332" s="1">
        <v>189</v>
      </c>
      <c r="F332" s="1">
        <v>8</v>
      </c>
      <c r="G332" s="1">
        <v>402220</v>
      </c>
      <c r="H332" s="1">
        <v>17</v>
      </c>
    </row>
    <row r="333" spans="1:8" x14ac:dyDescent="0.3">
      <c r="A333" s="1" t="s">
        <v>665</v>
      </c>
      <c r="B333" s="1" t="s">
        <v>666</v>
      </c>
      <c r="C333" s="1">
        <v>2013</v>
      </c>
      <c r="D333" s="1">
        <v>16489</v>
      </c>
      <c r="E333" s="1">
        <v>194</v>
      </c>
      <c r="F333" s="1">
        <v>8</v>
      </c>
      <c r="G333" s="1">
        <v>792345</v>
      </c>
      <c r="H333" s="1">
        <v>20</v>
      </c>
    </row>
    <row r="334" spans="1:8" x14ac:dyDescent="0.3">
      <c r="A334" s="1" t="s">
        <v>667</v>
      </c>
      <c r="B334" s="1" t="s">
        <v>668</v>
      </c>
      <c r="C334" s="1">
        <v>2013</v>
      </c>
      <c r="D334" s="1">
        <v>28548</v>
      </c>
      <c r="E334" s="1">
        <v>154</v>
      </c>
      <c r="F334" s="1">
        <v>49</v>
      </c>
      <c r="G334" s="1">
        <v>1932197</v>
      </c>
      <c r="H334" s="1">
        <v>11</v>
      </c>
    </row>
    <row r="335" spans="1:8" x14ac:dyDescent="0.3">
      <c r="A335" s="1" t="s">
        <v>669</v>
      </c>
      <c r="B335" s="1" t="s">
        <v>670</v>
      </c>
      <c r="C335" s="1">
        <v>2013</v>
      </c>
      <c r="D335" s="1">
        <v>35002</v>
      </c>
      <c r="E335" s="1">
        <v>392</v>
      </c>
      <c r="F335" s="1">
        <v>4</v>
      </c>
      <c r="G335" s="1">
        <v>792281</v>
      </c>
      <c r="H335" s="1">
        <v>24</v>
      </c>
    </row>
    <row r="336" spans="1:8" x14ac:dyDescent="0.3">
      <c r="A336" s="1" t="s">
        <v>671</v>
      </c>
      <c r="B336" s="1" t="s">
        <v>672</v>
      </c>
      <c r="C336" s="1">
        <v>2013</v>
      </c>
      <c r="D336" s="1">
        <v>23637</v>
      </c>
      <c r="E336" s="1">
        <v>214</v>
      </c>
      <c r="F336" s="1">
        <v>124</v>
      </c>
      <c r="G336" s="1">
        <v>2464462</v>
      </c>
      <c r="H336" s="1">
        <v>0</v>
      </c>
    </row>
    <row r="337" spans="1:8" x14ac:dyDescent="0.3">
      <c r="A337" s="1" t="s">
        <v>673</v>
      </c>
      <c r="B337" s="1" t="s">
        <v>674</v>
      </c>
      <c r="C337" s="1">
        <v>2013</v>
      </c>
      <c r="D337" s="1">
        <v>22671</v>
      </c>
      <c r="E337" s="1">
        <v>166</v>
      </c>
      <c r="F337" s="1">
        <v>140</v>
      </c>
      <c r="G337" s="1">
        <v>2352063</v>
      </c>
      <c r="H337" s="1">
        <v>25</v>
      </c>
    </row>
    <row r="338" spans="1:8" x14ac:dyDescent="0.3">
      <c r="A338" s="1" t="s">
        <v>675</v>
      </c>
      <c r="B338" s="1" t="s">
        <v>676</v>
      </c>
      <c r="C338" s="1">
        <v>2013</v>
      </c>
      <c r="D338" s="1">
        <v>14306</v>
      </c>
      <c r="E338" s="1">
        <v>252</v>
      </c>
      <c r="F338" s="1">
        <v>8</v>
      </c>
      <c r="G338" s="1">
        <v>300585</v>
      </c>
      <c r="H338" s="1">
        <v>12</v>
      </c>
    </row>
    <row r="339" spans="1:8" x14ac:dyDescent="0.3">
      <c r="A339" s="1" t="s">
        <v>677</v>
      </c>
      <c r="B339" s="1" t="s">
        <v>678</v>
      </c>
      <c r="C339" s="1">
        <v>2013</v>
      </c>
      <c r="D339" s="1">
        <v>12026</v>
      </c>
      <c r="E339" s="1">
        <v>111</v>
      </c>
      <c r="F339" s="1">
        <v>75</v>
      </c>
      <c r="G339" s="1">
        <v>937714</v>
      </c>
      <c r="H339" s="1">
        <v>23</v>
      </c>
    </row>
    <row r="340" spans="1:8" x14ac:dyDescent="0.3">
      <c r="A340" s="1" t="s">
        <v>679</v>
      </c>
      <c r="B340" s="1" t="s">
        <v>680</v>
      </c>
      <c r="C340" s="1">
        <v>2013</v>
      </c>
      <c r="D340" s="1">
        <v>22475</v>
      </c>
      <c r="E340" s="1">
        <v>355</v>
      </c>
      <c r="F340" s="1">
        <v>118</v>
      </c>
      <c r="G340" s="1">
        <v>703504</v>
      </c>
      <c r="H340" s="1">
        <v>15</v>
      </c>
    </row>
    <row r="341" spans="1:8" x14ac:dyDescent="0.3">
      <c r="A341" s="1" t="s">
        <v>681</v>
      </c>
      <c r="B341" s="1" t="s">
        <v>682</v>
      </c>
      <c r="C341" s="1">
        <v>2013</v>
      </c>
      <c r="D341" s="1">
        <v>18242</v>
      </c>
      <c r="E341" s="1">
        <v>203</v>
      </c>
      <c r="F341" s="1">
        <v>136</v>
      </c>
      <c r="G341" s="1">
        <v>1338248</v>
      </c>
      <c r="H341" s="1">
        <v>82</v>
      </c>
    </row>
    <row r="342" spans="1:8" x14ac:dyDescent="0.3">
      <c r="A342" s="1" t="s">
        <v>683</v>
      </c>
      <c r="B342" s="1" t="s">
        <v>314</v>
      </c>
      <c r="C342" s="1">
        <v>2013</v>
      </c>
      <c r="D342" s="1">
        <v>49732</v>
      </c>
      <c r="E342" s="1">
        <v>577</v>
      </c>
      <c r="F342" s="1">
        <v>10</v>
      </c>
      <c r="G342" s="1">
        <v>5094395</v>
      </c>
      <c r="H342" s="1">
        <v>15</v>
      </c>
    </row>
    <row r="343" spans="1:8" x14ac:dyDescent="0.3">
      <c r="A343" s="1" t="s">
        <v>684</v>
      </c>
      <c r="B343" s="1" t="s">
        <v>685</v>
      </c>
      <c r="C343" s="1">
        <v>2013</v>
      </c>
      <c r="D343" s="1">
        <v>16170</v>
      </c>
      <c r="E343" s="1">
        <v>229</v>
      </c>
      <c r="F343" s="1">
        <v>49</v>
      </c>
      <c r="G343" s="1">
        <v>832306</v>
      </c>
      <c r="H343" s="1">
        <v>13</v>
      </c>
    </row>
    <row r="344" spans="1:8" x14ac:dyDescent="0.3">
      <c r="A344" s="1" t="s">
        <v>686</v>
      </c>
      <c r="B344" s="1" t="s">
        <v>687</v>
      </c>
      <c r="C344" s="1">
        <v>2013</v>
      </c>
      <c r="D344" s="1">
        <v>44804</v>
      </c>
      <c r="E344" s="1">
        <v>239</v>
      </c>
      <c r="F344" s="1">
        <v>253</v>
      </c>
      <c r="G344" s="1">
        <v>5956456</v>
      </c>
      <c r="H344" s="1">
        <v>134</v>
      </c>
    </row>
    <row r="345" spans="1:8" x14ac:dyDescent="0.3">
      <c r="A345" s="1" t="s">
        <v>688</v>
      </c>
      <c r="B345" s="1" t="s">
        <v>689</v>
      </c>
      <c r="C345" s="1">
        <v>2013</v>
      </c>
      <c r="D345" s="1">
        <v>17907</v>
      </c>
      <c r="E345" s="1">
        <v>159</v>
      </c>
      <c r="F345" s="1">
        <v>74</v>
      </c>
      <c r="G345" s="1">
        <v>1911786</v>
      </c>
      <c r="H345" s="1">
        <v>52</v>
      </c>
    </row>
    <row r="346" spans="1:8" x14ac:dyDescent="0.3">
      <c r="A346" s="1" t="s">
        <v>690</v>
      </c>
      <c r="B346" s="1" t="s">
        <v>691</v>
      </c>
      <c r="C346" s="1">
        <v>2013</v>
      </c>
      <c r="D346" s="1">
        <v>114642</v>
      </c>
      <c r="E346" s="1">
        <v>3597</v>
      </c>
      <c r="F346" s="1">
        <v>1997</v>
      </c>
      <c r="G346" s="1">
        <v>4086495</v>
      </c>
      <c r="H346" s="1">
        <v>128</v>
      </c>
    </row>
    <row r="347" spans="1:8" x14ac:dyDescent="0.3">
      <c r="A347" s="1" t="s">
        <v>692</v>
      </c>
      <c r="B347" s="1" t="s">
        <v>693</v>
      </c>
      <c r="C347" s="1">
        <v>2013</v>
      </c>
      <c r="D347" s="1">
        <v>18522</v>
      </c>
      <c r="E347" s="1">
        <v>182</v>
      </c>
      <c r="F347" s="1">
        <v>91</v>
      </c>
      <c r="G347" s="1">
        <v>1147192</v>
      </c>
      <c r="H347" s="1">
        <v>5</v>
      </c>
    </row>
    <row r="348" spans="1:8" x14ac:dyDescent="0.3">
      <c r="A348" s="1" t="s">
        <v>694</v>
      </c>
      <c r="B348" s="1" t="s">
        <v>695</v>
      </c>
      <c r="C348" s="1">
        <v>2013</v>
      </c>
      <c r="D348" s="1">
        <v>17995</v>
      </c>
      <c r="E348" s="1">
        <v>174</v>
      </c>
      <c r="F348" s="1">
        <v>51</v>
      </c>
      <c r="G348" s="1">
        <v>1151379</v>
      </c>
      <c r="H348" s="1">
        <v>287</v>
      </c>
    </row>
    <row r="349" spans="1:8" x14ac:dyDescent="0.3">
      <c r="A349" s="1" t="s">
        <v>696</v>
      </c>
      <c r="B349" s="1" t="s">
        <v>697</v>
      </c>
      <c r="C349" s="1">
        <v>2013</v>
      </c>
      <c r="D349" s="1">
        <v>27827</v>
      </c>
      <c r="E349" s="1">
        <v>317</v>
      </c>
      <c r="F349" s="1">
        <v>80</v>
      </c>
      <c r="G349" s="1">
        <v>2005227</v>
      </c>
      <c r="H349" s="1">
        <v>19</v>
      </c>
    </row>
    <row r="350" spans="1:8" x14ac:dyDescent="0.3">
      <c r="A350" s="1" t="s">
        <v>698</v>
      </c>
      <c r="B350" s="1" t="s">
        <v>45</v>
      </c>
      <c r="C350" s="1">
        <v>2013</v>
      </c>
      <c r="D350" s="1">
        <v>17098</v>
      </c>
      <c r="E350" s="1">
        <v>203</v>
      </c>
      <c r="F350" s="1">
        <v>49</v>
      </c>
      <c r="G350" s="1">
        <v>702559</v>
      </c>
      <c r="H350" s="1">
        <v>0</v>
      </c>
    </row>
    <row r="351" spans="1:8" x14ac:dyDescent="0.3">
      <c r="A351" s="1" t="s">
        <v>699</v>
      </c>
      <c r="B351" s="1" t="s">
        <v>700</v>
      </c>
      <c r="C351" s="1">
        <v>2013</v>
      </c>
      <c r="D351" s="1">
        <v>18356</v>
      </c>
      <c r="E351" s="1">
        <v>149</v>
      </c>
      <c r="F351" s="1">
        <v>91</v>
      </c>
      <c r="G351" s="1">
        <v>2127075</v>
      </c>
      <c r="H351" s="1">
        <v>2</v>
      </c>
    </row>
    <row r="352" spans="1:8" x14ac:dyDescent="0.3">
      <c r="A352" s="1" t="s">
        <v>701</v>
      </c>
      <c r="B352" s="1" t="s">
        <v>702</v>
      </c>
      <c r="C352" s="1">
        <v>2013</v>
      </c>
      <c r="D352" s="1">
        <v>25754</v>
      </c>
      <c r="E352" s="1">
        <v>191</v>
      </c>
      <c r="F352" s="1">
        <v>127</v>
      </c>
      <c r="G352" s="1">
        <v>1195240</v>
      </c>
      <c r="H352" s="1">
        <v>3</v>
      </c>
    </row>
    <row r="353" spans="1:8" x14ac:dyDescent="0.3">
      <c r="A353" s="1" t="s">
        <v>703</v>
      </c>
      <c r="B353" s="1" t="s">
        <v>704</v>
      </c>
      <c r="C353" s="1">
        <v>2013</v>
      </c>
      <c r="D353" s="1">
        <v>21040</v>
      </c>
      <c r="E353" s="1">
        <v>271</v>
      </c>
      <c r="F353" s="1">
        <v>117</v>
      </c>
      <c r="G353" s="1">
        <v>2203840</v>
      </c>
      <c r="H353" s="1">
        <v>40</v>
      </c>
    </row>
    <row r="354" spans="1:8" x14ac:dyDescent="0.3">
      <c r="A354" s="1" t="s">
        <v>705</v>
      </c>
      <c r="B354" s="1" t="s">
        <v>706</v>
      </c>
      <c r="C354" s="1">
        <v>2013</v>
      </c>
      <c r="D354" s="1">
        <v>15427</v>
      </c>
      <c r="E354" s="1">
        <v>153</v>
      </c>
      <c r="F354" s="1">
        <v>64</v>
      </c>
      <c r="G354" s="1">
        <v>733120</v>
      </c>
      <c r="H354" s="1">
        <v>22</v>
      </c>
    </row>
    <row r="355" spans="1:8" x14ac:dyDescent="0.3">
      <c r="A355" s="1" t="s">
        <v>707</v>
      </c>
      <c r="B355" s="1" t="s">
        <v>708</v>
      </c>
      <c r="C355" s="1">
        <v>2013</v>
      </c>
      <c r="D355" s="1">
        <v>24000</v>
      </c>
      <c r="E355" s="1">
        <v>371</v>
      </c>
      <c r="F355" s="1">
        <v>269</v>
      </c>
      <c r="G355" s="1">
        <v>2734802</v>
      </c>
      <c r="H355" s="1">
        <v>25</v>
      </c>
    </row>
    <row r="356" spans="1:8" x14ac:dyDescent="0.3">
      <c r="A356" s="1" t="s">
        <v>709</v>
      </c>
      <c r="B356" s="1" t="s">
        <v>710</v>
      </c>
      <c r="C356" s="1">
        <v>2013</v>
      </c>
      <c r="D356" s="1">
        <v>21252</v>
      </c>
      <c r="E356" s="1">
        <v>155</v>
      </c>
      <c r="F356" s="1">
        <v>108</v>
      </c>
      <c r="G356" s="1">
        <v>3026738</v>
      </c>
      <c r="H356" s="1">
        <v>5</v>
      </c>
    </row>
    <row r="357" spans="1:8" x14ac:dyDescent="0.3">
      <c r="A357" s="1" t="s">
        <v>711</v>
      </c>
      <c r="B357" s="1" t="s">
        <v>712</v>
      </c>
      <c r="C357" s="1">
        <v>2013</v>
      </c>
      <c r="D357" s="1">
        <v>42697</v>
      </c>
      <c r="E357" s="1">
        <v>178</v>
      </c>
      <c r="F357" s="1">
        <v>382</v>
      </c>
      <c r="G357" s="1">
        <v>6957377</v>
      </c>
      <c r="H357" s="1">
        <v>3</v>
      </c>
    </row>
    <row r="358" spans="1:8" x14ac:dyDescent="0.3">
      <c r="A358" s="1" t="s">
        <v>713</v>
      </c>
      <c r="B358" s="1" t="s">
        <v>714</v>
      </c>
      <c r="C358" s="1">
        <v>2013</v>
      </c>
      <c r="D358" s="1">
        <v>28920</v>
      </c>
      <c r="E358" s="1">
        <v>91</v>
      </c>
      <c r="F358" s="1">
        <v>248</v>
      </c>
      <c r="G358" s="1">
        <v>3239714</v>
      </c>
      <c r="H358" s="1">
        <v>0</v>
      </c>
    </row>
    <row r="359" spans="1:8" x14ac:dyDescent="0.3">
      <c r="A359" s="1" t="s">
        <v>715</v>
      </c>
      <c r="B359" s="1" t="s">
        <v>716</v>
      </c>
      <c r="C359" s="1">
        <v>2013</v>
      </c>
      <c r="D359" s="1">
        <v>23617</v>
      </c>
      <c r="E359" s="1">
        <v>152</v>
      </c>
      <c r="F359" s="1">
        <v>198</v>
      </c>
      <c r="G359" s="1">
        <v>2267020</v>
      </c>
      <c r="H359" s="1">
        <v>0</v>
      </c>
    </row>
    <row r="360" spans="1:8" x14ac:dyDescent="0.3">
      <c r="A360" s="1" t="s">
        <v>717</v>
      </c>
      <c r="B360" s="1" t="s">
        <v>718</v>
      </c>
      <c r="C360" s="1">
        <v>2013</v>
      </c>
      <c r="D360" s="1">
        <v>244170</v>
      </c>
      <c r="E360" s="1">
        <v>2597</v>
      </c>
      <c r="F360" s="1">
        <v>4960</v>
      </c>
      <c r="G360" s="1">
        <v>17961183</v>
      </c>
      <c r="H360" s="1">
        <v>0</v>
      </c>
    </row>
    <row r="361" spans="1:8" x14ac:dyDescent="0.3">
      <c r="A361" s="1" t="s">
        <v>719</v>
      </c>
      <c r="B361" s="1" t="s">
        <v>720</v>
      </c>
      <c r="C361" s="1">
        <v>2013</v>
      </c>
      <c r="D361" s="1">
        <v>16519</v>
      </c>
      <c r="E361" s="1">
        <v>70</v>
      </c>
      <c r="F361" s="1">
        <v>107</v>
      </c>
      <c r="G361" s="1">
        <v>1551210</v>
      </c>
      <c r="H361" s="1">
        <v>12</v>
      </c>
    </row>
    <row r="362" spans="1:8" x14ac:dyDescent="0.3">
      <c r="A362" s="1" t="s">
        <v>721</v>
      </c>
      <c r="B362" s="1" t="s">
        <v>722</v>
      </c>
      <c r="C362" s="1">
        <v>2013</v>
      </c>
      <c r="D362" s="1">
        <v>16262</v>
      </c>
      <c r="E362" s="1">
        <v>113</v>
      </c>
      <c r="F362" s="1">
        <v>83</v>
      </c>
      <c r="G362" s="1">
        <v>1197226</v>
      </c>
      <c r="H362" s="1">
        <v>7</v>
      </c>
    </row>
    <row r="363" spans="1:8" x14ac:dyDescent="0.3">
      <c r="A363" s="1" t="s">
        <v>723</v>
      </c>
      <c r="B363" s="1" t="s">
        <v>724</v>
      </c>
      <c r="C363" s="1">
        <v>2013</v>
      </c>
      <c r="D363" s="1">
        <v>19751</v>
      </c>
      <c r="E363" s="1">
        <v>110</v>
      </c>
      <c r="F363" s="1">
        <v>119</v>
      </c>
      <c r="G363" s="1">
        <v>3780540</v>
      </c>
      <c r="H363" s="1">
        <v>16</v>
      </c>
    </row>
    <row r="364" spans="1:8" x14ac:dyDescent="0.3">
      <c r="A364" s="1" t="s">
        <v>725</v>
      </c>
      <c r="B364" s="1" t="s">
        <v>726</v>
      </c>
      <c r="C364" s="1">
        <v>2013</v>
      </c>
      <c r="D364" s="1">
        <v>26538</v>
      </c>
      <c r="E364" s="1">
        <v>239</v>
      </c>
      <c r="F364" s="1">
        <v>302</v>
      </c>
      <c r="G364" s="1">
        <v>1752938</v>
      </c>
      <c r="H364" s="1">
        <v>0</v>
      </c>
    </row>
    <row r="365" spans="1:8" x14ac:dyDescent="0.3">
      <c r="A365" s="1" t="s">
        <v>727</v>
      </c>
      <c r="B365" s="1" t="s">
        <v>728</v>
      </c>
      <c r="C365" s="1">
        <v>2013</v>
      </c>
      <c r="D365" s="1">
        <v>20570</v>
      </c>
      <c r="E365" s="1">
        <v>88</v>
      </c>
      <c r="F365" s="1">
        <v>155</v>
      </c>
      <c r="G365" s="1">
        <v>2305040</v>
      </c>
      <c r="H365" s="1">
        <v>6</v>
      </c>
    </row>
    <row r="366" spans="1:8" x14ac:dyDescent="0.3">
      <c r="A366" s="1" t="s">
        <v>729</v>
      </c>
      <c r="B366" s="1" t="s">
        <v>730</v>
      </c>
      <c r="C366" s="1">
        <v>2013</v>
      </c>
      <c r="D366" s="1">
        <v>26658</v>
      </c>
      <c r="E366" s="1">
        <v>304</v>
      </c>
      <c r="F366" s="1">
        <v>235</v>
      </c>
      <c r="G366" s="1">
        <v>1688785</v>
      </c>
      <c r="H366" s="1">
        <v>21</v>
      </c>
    </row>
    <row r="367" spans="1:8" x14ac:dyDescent="0.3">
      <c r="A367" s="1" t="s">
        <v>731</v>
      </c>
      <c r="B367" s="1" t="s">
        <v>732</v>
      </c>
      <c r="C367" s="1">
        <v>2013</v>
      </c>
      <c r="D367" s="1">
        <v>19844</v>
      </c>
      <c r="E367" s="1">
        <v>304</v>
      </c>
      <c r="F367" s="1">
        <v>329</v>
      </c>
      <c r="G367" s="1">
        <v>1222787</v>
      </c>
      <c r="H367" s="1">
        <v>22</v>
      </c>
    </row>
    <row r="368" spans="1:8" x14ac:dyDescent="0.3">
      <c r="A368" s="1" t="s">
        <v>733</v>
      </c>
      <c r="B368" s="1" t="s">
        <v>734</v>
      </c>
      <c r="C368" s="1">
        <v>2013</v>
      </c>
      <c r="D368" s="1">
        <v>32760</v>
      </c>
      <c r="E368" s="1">
        <v>355</v>
      </c>
      <c r="F368" s="1">
        <v>701</v>
      </c>
      <c r="G368" s="1">
        <v>1958757</v>
      </c>
      <c r="H368" s="1">
        <v>90</v>
      </c>
    </row>
    <row r="369" spans="1:8" x14ac:dyDescent="0.3">
      <c r="A369" s="1" t="s">
        <v>735</v>
      </c>
      <c r="B369" s="1" t="s">
        <v>736</v>
      </c>
      <c r="C369" s="1">
        <v>2013</v>
      </c>
      <c r="D369" s="1">
        <v>20951</v>
      </c>
      <c r="E369" s="1">
        <v>411</v>
      </c>
      <c r="F369" s="1">
        <v>262</v>
      </c>
      <c r="G369" s="1">
        <v>1088214</v>
      </c>
      <c r="H369" s="1">
        <v>5</v>
      </c>
    </row>
    <row r="370" spans="1:8" x14ac:dyDescent="0.3">
      <c r="A370" s="1" t="s">
        <v>737</v>
      </c>
      <c r="B370" s="1" t="s">
        <v>738</v>
      </c>
      <c r="C370" s="1">
        <v>2013</v>
      </c>
      <c r="D370" s="1">
        <v>21813</v>
      </c>
      <c r="E370" s="1">
        <v>214</v>
      </c>
      <c r="F370" s="1">
        <v>145</v>
      </c>
      <c r="G370" s="1">
        <v>2109653</v>
      </c>
      <c r="H370" s="1">
        <v>57</v>
      </c>
    </row>
    <row r="371" spans="1:8" x14ac:dyDescent="0.3">
      <c r="A371" s="1" t="s">
        <v>739</v>
      </c>
      <c r="B371" s="1" t="s">
        <v>740</v>
      </c>
      <c r="C371" s="1">
        <v>2013</v>
      </c>
      <c r="D371" s="1">
        <v>26415</v>
      </c>
      <c r="E371" s="1">
        <v>538</v>
      </c>
      <c r="F371" s="1">
        <v>418</v>
      </c>
      <c r="G371" s="1">
        <v>1450169</v>
      </c>
      <c r="H371" s="1">
        <v>75</v>
      </c>
    </row>
    <row r="372" spans="1:8" x14ac:dyDescent="0.3">
      <c r="A372" s="1" t="s">
        <v>741</v>
      </c>
      <c r="B372" s="1" t="s">
        <v>742</v>
      </c>
      <c r="C372" s="1">
        <v>2013</v>
      </c>
      <c r="D372" s="1">
        <v>12518</v>
      </c>
      <c r="E372" s="1">
        <v>59</v>
      </c>
      <c r="F372" s="1">
        <v>73</v>
      </c>
      <c r="G372" s="1">
        <v>1161994</v>
      </c>
      <c r="H372" s="1">
        <v>2</v>
      </c>
    </row>
    <row r="373" spans="1:8" x14ac:dyDescent="0.3">
      <c r="A373" s="1" t="s">
        <v>743</v>
      </c>
      <c r="B373" s="1" t="s">
        <v>744</v>
      </c>
      <c r="C373" s="1">
        <v>2013</v>
      </c>
      <c r="D373" s="1">
        <v>18203</v>
      </c>
      <c r="E373" s="1">
        <v>235</v>
      </c>
      <c r="F373" s="1">
        <v>136</v>
      </c>
      <c r="G373" s="1">
        <v>1161207</v>
      </c>
      <c r="H373" s="1">
        <v>29</v>
      </c>
    </row>
    <row r="374" spans="1:8" x14ac:dyDescent="0.3">
      <c r="A374" s="1" t="s">
        <v>745</v>
      </c>
      <c r="B374" s="1" t="s">
        <v>746</v>
      </c>
      <c r="C374" s="1">
        <v>2013</v>
      </c>
      <c r="D374" s="1">
        <v>40562</v>
      </c>
      <c r="E374" s="1">
        <v>253</v>
      </c>
      <c r="F374" s="1">
        <v>440</v>
      </c>
      <c r="G374" s="1">
        <v>5253894</v>
      </c>
      <c r="H374" s="1">
        <v>6</v>
      </c>
    </row>
    <row r="375" spans="1:8" x14ac:dyDescent="0.3">
      <c r="A375" s="1" t="s">
        <v>747</v>
      </c>
      <c r="B375" s="1" t="s">
        <v>748</v>
      </c>
      <c r="C375" s="1">
        <v>2013</v>
      </c>
      <c r="D375" s="1">
        <v>27774</v>
      </c>
      <c r="E375" s="1">
        <v>102</v>
      </c>
      <c r="F375" s="1">
        <v>238</v>
      </c>
      <c r="G375" s="1">
        <v>3838992</v>
      </c>
      <c r="H375" s="1">
        <v>117</v>
      </c>
    </row>
    <row r="376" spans="1:8" x14ac:dyDescent="0.3">
      <c r="A376" s="1" t="s">
        <v>749</v>
      </c>
      <c r="B376" s="1" t="s">
        <v>750</v>
      </c>
      <c r="C376" s="1">
        <v>2013</v>
      </c>
      <c r="D376" s="1">
        <v>16377</v>
      </c>
      <c r="E376" s="1">
        <v>80</v>
      </c>
      <c r="F376" s="1">
        <v>121</v>
      </c>
      <c r="G376" s="1">
        <v>1833655</v>
      </c>
      <c r="H376" s="1">
        <v>103</v>
      </c>
    </row>
    <row r="377" spans="1:8" x14ac:dyDescent="0.3">
      <c r="A377" s="1" t="s">
        <v>751</v>
      </c>
      <c r="B377" s="1" t="s">
        <v>752</v>
      </c>
      <c r="C377" s="1">
        <v>2013</v>
      </c>
      <c r="D377" s="1">
        <v>18592</v>
      </c>
      <c r="E377" s="1">
        <v>69</v>
      </c>
      <c r="F377" s="1">
        <v>114</v>
      </c>
      <c r="G377" s="1">
        <v>2009183</v>
      </c>
      <c r="H377" s="1">
        <v>12</v>
      </c>
    </row>
    <row r="378" spans="1:8" x14ac:dyDescent="0.3">
      <c r="A378" s="1" t="s">
        <v>753</v>
      </c>
      <c r="B378" s="1" t="s">
        <v>754</v>
      </c>
      <c r="C378" s="1">
        <v>2013</v>
      </c>
      <c r="D378" s="1">
        <v>12708</v>
      </c>
      <c r="E378" s="1">
        <v>44</v>
      </c>
      <c r="F378" s="1">
        <v>91</v>
      </c>
      <c r="G378" s="1">
        <v>1051248</v>
      </c>
      <c r="H378" s="1">
        <v>11</v>
      </c>
    </row>
    <row r="379" spans="1:8" x14ac:dyDescent="0.3">
      <c r="A379" s="1" t="s">
        <v>755</v>
      </c>
      <c r="B379" s="1" t="s">
        <v>756</v>
      </c>
      <c r="C379" s="1">
        <v>2013</v>
      </c>
      <c r="D379" s="1">
        <v>44201</v>
      </c>
      <c r="E379" s="1">
        <v>394</v>
      </c>
      <c r="F379" s="1">
        <v>445</v>
      </c>
      <c r="G379" s="1">
        <v>5030275</v>
      </c>
      <c r="H379" s="1">
        <v>5</v>
      </c>
    </row>
    <row r="380" spans="1:8" x14ac:dyDescent="0.3">
      <c r="A380" s="1" t="s">
        <v>757</v>
      </c>
      <c r="B380" s="1" t="s">
        <v>758</v>
      </c>
      <c r="C380" s="1">
        <v>2013</v>
      </c>
      <c r="D380" s="1">
        <v>169831</v>
      </c>
      <c r="E380" s="1">
        <v>1426</v>
      </c>
      <c r="F380" s="1">
        <v>3172</v>
      </c>
      <c r="G380" s="1">
        <v>14710688</v>
      </c>
      <c r="H380" s="1">
        <v>86</v>
      </c>
    </row>
    <row r="381" spans="1:8" x14ac:dyDescent="0.3">
      <c r="A381" s="1" t="s">
        <v>759</v>
      </c>
      <c r="B381" s="1" t="s">
        <v>760</v>
      </c>
      <c r="C381" s="1">
        <v>2013</v>
      </c>
      <c r="D381" s="1">
        <v>20042</v>
      </c>
      <c r="E381" s="1">
        <v>96</v>
      </c>
      <c r="F381" s="1">
        <v>170</v>
      </c>
      <c r="G381" s="1">
        <v>1118002</v>
      </c>
      <c r="H381" s="1">
        <v>0</v>
      </c>
    </row>
    <row r="382" spans="1:8" x14ac:dyDescent="0.3">
      <c r="A382" s="2" t="s">
        <v>10</v>
      </c>
      <c r="B382" s="2" t="s">
        <v>11</v>
      </c>
      <c r="C382" s="1">
        <v>2014</v>
      </c>
      <c r="D382" s="2">
        <v>30770</v>
      </c>
      <c r="E382" s="2">
        <v>287</v>
      </c>
      <c r="F382" s="2">
        <v>117</v>
      </c>
      <c r="G382" s="2">
        <v>2034192</v>
      </c>
      <c r="H382" s="1" t="s">
        <v>70</v>
      </c>
    </row>
    <row r="383" spans="1:8" x14ac:dyDescent="0.3">
      <c r="A383" s="1" t="s">
        <v>12</v>
      </c>
      <c r="B383" s="1" t="s">
        <v>13</v>
      </c>
      <c r="C383" s="1">
        <v>2014</v>
      </c>
      <c r="D383" s="1">
        <v>39451</v>
      </c>
      <c r="E383" s="1">
        <v>95</v>
      </c>
      <c r="F383" s="1">
        <v>234</v>
      </c>
      <c r="G383" s="1">
        <v>3056046</v>
      </c>
      <c r="H383" s="1" t="s">
        <v>70</v>
      </c>
    </row>
    <row r="384" spans="1:8" x14ac:dyDescent="0.3">
      <c r="A384" s="1" t="s">
        <v>14</v>
      </c>
      <c r="B384" s="1" t="s">
        <v>15</v>
      </c>
      <c r="C384" s="1">
        <v>2014</v>
      </c>
      <c r="D384" s="1">
        <v>31928</v>
      </c>
      <c r="E384" s="1">
        <v>279</v>
      </c>
      <c r="F384" s="1">
        <v>438</v>
      </c>
      <c r="G384" s="1">
        <v>2404462</v>
      </c>
      <c r="H384" s="1" t="s">
        <v>70</v>
      </c>
    </row>
    <row r="385" spans="1:8" x14ac:dyDescent="0.3">
      <c r="A385" s="1" t="s">
        <v>16</v>
      </c>
      <c r="B385" s="1" t="s">
        <v>17</v>
      </c>
      <c r="C385" s="1">
        <v>2014</v>
      </c>
      <c r="D385" s="1">
        <v>11741</v>
      </c>
      <c r="E385" s="1">
        <v>48</v>
      </c>
      <c r="F385" s="1">
        <v>3</v>
      </c>
      <c r="G385" s="1">
        <v>1021695</v>
      </c>
      <c r="H385" s="1" t="s">
        <v>70</v>
      </c>
    </row>
    <row r="386" spans="1:8" x14ac:dyDescent="0.3">
      <c r="A386" s="1" t="s">
        <v>18</v>
      </c>
      <c r="B386" s="1" t="s">
        <v>19</v>
      </c>
      <c r="C386" s="1">
        <v>2014</v>
      </c>
      <c r="D386" s="1">
        <v>17753</v>
      </c>
      <c r="E386" s="1">
        <v>75</v>
      </c>
      <c r="F386" s="1">
        <v>73</v>
      </c>
      <c r="G386" s="1">
        <v>1122611</v>
      </c>
      <c r="H386" s="1" t="s">
        <v>70</v>
      </c>
    </row>
    <row r="387" spans="1:8" x14ac:dyDescent="0.3">
      <c r="A387" s="1" t="s">
        <v>20</v>
      </c>
      <c r="B387" s="1" t="s">
        <v>21</v>
      </c>
      <c r="C387" s="1">
        <v>2014</v>
      </c>
      <c r="D387" s="1">
        <v>24352</v>
      </c>
      <c r="E387" s="1">
        <v>420</v>
      </c>
      <c r="F387" s="1">
        <v>253</v>
      </c>
      <c r="G387" s="1">
        <v>1304185</v>
      </c>
      <c r="H387" s="1" t="s">
        <v>70</v>
      </c>
    </row>
    <row r="388" spans="1:8" x14ac:dyDescent="0.3">
      <c r="A388" s="1" t="s">
        <v>22</v>
      </c>
      <c r="B388" s="1" t="s">
        <v>23</v>
      </c>
      <c r="C388" s="1">
        <v>2014</v>
      </c>
      <c r="D388" s="1">
        <v>16675</v>
      </c>
      <c r="E388" s="1">
        <v>58</v>
      </c>
      <c r="F388" s="1">
        <v>92</v>
      </c>
      <c r="G388" s="1">
        <v>1282224</v>
      </c>
      <c r="H388" s="1" t="s">
        <v>70</v>
      </c>
    </row>
    <row r="389" spans="1:8" x14ac:dyDescent="0.3">
      <c r="A389" s="1" t="s">
        <v>24</v>
      </c>
      <c r="B389" s="1" t="s">
        <v>25</v>
      </c>
      <c r="C389" s="1">
        <v>2014</v>
      </c>
      <c r="D389" s="1">
        <v>63580</v>
      </c>
      <c r="E389" s="1">
        <v>391</v>
      </c>
      <c r="F389" s="1">
        <v>514</v>
      </c>
      <c r="G389" s="1">
        <v>5423943</v>
      </c>
      <c r="H389" s="1" t="s">
        <v>70</v>
      </c>
    </row>
    <row r="390" spans="1:8" x14ac:dyDescent="0.3">
      <c r="A390" s="1" t="s">
        <v>26</v>
      </c>
      <c r="B390" s="1" t="s">
        <v>27</v>
      </c>
      <c r="C390" s="1">
        <v>2014</v>
      </c>
      <c r="D390" s="1">
        <v>17836</v>
      </c>
      <c r="E390" s="1">
        <v>248</v>
      </c>
      <c r="F390" s="1">
        <v>74</v>
      </c>
      <c r="G390" s="1">
        <v>936210</v>
      </c>
      <c r="H390" s="1" t="s">
        <v>70</v>
      </c>
    </row>
    <row r="391" spans="1:8" x14ac:dyDescent="0.3">
      <c r="A391" s="1" t="s">
        <v>28</v>
      </c>
      <c r="B391" s="1" t="s">
        <v>29</v>
      </c>
      <c r="C391" s="1">
        <v>2014</v>
      </c>
      <c r="D391" s="1">
        <v>20015</v>
      </c>
      <c r="E391" s="1">
        <v>131</v>
      </c>
      <c r="F391" s="1">
        <v>180</v>
      </c>
      <c r="G391" s="1">
        <v>1405228</v>
      </c>
      <c r="H391" s="1" t="s">
        <v>70</v>
      </c>
    </row>
    <row r="392" spans="1:8" x14ac:dyDescent="0.3">
      <c r="A392" s="1" t="s">
        <v>30</v>
      </c>
      <c r="B392" s="1" t="s">
        <v>31</v>
      </c>
      <c r="C392" s="1">
        <v>2014</v>
      </c>
      <c r="D392" s="1">
        <v>39495</v>
      </c>
      <c r="E392" s="1">
        <v>377</v>
      </c>
      <c r="F392" s="1">
        <v>525</v>
      </c>
      <c r="G392" s="1">
        <v>1887265</v>
      </c>
      <c r="H392" s="1" t="s">
        <v>70</v>
      </c>
    </row>
    <row r="393" spans="1:8" x14ac:dyDescent="0.3">
      <c r="A393" s="1" t="s">
        <v>32</v>
      </c>
      <c r="B393" s="1" t="s">
        <v>33</v>
      </c>
      <c r="C393" s="1">
        <v>2014</v>
      </c>
      <c r="D393" s="1">
        <v>16633</v>
      </c>
      <c r="E393" s="1">
        <v>59</v>
      </c>
      <c r="F393" s="1">
        <v>71</v>
      </c>
      <c r="G393" s="1">
        <v>967033</v>
      </c>
      <c r="H393" s="1" t="s">
        <v>70</v>
      </c>
    </row>
    <row r="394" spans="1:8" x14ac:dyDescent="0.3">
      <c r="A394" s="1" t="s">
        <v>34</v>
      </c>
      <c r="B394" s="1" t="s">
        <v>35</v>
      </c>
      <c r="C394" s="1">
        <v>2014</v>
      </c>
      <c r="D394" s="1">
        <v>11319</v>
      </c>
      <c r="E394" s="1">
        <v>90</v>
      </c>
      <c r="F394" s="1">
        <v>61</v>
      </c>
      <c r="G394" s="1">
        <v>311994</v>
      </c>
      <c r="H394" s="1" t="s">
        <v>70</v>
      </c>
    </row>
    <row r="395" spans="1:8" x14ac:dyDescent="0.3">
      <c r="A395" s="1" t="s">
        <v>36</v>
      </c>
      <c r="B395" s="1" t="s">
        <v>37</v>
      </c>
      <c r="C395" s="1">
        <v>2014</v>
      </c>
      <c r="D395" s="1">
        <v>34872</v>
      </c>
      <c r="E395" s="1">
        <v>505</v>
      </c>
      <c r="F395" s="1">
        <v>320</v>
      </c>
      <c r="G395" s="1">
        <v>1906711</v>
      </c>
      <c r="H395" s="1" t="s">
        <v>70</v>
      </c>
    </row>
    <row r="396" spans="1:8" x14ac:dyDescent="0.3">
      <c r="A396" s="1" t="s">
        <v>38</v>
      </c>
      <c r="B396" s="1" t="s">
        <v>39</v>
      </c>
      <c r="C396" s="1">
        <v>2014</v>
      </c>
      <c r="D396" s="1">
        <v>26463</v>
      </c>
      <c r="E396" s="1">
        <v>292</v>
      </c>
      <c r="F396" s="1">
        <v>286</v>
      </c>
      <c r="G396" s="1">
        <v>1637842</v>
      </c>
      <c r="H396" s="1" t="s">
        <v>70</v>
      </c>
    </row>
    <row r="397" spans="1:8" x14ac:dyDescent="0.3">
      <c r="A397" s="1" t="s">
        <v>40</v>
      </c>
      <c r="B397" s="1" t="s">
        <v>41</v>
      </c>
      <c r="C397" s="1">
        <v>2014</v>
      </c>
      <c r="D397" s="1">
        <v>21024</v>
      </c>
      <c r="E397" s="1">
        <v>214</v>
      </c>
      <c r="F397" s="1">
        <v>204</v>
      </c>
      <c r="G397" s="1">
        <v>1368845</v>
      </c>
      <c r="H397" s="1" t="s">
        <v>70</v>
      </c>
    </row>
    <row r="398" spans="1:8" x14ac:dyDescent="0.3">
      <c r="A398" s="1" t="s">
        <v>42</v>
      </c>
      <c r="B398" s="1" t="s">
        <v>43</v>
      </c>
      <c r="C398" s="1">
        <v>2014</v>
      </c>
      <c r="D398" s="1">
        <v>14892</v>
      </c>
      <c r="E398" s="1">
        <v>125</v>
      </c>
      <c r="F398" s="1">
        <v>69</v>
      </c>
      <c r="G398" s="1">
        <v>855491</v>
      </c>
      <c r="H398" s="1" t="s">
        <v>70</v>
      </c>
    </row>
    <row r="399" spans="1:8" x14ac:dyDescent="0.3">
      <c r="A399" s="1" t="s">
        <v>44</v>
      </c>
      <c r="B399" s="1" t="s">
        <v>45</v>
      </c>
      <c r="C399" s="1">
        <v>2014</v>
      </c>
      <c r="D399" s="1">
        <v>17005</v>
      </c>
      <c r="E399" s="1">
        <v>389</v>
      </c>
      <c r="F399" s="1">
        <v>67</v>
      </c>
      <c r="G399" s="1">
        <v>301548</v>
      </c>
      <c r="H399" s="1" t="s">
        <v>70</v>
      </c>
    </row>
    <row r="400" spans="1:8" x14ac:dyDescent="0.3">
      <c r="A400" s="1" t="s">
        <v>46</v>
      </c>
      <c r="B400" s="1" t="s">
        <v>47</v>
      </c>
      <c r="C400" s="1">
        <v>2014</v>
      </c>
      <c r="D400" s="1">
        <v>59320</v>
      </c>
      <c r="E400" s="1">
        <v>439</v>
      </c>
      <c r="F400" s="1">
        <v>636</v>
      </c>
      <c r="G400" s="1">
        <v>1701076</v>
      </c>
      <c r="H400" s="1" t="s">
        <v>70</v>
      </c>
    </row>
    <row r="401" spans="1:8" x14ac:dyDescent="0.3">
      <c r="A401" s="1" t="s">
        <v>48</v>
      </c>
      <c r="B401" s="1" t="s">
        <v>49</v>
      </c>
      <c r="C401" s="1">
        <v>2014</v>
      </c>
      <c r="D401" s="1">
        <v>26327</v>
      </c>
      <c r="E401" s="1">
        <v>433</v>
      </c>
      <c r="F401" s="1">
        <v>261</v>
      </c>
      <c r="G401" s="1">
        <v>1055373</v>
      </c>
      <c r="H401" s="1" t="s">
        <v>70</v>
      </c>
    </row>
    <row r="402" spans="1:8" x14ac:dyDescent="0.3">
      <c r="A402" s="1" t="s">
        <v>50</v>
      </c>
      <c r="B402" s="1" t="s">
        <v>51</v>
      </c>
      <c r="C402" s="1">
        <v>2014</v>
      </c>
      <c r="D402" s="1">
        <v>22085</v>
      </c>
      <c r="E402" s="1">
        <v>80</v>
      </c>
      <c r="F402" s="1">
        <v>213</v>
      </c>
      <c r="G402" s="1">
        <v>1883939</v>
      </c>
      <c r="H402" s="1" t="s">
        <v>70</v>
      </c>
    </row>
    <row r="403" spans="1:8" x14ac:dyDescent="0.3">
      <c r="A403" s="1" t="s">
        <v>52</v>
      </c>
      <c r="B403" s="1" t="s">
        <v>53</v>
      </c>
      <c r="C403" s="1">
        <v>2014</v>
      </c>
      <c r="D403" s="1">
        <v>16780</v>
      </c>
      <c r="E403" s="1">
        <v>134</v>
      </c>
      <c r="F403" s="1">
        <v>219</v>
      </c>
      <c r="G403" s="1">
        <v>1011247</v>
      </c>
      <c r="H403" s="1" t="s">
        <v>70</v>
      </c>
    </row>
    <row r="404" spans="1:8" x14ac:dyDescent="0.3">
      <c r="A404" s="1" t="s">
        <v>54</v>
      </c>
      <c r="B404" s="1" t="s">
        <v>55</v>
      </c>
      <c r="C404" s="1">
        <v>2014</v>
      </c>
      <c r="D404" s="1">
        <v>46799</v>
      </c>
      <c r="E404" s="1">
        <v>1999</v>
      </c>
      <c r="F404" s="1">
        <v>1169</v>
      </c>
      <c r="G404" s="1">
        <v>595118</v>
      </c>
      <c r="H404" s="1" t="s">
        <v>70</v>
      </c>
    </row>
    <row r="405" spans="1:8" x14ac:dyDescent="0.3">
      <c r="A405" s="1" t="s">
        <v>56</v>
      </c>
      <c r="B405" s="1" t="s">
        <v>57</v>
      </c>
      <c r="C405" s="1">
        <v>2014</v>
      </c>
      <c r="D405" s="1">
        <v>23729</v>
      </c>
      <c r="E405" s="1">
        <v>95</v>
      </c>
      <c r="F405" s="1">
        <v>96</v>
      </c>
      <c r="G405" s="1">
        <v>1399366</v>
      </c>
      <c r="H405" s="1" t="s">
        <v>70</v>
      </c>
    </row>
    <row r="406" spans="1:8" x14ac:dyDescent="0.3">
      <c r="A406" s="1" t="s">
        <v>58</v>
      </c>
      <c r="B406" s="1" t="s">
        <v>59</v>
      </c>
      <c r="C406" s="1">
        <v>2014</v>
      </c>
      <c r="D406" s="1">
        <v>33852</v>
      </c>
      <c r="E406" s="1">
        <v>142</v>
      </c>
      <c r="F406" s="1">
        <v>20</v>
      </c>
      <c r="G406" s="1">
        <v>1823967</v>
      </c>
      <c r="H406" s="1" t="s">
        <v>70</v>
      </c>
    </row>
    <row r="407" spans="1:8" x14ac:dyDescent="0.3">
      <c r="A407" s="1" t="s">
        <v>60</v>
      </c>
      <c r="B407" s="1" t="s">
        <v>61</v>
      </c>
      <c r="C407" s="1">
        <v>2014</v>
      </c>
      <c r="D407" s="1">
        <v>15525</v>
      </c>
      <c r="E407" s="1">
        <v>64</v>
      </c>
      <c r="F407" s="1">
        <v>104</v>
      </c>
      <c r="G407" s="1">
        <v>1285269</v>
      </c>
      <c r="H407" s="1" t="s">
        <v>70</v>
      </c>
    </row>
    <row r="408" spans="1:8" x14ac:dyDescent="0.3">
      <c r="A408" s="1" t="s">
        <v>62</v>
      </c>
      <c r="B408" s="1" t="s">
        <v>63</v>
      </c>
      <c r="C408" s="1">
        <v>2014</v>
      </c>
      <c r="D408" s="1">
        <v>34945</v>
      </c>
      <c r="E408" s="1">
        <v>105</v>
      </c>
      <c r="F408" s="1">
        <v>574</v>
      </c>
      <c r="G408" s="1">
        <v>2361232</v>
      </c>
      <c r="H408" s="1" t="s">
        <v>70</v>
      </c>
    </row>
    <row r="409" spans="1:8" x14ac:dyDescent="0.3">
      <c r="A409" s="1" t="s">
        <v>64</v>
      </c>
      <c r="B409" s="1" t="s">
        <v>65</v>
      </c>
      <c r="C409" s="1">
        <v>2014</v>
      </c>
      <c r="D409" s="1">
        <v>41611</v>
      </c>
      <c r="E409" s="1">
        <v>209</v>
      </c>
      <c r="F409" s="1">
        <v>545</v>
      </c>
      <c r="G409" s="1">
        <v>4674542</v>
      </c>
      <c r="H409" s="1" t="s">
        <v>70</v>
      </c>
    </row>
    <row r="410" spans="1:8" x14ac:dyDescent="0.3">
      <c r="A410" s="1" t="s">
        <v>66</v>
      </c>
      <c r="B410" s="1" t="s">
        <v>67</v>
      </c>
      <c r="C410" s="1">
        <v>2014</v>
      </c>
      <c r="D410" s="1">
        <v>296047</v>
      </c>
      <c r="E410" s="1">
        <v>5935</v>
      </c>
      <c r="F410" s="1">
        <v>8441</v>
      </c>
      <c r="G410" s="1">
        <v>12639997</v>
      </c>
      <c r="H410" s="1" t="s">
        <v>70</v>
      </c>
    </row>
    <row r="411" spans="1:8" x14ac:dyDescent="0.3">
      <c r="A411" s="1" t="s">
        <v>68</v>
      </c>
      <c r="B411" s="1" t="s">
        <v>69</v>
      </c>
      <c r="C411" s="1">
        <v>2014</v>
      </c>
      <c r="D411" s="1">
        <v>50562</v>
      </c>
      <c r="E411" s="1">
        <v>235</v>
      </c>
      <c r="F411" s="1">
        <v>572</v>
      </c>
      <c r="G411" s="1">
        <v>5252262</v>
      </c>
      <c r="H411" s="1" t="s">
        <v>70</v>
      </c>
    </row>
    <row r="412" spans="1:8" x14ac:dyDescent="0.3">
      <c r="A412" s="1" t="s">
        <v>71</v>
      </c>
      <c r="B412" s="1" t="s">
        <v>72</v>
      </c>
      <c r="C412" s="1">
        <v>2014</v>
      </c>
      <c r="D412" s="1">
        <v>19346</v>
      </c>
      <c r="E412" s="1">
        <v>93</v>
      </c>
      <c r="F412" s="1">
        <v>99</v>
      </c>
      <c r="G412" s="1">
        <v>1117715</v>
      </c>
      <c r="H412" s="1" t="s">
        <v>70</v>
      </c>
    </row>
    <row r="413" spans="1:8" x14ac:dyDescent="0.3">
      <c r="A413" s="1" t="s">
        <v>73</v>
      </c>
      <c r="B413" s="1" t="s">
        <v>74</v>
      </c>
      <c r="C413" s="1">
        <v>2014</v>
      </c>
      <c r="D413" s="1">
        <v>24869</v>
      </c>
      <c r="E413" s="1">
        <v>323</v>
      </c>
      <c r="F413" s="1">
        <v>191</v>
      </c>
      <c r="G413" s="1">
        <v>1846162</v>
      </c>
      <c r="H413" s="1" t="s">
        <v>70</v>
      </c>
    </row>
    <row r="414" spans="1:8" x14ac:dyDescent="0.3">
      <c r="A414" s="1" t="s">
        <v>75</v>
      </c>
      <c r="B414" s="1" t="s">
        <v>76</v>
      </c>
      <c r="C414" s="1">
        <v>2014</v>
      </c>
      <c r="D414" s="1">
        <v>34796</v>
      </c>
      <c r="E414" s="1">
        <v>640</v>
      </c>
      <c r="F414" s="1">
        <v>122</v>
      </c>
      <c r="G414" s="1">
        <v>2429280</v>
      </c>
      <c r="H414" s="1" t="s">
        <v>70</v>
      </c>
    </row>
    <row r="415" spans="1:8" x14ac:dyDescent="0.3">
      <c r="A415" s="1" t="s">
        <v>77</v>
      </c>
      <c r="B415" s="1" t="s">
        <v>78</v>
      </c>
      <c r="C415" s="1">
        <v>2014</v>
      </c>
      <c r="D415" s="1">
        <v>16211</v>
      </c>
      <c r="E415" s="1">
        <v>98</v>
      </c>
      <c r="F415" s="1">
        <v>53</v>
      </c>
      <c r="G415" s="1">
        <v>1636202</v>
      </c>
      <c r="H415" s="1" t="s">
        <v>70</v>
      </c>
    </row>
    <row r="416" spans="1:8" x14ac:dyDescent="0.3">
      <c r="A416" s="1" t="s">
        <v>79</v>
      </c>
      <c r="B416" s="1" t="s">
        <v>80</v>
      </c>
      <c r="C416" s="1">
        <v>2014</v>
      </c>
      <c r="D416" s="1">
        <v>14011</v>
      </c>
      <c r="E416" s="1">
        <v>119</v>
      </c>
      <c r="F416" s="1">
        <v>72</v>
      </c>
      <c r="G416" s="1">
        <v>1766812</v>
      </c>
      <c r="H416" s="1" t="s">
        <v>70</v>
      </c>
    </row>
    <row r="417" spans="1:8" x14ac:dyDescent="0.3">
      <c r="A417" s="1" t="s">
        <v>81</v>
      </c>
      <c r="B417" s="1" t="s">
        <v>82</v>
      </c>
      <c r="C417" s="1">
        <v>2014</v>
      </c>
      <c r="D417" s="1">
        <v>11837</v>
      </c>
      <c r="E417" s="1">
        <v>121</v>
      </c>
      <c r="F417" s="1">
        <v>20</v>
      </c>
      <c r="G417" s="1">
        <v>1038750</v>
      </c>
      <c r="H417" s="1" t="s">
        <v>70</v>
      </c>
    </row>
    <row r="418" spans="1:8" x14ac:dyDescent="0.3">
      <c r="A418" s="1" t="s">
        <v>83</v>
      </c>
      <c r="B418" s="1" t="s">
        <v>84</v>
      </c>
      <c r="C418" s="1">
        <v>2014</v>
      </c>
      <c r="D418" s="1">
        <v>56901</v>
      </c>
      <c r="E418" s="1">
        <v>350</v>
      </c>
      <c r="F418" s="1">
        <v>526</v>
      </c>
      <c r="G418" s="1">
        <v>8578432</v>
      </c>
      <c r="H418" s="1" t="s">
        <v>70</v>
      </c>
    </row>
    <row r="419" spans="1:8" x14ac:dyDescent="0.3">
      <c r="A419" s="1" t="s">
        <v>85</v>
      </c>
      <c r="B419" s="1" t="s">
        <v>86</v>
      </c>
      <c r="C419" s="1">
        <v>2014</v>
      </c>
      <c r="D419" s="1">
        <v>19522</v>
      </c>
      <c r="E419" s="1">
        <v>142</v>
      </c>
      <c r="F419" s="1">
        <v>44</v>
      </c>
      <c r="G419" s="1">
        <v>1207836</v>
      </c>
      <c r="H419" s="1" t="s">
        <v>70</v>
      </c>
    </row>
    <row r="420" spans="1:8" x14ac:dyDescent="0.3">
      <c r="A420" s="1" t="s">
        <v>87</v>
      </c>
      <c r="B420" s="1" t="s">
        <v>88</v>
      </c>
      <c r="C420" s="1">
        <v>2014</v>
      </c>
      <c r="D420" s="1">
        <v>14151</v>
      </c>
      <c r="E420" s="1">
        <v>84</v>
      </c>
      <c r="F420" s="1">
        <v>45</v>
      </c>
      <c r="G420" s="1">
        <v>1366577</v>
      </c>
      <c r="H420" s="1" t="s">
        <v>70</v>
      </c>
    </row>
    <row r="421" spans="1:8" x14ac:dyDescent="0.3">
      <c r="A421" s="1" t="s">
        <v>89</v>
      </c>
      <c r="B421" s="1" t="s">
        <v>90</v>
      </c>
      <c r="C421" s="1">
        <v>2014</v>
      </c>
      <c r="D421" s="1">
        <v>25496</v>
      </c>
      <c r="E421" s="1">
        <v>234</v>
      </c>
      <c r="F421" s="1">
        <v>185</v>
      </c>
      <c r="G421" s="1">
        <v>3903534</v>
      </c>
      <c r="H421" s="1" t="s">
        <v>70</v>
      </c>
    </row>
    <row r="422" spans="1:8" x14ac:dyDescent="0.3">
      <c r="A422" s="1" t="s">
        <v>91</v>
      </c>
      <c r="B422" s="1" t="s">
        <v>92</v>
      </c>
      <c r="C422" s="1">
        <v>2014</v>
      </c>
      <c r="D422" s="1">
        <v>12149</v>
      </c>
      <c r="E422" s="1">
        <v>71</v>
      </c>
      <c r="F422" s="1">
        <v>41</v>
      </c>
      <c r="G422" s="1">
        <v>708482</v>
      </c>
      <c r="H422" s="1" t="s">
        <v>70</v>
      </c>
    </row>
    <row r="423" spans="1:8" x14ac:dyDescent="0.3">
      <c r="A423" s="1" t="s">
        <v>93</v>
      </c>
      <c r="B423" s="1" t="s">
        <v>94</v>
      </c>
      <c r="C423" s="1">
        <v>2014</v>
      </c>
      <c r="D423" s="1">
        <v>13686</v>
      </c>
      <c r="E423" s="1">
        <v>87</v>
      </c>
      <c r="F423" s="1">
        <v>66</v>
      </c>
      <c r="G423" s="1">
        <v>1455450</v>
      </c>
      <c r="H423" s="1" t="s">
        <v>70</v>
      </c>
    </row>
    <row r="424" spans="1:8" x14ac:dyDescent="0.3">
      <c r="A424" s="1" t="s">
        <v>95</v>
      </c>
      <c r="B424" s="1" t="s">
        <v>96</v>
      </c>
      <c r="C424" s="1">
        <v>2014</v>
      </c>
      <c r="D424" s="1">
        <v>12016</v>
      </c>
      <c r="E424" s="1">
        <v>68</v>
      </c>
      <c r="F424" s="1">
        <v>79</v>
      </c>
      <c r="G424" s="1">
        <v>1414731</v>
      </c>
      <c r="H424" s="1" t="s">
        <v>70</v>
      </c>
    </row>
    <row r="425" spans="1:8" x14ac:dyDescent="0.3">
      <c r="A425" s="1" t="s">
        <v>97</v>
      </c>
      <c r="B425" s="1" t="s">
        <v>98</v>
      </c>
      <c r="C425" s="1">
        <v>2014</v>
      </c>
      <c r="D425" s="1">
        <v>30867</v>
      </c>
      <c r="E425" s="1">
        <v>185</v>
      </c>
      <c r="F425" s="1">
        <v>163</v>
      </c>
      <c r="G425" s="1">
        <v>2419200</v>
      </c>
      <c r="H425" s="1" t="s">
        <v>70</v>
      </c>
    </row>
    <row r="426" spans="1:8" x14ac:dyDescent="0.3">
      <c r="A426" s="1" t="s">
        <v>99</v>
      </c>
      <c r="B426" s="1" t="s">
        <v>100</v>
      </c>
      <c r="C426" s="1">
        <v>2014</v>
      </c>
      <c r="D426" s="1">
        <v>29761</v>
      </c>
      <c r="E426" s="1">
        <v>630</v>
      </c>
      <c r="F426" s="1">
        <v>118</v>
      </c>
      <c r="G426" s="1">
        <v>2314288</v>
      </c>
      <c r="H426" s="1" t="s">
        <v>70</v>
      </c>
    </row>
    <row r="427" spans="1:8" x14ac:dyDescent="0.3">
      <c r="A427" s="1" t="s">
        <v>101</v>
      </c>
      <c r="B427" s="1" t="s">
        <v>102</v>
      </c>
      <c r="C427" s="1">
        <v>2014</v>
      </c>
      <c r="D427" s="1">
        <v>14227</v>
      </c>
      <c r="E427" s="1">
        <v>131</v>
      </c>
      <c r="F427" s="1">
        <v>39</v>
      </c>
      <c r="G427" s="1">
        <v>1395598</v>
      </c>
      <c r="H427" s="1" t="s">
        <v>70</v>
      </c>
    </row>
    <row r="428" spans="1:8" x14ac:dyDescent="0.3">
      <c r="A428" s="1" t="s">
        <v>103</v>
      </c>
      <c r="B428" s="1" t="s">
        <v>104</v>
      </c>
      <c r="C428" s="1">
        <v>2014</v>
      </c>
      <c r="D428" s="1">
        <v>11233</v>
      </c>
      <c r="E428" s="1">
        <v>58</v>
      </c>
      <c r="F428" s="1">
        <v>46</v>
      </c>
      <c r="G428" s="1">
        <v>1513972</v>
      </c>
      <c r="H428" s="1" t="s">
        <v>70</v>
      </c>
    </row>
    <row r="429" spans="1:8" x14ac:dyDescent="0.3">
      <c r="A429" s="1" t="s">
        <v>105</v>
      </c>
      <c r="B429" s="1" t="s">
        <v>106</v>
      </c>
      <c r="C429" s="1">
        <v>2014</v>
      </c>
      <c r="D429" s="1">
        <v>26438</v>
      </c>
      <c r="E429" s="1">
        <v>200</v>
      </c>
      <c r="F429" s="1">
        <v>42</v>
      </c>
      <c r="G429" s="1">
        <v>932471</v>
      </c>
      <c r="H429" s="1" t="s">
        <v>70</v>
      </c>
    </row>
    <row r="430" spans="1:8" x14ac:dyDescent="0.3">
      <c r="A430" s="1" t="s">
        <v>107</v>
      </c>
      <c r="B430" s="1" t="s">
        <v>108</v>
      </c>
      <c r="C430" s="1">
        <v>2014</v>
      </c>
      <c r="D430" s="1">
        <v>21161</v>
      </c>
      <c r="E430" s="1">
        <v>194</v>
      </c>
      <c r="F430" s="1">
        <v>128</v>
      </c>
      <c r="G430" s="1">
        <v>2590616</v>
      </c>
      <c r="H430" s="1" t="s">
        <v>70</v>
      </c>
    </row>
    <row r="431" spans="1:8" x14ac:dyDescent="0.3">
      <c r="A431" s="1" t="s">
        <v>109</v>
      </c>
      <c r="B431" s="1" t="s">
        <v>110</v>
      </c>
      <c r="C431" s="1">
        <v>2014</v>
      </c>
      <c r="D431" s="1">
        <v>147128</v>
      </c>
      <c r="E431" s="1">
        <v>1225</v>
      </c>
      <c r="F431" s="1">
        <v>2498</v>
      </c>
      <c r="G431" s="1">
        <v>19554123</v>
      </c>
      <c r="H431" s="1" t="s">
        <v>70</v>
      </c>
    </row>
    <row r="432" spans="1:8" x14ac:dyDescent="0.3">
      <c r="A432" s="1" t="s">
        <v>111</v>
      </c>
      <c r="B432" s="1" t="s">
        <v>112</v>
      </c>
      <c r="C432" s="1">
        <v>2014</v>
      </c>
      <c r="D432" s="1">
        <v>38379</v>
      </c>
      <c r="E432" s="1">
        <v>153</v>
      </c>
      <c r="F432" s="1">
        <v>370</v>
      </c>
      <c r="G432" s="1">
        <v>9329897</v>
      </c>
      <c r="H432" s="1" t="s">
        <v>70</v>
      </c>
    </row>
    <row r="433" spans="1:8" x14ac:dyDescent="0.3">
      <c r="A433" s="1" t="s">
        <v>113</v>
      </c>
      <c r="B433" s="1" t="s">
        <v>114</v>
      </c>
      <c r="C433" s="1">
        <v>2014</v>
      </c>
      <c r="D433" s="1">
        <v>86586</v>
      </c>
      <c r="E433" s="1">
        <v>907</v>
      </c>
      <c r="F433" s="1">
        <v>647</v>
      </c>
      <c r="G433" s="1">
        <v>8061480</v>
      </c>
      <c r="H433" s="1" t="s">
        <v>70</v>
      </c>
    </row>
    <row r="434" spans="1:8" x14ac:dyDescent="0.3">
      <c r="A434" s="1" t="s">
        <v>115</v>
      </c>
      <c r="B434" s="1" t="s">
        <v>116</v>
      </c>
      <c r="C434" s="1">
        <v>2014</v>
      </c>
      <c r="D434" s="1">
        <v>45852</v>
      </c>
      <c r="E434" s="1">
        <v>133</v>
      </c>
      <c r="F434" s="1">
        <v>462</v>
      </c>
      <c r="G434" s="1">
        <v>4374006</v>
      </c>
      <c r="H434" s="1" t="s">
        <v>70</v>
      </c>
    </row>
    <row r="435" spans="1:8" x14ac:dyDescent="0.3">
      <c r="A435" s="1" t="s">
        <v>117</v>
      </c>
      <c r="B435" s="1" t="s">
        <v>118</v>
      </c>
      <c r="C435" s="1">
        <v>2014</v>
      </c>
      <c r="D435" s="1">
        <v>38675</v>
      </c>
      <c r="E435" s="1">
        <v>309</v>
      </c>
      <c r="F435" s="1">
        <v>0</v>
      </c>
      <c r="G435" s="1">
        <v>1374615</v>
      </c>
      <c r="H435" s="1" t="s">
        <v>70</v>
      </c>
    </row>
    <row r="436" spans="1:8" x14ac:dyDescent="0.3">
      <c r="A436" s="1" t="s">
        <v>119</v>
      </c>
      <c r="B436" s="1" t="s">
        <v>120</v>
      </c>
      <c r="C436" s="1">
        <v>2014</v>
      </c>
      <c r="D436" s="1">
        <v>30972</v>
      </c>
      <c r="E436" s="1">
        <v>259</v>
      </c>
      <c r="F436" s="1">
        <v>59</v>
      </c>
      <c r="G436" s="1">
        <v>1060099</v>
      </c>
      <c r="H436" s="1" t="s">
        <v>70</v>
      </c>
    </row>
    <row r="437" spans="1:8" x14ac:dyDescent="0.3">
      <c r="A437" s="1" t="s">
        <v>121</v>
      </c>
      <c r="B437" s="1" t="s">
        <v>122</v>
      </c>
      <c r="C437" s="1">
        <v>2014</v>
      </c>
      <c r="D437" s="1">
        <v>28211</v>
      </c>
      <c r="E437" s="1">
        <v>177</v>
      </c>
      <c r="F437" s="1">
        <v>15</v>
      </c>
      <c r="G437" s="1">
        <v>701180</v>
      </c>
      <c r="H437" s="1" t="s">
        <v>70</v>
      </c>
    </row>
    <row r="438" spans="1:8" x14ac:dyDescent="0.3">
      <c r="A438" s="1" t="s">
        <v>123</v>
      </c>
      <c r="B438" s="1" t="s">
        <v>124</v>
      </c>
      <c r="C438" s="1">
        <v>2014</v>
      </c>
      <c r="D438" s="1">
        <v>22774</v>
      </c>
      <c r="E438" s="1">
        <v>45</v>
      </c>
      <c r="F438" s="1">
        <v>60</v>
      </c>
      <c r="G438" s="1">
        <v>1276440</v>
      </c>
      <c r="H438" s="1" t="s">
        <v>70</v>
      </c>
    </row>
    <row r="439" spans="1:8" x14ac:dyDescent="0.3">
      <c r="A439" s="1" t="s">
        <v>125</v>
      </c>
      <c r="B439" s="1" t="s">
        <v>126</v>
      </c>
      <c r="C439" s="1">
        <v>2014</v>
      </c>
      <c r="D439" s="1">
        <v>13394</v>
      </c>
      <c r="E439" s="1">
        <v>52</v>
      </c>
      <c r="F439" s="1">
        <v>29</v>
      </c>
      <c r="G439" s="1">
        <v>215912</v>
      </c>
      <c r="H439" s="1" t="s">
        <v>70</v>
      </c>
    </row>
    <row r="440" spans="1:8" x14ac:dyDescent="0.3">
      <c r="A440" s="1" t="s">
        <v>127</v>
      </c>
      <c r="B440" s="1" t="s">
        <v>128</v>
      </c>
      <c r="C440" s="1">
        <v>2014</v>
      </c>
      <c r="D440" s="1">
        <v>24515</v>
      </c>
      <c r="E440" s="1">
        <v>87</v>
      </c>
      <c r="F440" s="1">
        <v>22</v>
      </c>
      <c r="G440" s="1">
        <v>803570</v>
      </c>
      <c r="H440" s="1" t="s">
        <v>70</v>
      </c>
    </row>
    <row r="441" spans="1:8" x14ac:dyDescent="0.3">
      <c r="A441" s="1" t="s">
        <v>129</v>
      </c>
      <c r="B441" s="1" t="s">
        <v>130</v>
      </c>
      <c r="C441" s="1">
        <v>2014</v>
      </c>
      <c r="D441" s="1">
        <v>31548</v>
      </c>
      <c r="E441" s="1">
        <v>132</v>
      </c>
      <c r="F441" s="1">
        <v>82</v>
      </c>
      <c r="G441" s="1">
        <v>1274225</v>
      </c>
      <c r="H441" s="1" t="s">
        <v>70</v>
      </c>
    </row>
    <row r="442" spans="1:8" x14ac:dyDescent="0.3">
      <c r="A442" s="1" t="s">
        <v>131</v>
      </c>
      <c r="B442" s="1" t="s">
        <v>132</v>
      </c>
      <c r="C442" s="1">
        <v>2014</v>
      </c>
      <c r="D442" s="1">
        <v>30003</v>
      </c>
      <c r="E442" s="1">
        <v>214</v>
      </c>
      <c r="F442" s="1">
        <v>58</v>
      </c>
      <c r="G442" s="1">
        <v>633786</v>
      </c>
      <c r="H442" s="1" t="s">
        <v>70</v>
      </c>
    </row>
    <row r="443" spans="1:8" x14ac:dyDescent="0.3">
      <c r="A443" s="1" t="s">
        <v>133</v>
      </c>
      <c r="B443" s="1" t="s">
        <v>134</v>
      </c>
      <c r="C443" s="1">
        <v>2014</v>
      </c>
      <c r="D443" s="1">
        <v>48299</v>
      </c>
      <c r="E443" s="1">
        <v>770</v>
      </c>
      <c r="F443" s="1">
        <v>95</v>
      </c>
      <c r="G443" s="1">
        <v>802693</v>
      </c>
      <c r="H443" s="1" t="s">
        <v>70</v>
      </c>
    </row>
    <row r="444" spans="1:8" x14ac:dyDescent="0.3">
      <c r="A444" s="1" t="s">
        <v>135</v>
      </c>
      <c r="B444" s="1" t="s">
        <v>136</v>
      </c>
      <c r="C444" s="1">
        <v>2014</v>
      </c>
      <c r="D444" s="1">
        <v>18300</v>
      </c>
      <c r="E444" s="1">
        <v>196</v>
      </c>
      <c r="F444" s="1">
        <v>54</v>
      </c>
      <c r="G444" s="1">
        <v>548079</v>
      </c>
      <c r="H444" s="1" t="s">
        <v>70</v>
      </c>
    </row>
    <row r="445" spans="1:8" x14ac:dyDescent="0.3">
      <c r="A445" s="1" t="s">
        <v>137</v>
      </c>
      <c r="B445" s="1" t="s">
        <v>138</v>
      </c>
      <c r="C445" s="1">
        <v>2014</v>
      </c>
      <c r="D445" s="1">
        <v>32864</v>
      </c>
      <c r="E445" s="1">
        <v>261</v>
      </c>
      <c r="F445" s="1">
        <v>54</v>
      </c>
      <c r="G445" s="1">
        <v>1052483</v>
      </c>
      <c r="H445" s="1" t="s">
        <v>70</v>
      </c>
    </row>
    <row r="446" spans="1:8" x14ac:dyDescent="0.3">
      <c r="A446" s="1" t="s">
        <v>139</v>
      </c>
      <c r="B446" s="1" t="s">
        <v>140</v>
      </c>
      <c r="C446" s="1">
        <v>2014</v>
      </c>
      <c r="D446" s="1">
        <v>20669</v>
      </c>
      <c r="E446" s="1">
        <v>104</v>
      </c>
      <c r="F446" s="1">
        <v>44</v>
      </c>
      <c r="G446" s="1">
        <v>1620735</v>
      </c>
      <c r="H446" s="1" t="s">
        <v>70</v>
      </c>
    </row>
    <row r="447" spans="1:8" x14ac:dyDescent="0.3">
      <c r="A447" s="1" t="s">
        <v>141</v>
      </c>
      <c r="B447" s="1" t="s">
        <v>142</v>
      </c>
      <c r="C447" s="1">
        <v>2014</v>
      </c>
      <c r="D447" s="1">
        <v>12910</v>
      </c>
      <c r="E447" s="1">
        <v>73</v>
      </c>
      <c r="F447" s="1">
        <v>15</v>
      </c>
      <c r="G447" s="1">
        <v>499778</v>
      </c>
      <c r="H447" s="1" t="s">
        <v>70</v>
      </c>
    </row>
    <row r="448" spans="1:8" x14ac:dyDescent="0.3">
      <c r="A448" s="1" t="s">
        <v>143</v>
      </c>
      <c r="B448" s="1" t="s">
        <v>144</v>
      </c>
      <c r="C448" s="1">
        <v>2014</v>
      </c>
      <c r="D448" s="1">
        <v>42056</v>
      </c>
      <c r="E448" s="1">
        <v>219</v>
      </c>
      <c r="F448" s="1">
        <v>226</v>
      </c>
      <c r="G448" s="1">
        <v>1679304</v>
      </c>
      <c r="H448" s="1" t="s">
        <v>70</v>
      </c>
    </row>
    <row r="449" spans="1:8" x14ac:dyDescent="0.3">
      <c r="A449" s="1" t="s">
        <v>145</v>
      </c>
      <c r="B449" s="1" t="s">
        <v>146</v>
      </c>
      <c r="C449" s="1">
        <v>2014</v>
      </c>
      <c r="D449" s="1">
        <v>19530</v>
      </c>
      <c r="E449" s="1">
        <v>125</v>
      </c>
      <c r="F449" s="1">
        <v>43</v>
      </c>
      <c r="G449" s="1">
        <v>846726</v>
      </c>
      <c r="H449" s="1" t="s">
        <v>70</v>
      </c>
    </row>
    <row r="450" spans="1:8" x14ac:dyDescent="0.3">
      <c r="A450" s="1" t="s">
        <v>147</v>
      </c>
      <c r="B450" s="1" t="s">
        <v>148</v>
      </c>
      <c r="C450" s="1">
        <v>2014</v>
      </c>
      <c r="D450" s="1">
        <v>20056</v>
      </c>
      <c r="E450" s="1">
        <v>91</v>
      </c>
      <c r="F450" s="1">
        <v>63</v>
      </c>
      <c r="G450" s="1">
        <v>611429</v>
      </c>
      <c r="H450" s="1" t="s">
        <v>70</v>
      </c>
    </row>
    <row r="451" spans="1:8" x14ac:dyDescent="0.3">
      <c r="A451" s="1" t="s">
        <v>149</v>
      </c>
      <c r="B451" s="1" t="s">
        <v>47</v>
      </c>
      <c r="C451" s="1">
        <v>2014</v>
      </c>
      <c r="D451" s="1">
        <v>26511</v>
      </c>
      <c r="E451" s="1">
        <v>277</v>
      </c>
      <c r="F451" s="1">
        <v>67</v>
      </c>
      <c r="G451" s="1">
        <v>1258736</v>
      </c>
      <c r="H451" s="1" t="s">
        <v>70</v>
      </c>
    </row>
    <row r="452" spans="1:8" x14ac:dyDescent="0.3">
      <c r="A452" s="1" t="s">
        <v>150</v>
      </c>
      <c r="B452" s="1" t="s">
        <v>151</v>
      </c>
      <c r="C452" s="1">
        <v>2014</v>
      </c>
      <c r="D452" s="1">
        <v>27988</v>
      </c>
      <c r="E452" s="1">
        <v>104</v>
      </c>
      <c r="F452" s="1">
        <v>52</v>
      </c>
      <c r="G452" s="1">
        <v>1149584</v>
      </c>
      <c r="H452" s="1" t="s">
        <v>70</v>
      </c>
    </row>
    <row r="453" spans="1:8" x14ac:dyDescent="0.3">
      <c r="A453" s="1" t="s">
        <v>152</v>
      </c>
      <c r="B453" s="1" t="s">
        <v>153</v>
      </c>
      <c r="C453" s="1">
        <v>2014</v>
      </c>
      <c r="D453" s="1">
        <v>14126</v>
      </c>
      <c r="E453" s="1">
        <v>131</v>
      </c>
      <c r="F453" s="1">
        <v>84</v>
      </c>
      <c r="G453" s="1">
        <v>1050830</v>
      </c>
      <c r="H453" s="1" t="s">
        <v>70</v>
      </c>
    </row>
    <row r="454" spans="1:8" x14ac:dyDescent="0.3">
      <c r="A454" s="1" t="s">
        <v>154</v>
      </c>
      <c r="B454" s="1" t="s">
        <v>155</v>
      </c>
      <c r="C454" s="1">
        <v>2014</v>
      </c>
      <c r="D454" s="1">
        <v>36276</v>
      </c>
      <c r="E454" s="1">
        <v>223</v>
      </c>
      <c r="F454" s="1">
        <v>12</v>
      </c>
      <c r="G454" s="1">
        <v>329038</v>
      </c>
      <c r="H454" s="1" t="s">
        <v>70</v>
      </c>
    </row>
    <row r="455" spans="1:8" x14ac:dyDescent="0.3">
      <c r="A455" s="1" t="s">
        <v>156</v>
      </c>
      <c r="B455" s="1" t="s">
        <v>157</v>
      </c>
      <c r="C455" s="1">
        <v>2014</v>
      </c>
      <c r="D455" s="1">
        <v>21528</v>
      </c>
      <c r="E455" s="1">
        <v>289</v>
      </c>
      <c r="F455" s="1">
        <v>109</v>
      </c>
      <c r="G455" s="1">
        <v>2271393</v>
      </c>
      <c r="H455" s="1" t="s">
        <v>70</v>
      </c>
    </row>
    <row r="456" spans="1:8" x14ac:dyDescent="0.3">
      <c r="A456" s="1" t="s">
        <v>158</v>
      </c>
      <c r="B456" s="1" t="s">
        <v>159</v>
      </c>
      <c r="C456" s="1">
        <v>2014</v>
      </c>
      <c r="D456" s="1">
        <v>25533</v>
      </c>
      <c r="E456" s="1">
        <v>113</v>
      </c>
      <c r="F456" s="1">
        <v>128</v>
      </c>
      <c r="G456" s="1">
        <v>2023300</v>
      </c>
      <c r="H456" s="1" t="s">
        <v>70</v>
      </c>
    </row>
    <row r="457" spans="1:8" x14ac:dyDescent="0.3">
      <c r="A457" s="1" t="s">
        <v>160</v>
      </c>
      <c r="B457" s="1" t="s">
        <v>161</v>
      </c>
      <c r="C457" s="1">
        <v>2014</v>
      </c>
      <c r="D457" s="1">
        <v>145542</v>
      </c>
      <c r="E457" s="1">
        <v>1336</v>
      </c>
      <c r="F457" s="1">
        <v>1331</v>
      </c>
      <c r="G457" s="1">
        <v>12467189</v>
      </c>
      <c r="H457" s="1" t="s">
        <v>70</v>
      </c>
    </row>
    <row r="458" spans="1:8" x14ac:dyDescent="0.3">
      <c r="A458" s="1" t="s">
        <v>162</v>
      </c>
      <c r="B458" s="1" t="s">
        <v>163</v>
      </c>
      <c r="C458" s="1">
        <v>2014</v>
      </c>
      <c r="D458" s="1">
        <v>23751</v>
      </c>
      <c r="E458" s="1">
        <v>107</v>
      </c>
      <c r="F458" s="1">
        <v>262</v>
      </c>
      <c r="G458" s="1">
        <v>4115694</v>
      </c>
      <c r="H458" s="1" t="s">
        <v>70</v>
      </c>
    </row>
    <row r="459" spans="1:8" x14ac:dyDescent="0.3">
      <c r="A459" s="1" t="s">
        <v>164</v>
      </c>
      <c r="B459" s="1" t="s">
        <v>165</v>
      </c>
      <c r="C459" s="1">
        <v>2014</v>
      </c>
      <c r="D459" s="1">
        <v>21846</v>
      </c>
      <c r="E459" s="1">
        <v>241</v>
      </c>
      <c r="F459" s="1">
        <v>190</v>
      </c>
      <c r="G459" s="1">
        <v>1056823</v>
      </c>
      <c r="H459" s="1" t="s">
        <v>70</v>
      </c>
    </row>
    <row r="460" spans="1:8" x14ac:dyDescent="0.3">
      <c r="A460" s="1" t="s">
        <v>166</v>
      </c>
      <c r="B460" s="1" t="s">
        <v>167</v>
      </c>
      <c r="C460" s="1">
        <v>2014</v>
      </c>
      <c r="D460" s="1">
        <v>19059</v>
      </c>
      <c r="E460" s="1">
        <v>109</v>
      </c>
      <c r="F460" s="1">
        <v>184</v>
      </c>
      <c r="G460" s="1">
        <v>1673461</v>
      </c>
      <c r="H460" s="1" t="s">
        <v>70</v>
      </c>
    </row>
    <row r="461" spans="1:8" x14ac:dyDescent="0.3">
      <c r="A461" s="1" t="s">
        <v>168</v>
      </c>
      <c r="B461" s="1" t="s">
        <v>169</v>
      </c>
      <c r="C461" s="1">
        <v>2014</v>
      </c>
      <c r="D461" s="1">
        <v>20220</v>
      </c>
      <c r="E461" s="1">
        <v>128</v>
      </c>
      <c r="F461" s="1">
        <v>197</v>
      </c>
      <c r="G461" s="1">
        <v>1974228</v>
      </c>
      <c r="H461" s="1" t="s">
        <v>70</v>
      </c>
    </row>
    <row r="462" spans="1:8" x14ac:dyDescent="0.3">
      <c r="A462" s="1" t="s">
        <v>170</v>
      </c>
      <c r="B462" s="1" t="s">
        <v>171</v>
      </c>
      <c r="C462" s="1">
        <v>2014</v>
      </c>
      <c r="D462" s="1">
        <v>30070</v>
      </c>
      <c r="E462" s="1">
        <v>236</v>
      </c>
      <c r="F462" s="1">
        <v>216</v>
      </c>
      <c r="G462" s="1">
        <v>2861108</v>
      </c>
      <c r="H462" s="1" t="s">
        <v>70</v>
      </c>
    </row>
    <row r="463" spans="1:8" x14ac:dyDescent="0.3">
      <c r="A463" s="1" t="s">
        <v>172</v>
      </c>
      <c r="B463" s="1" t="s">
        <v>173</v>
      </c>
      <c r="C463" s="1">
        <v>2014</v>
      </c>
      <c r="D463" s="1">
        <v>16135</v>
      </c>
      <c r="E463" s="1">
        <v>159</v>
      </c>
      <c r="F463" s="1">
        <v>243</v>
      </c>
      <c r="G463" s="1">
        <v>900614</v>
      </c>
      <c r="H463" s="1" t="s">
        <v>70</v>
      </c>
    </row>
    <row r="464" spans="1:8" x14ac:dyDescent="0.3">
      <c r="A464" s="1" t="s">
        <v>174</v>
      </c>
      <c r="B464" s="1" t="s">
        <v>175</v>
      </c>
      <c r="C464" s="1">
        <v>2014</v>
      </c>
      <c r="D464" s="1">
        <v>16526</v>
      </c>
      <c r="E464" s="1">
        <v>134</v>
      </c>
      <c r="F464" s="1">
        <v>161</v>
      </c>
      <c r="G464" s="1">
        <v>1203234</v>
      </c>
      <c r="H464" s="1" t="s">
        <v>70</v>
      </c>
    </row>
    <row r="465" spans="1:8" x14ac:dyDescent="0.3">
      <c r="A465" s="1" t="s">
        <v>176</v>
      </c>
      <c r="B465" s="1" t="s">
        <v>177</v>
      </c>
      <c r="C465" s="1">
        <v>2014</v>
      </c>
      <c r="D465" s="1">
        <v>12100</v>
      </c>
      <c r="E465" s="1">
        <v>127</v>
      </c>
      <c r="F465" s="1">
        <v>59</v>
      </c>
      <c r="G465" s="1">
        <v>1026146</v>
      </c>
      <c r="H465" s="1" t="s">
        <v>70</v>
      </c>
    </row>
    <row r="466" spans="1:8" x14ac:dyDescent="0.3">
      <c r="A466" s="1" t="s">
        <v>178</v>
      </c>
      <c r="B466" s="1" t="s">
        <v>179</v>
      </c>
      <c r="C466" s="1">
        <v>2014</v>
      </c>
      <c r="D466" s="1">
        <v>19273</v>
      </c>
      <c r="E466" s="1">
        <v>119</v>
      </c>
      <c r="F466" s="1">
        <v>204</v>
      </c>
      <c r="G466" s="1">
        <v>860857</v>
      </c>
      <c r="H466" s="1" t="s">
        <v>70</v>
      </c>
    </row>
    <row r="467" spans="1:8" x14ac:dyDescent="0.3">
      <c r="A467" s="1" t="s">
        <v>180</v>
      </c>
      <c r="B467" s="1" t="s">
        <v>181</v>
      </c>
      <c r="C467" s="1">
        <v>2014</v>
      </c>
      <c r="D467" s="1">
        <v>30741</v>
      </c>
      <c r="E467" s="1">
        <v>405</v>
      </c>
      <c r="F467" s="1">
        <v>147</v>
      </c>
      <c r="G467" s="1">
        <v>1484715</v>
      </c>
      <c r="H467" s="1" t="s">
        <v>70</v>
      </c>
    </row>
    <row r="468" spans="1:8" x14ac:dyDescent="0.3">
      <c r="A468" s="1" t="s">
        <v>182</v>
      </c>
      <c r="B468" s="1" t="s">
        <v>183</v>
      </c>
      <c r="C468" s="1">
        <v>2014</v>
      </c>
      <c r="D468" s="1">
        <v>29252</v>
      </c>
      <c r="E468" s="1">
        <v>99</v>
      </c>
      <c r="F468" s="1">
        <v>191</v>
      </c>
      <c r="G468" s="1">
        <v>3163982</v>
      </c>
      <c r="H468" s="1" t="s">
        <v>70</v>
      </c>
    </row>
    <row r="469" spans="1:8" x14ac:dyDescent="0.3">
      <c r="A469" s="1" t="s">
        <v>184</v>
      </c>
      <c r="B469" s="1" t="s">
        <v>185</v>
      </c>
      <c r="C469" s="1">
        <v>2014</v>
      </c>
      <c r="D469" s="1">
        <v>33881</v>
      </c>
      <c r="E469" s="1">
        <v>121</v>
      </c>
      <c r="F469" s="1">
        <v>305</v>
      </c>
      <c r="G469" s="1">
        <v>2993414</v>
      </c>
      <c r="H469" s="1" t="s">
        <v>70</v>
      </c>
    </row>
    <row r="470" spans="1:8" x14ac:dyDescent="0.3">
      <c r="A470" s="1" t="s">
        <v>186</v>
      </c>
      <c r="B470" s="1" t="s">
        <v>187</v>
      </c>
      <c r="C470" s="1">
        <v>2014</v>
      </c>
      <c r="D470" s="1">
        <v>12324</v>
      </c>
      <c r="E470" s="1">
        <v>100</v>
      </c>
      <c r="F470" s="1">
        <v>41</v>
      </c>
      <c r="G470" s="1">
        <v>523838</v>
      </c>
      <c r="H470" s="1" t="s">
        <v>70</v>
      </c>
    </row>
    <row r="471" spans="1:8" x14ac:dyDescent="0.3">
      <c r="A471" s="1" t="s">
        <v>188</v>
      </c>
      <c r="B471" s="1" t="s">
        <v>189</v>
      </c>
      <c r="C471" s="1">
        <v>2014</v>
      </c>
      <c r="D471" s="1">
        <v>50954</v>
      </c>
      <c r="E471" s="1">
        <v>534</v>
      </c>
      <c r="F471" s="1">
        <v>1041</v>
      </c>
      <c r="G471" s="1">
        <v>4239610</v>
      </c>
      <c r="H471" s="1" t="s">
        <v>70</v>
      </c>
    </row>
    <row r="472" spans="1:8" x14ac:dyDescent="0.3">
      <c r="A472" s="1" t="s">
        <v>190</v>
      </c>
      <c r="B472" s="1" t="s">
        <v>191</v>
      </c>
      <c r="C472" s="1">
        <v>2014</v>
      </c>
      <c r="D472" s="1">
        <v>50269</v>
      </c>
      <c r="E472" s="1">
        <v>843</v>
      </c>
      <c r="F472" s="1">
        <v>599</v>
      </c>
      <c r="G472" s="1">
        <v>4803699</v>
      </c>
      <c r="H472" s="1" t="s">
        <v>70</v>
      </c>
    </row>
    <row r="473" spans="1:8" x14ac:dyDescent="0.3">
      <c r="A473" s="1" t="s">
        <v>192</v>
      </c>
      <c r="B473" s="1" t="s">
        <v>193</v>
      </c>
      <c r="C473" s="1">
        <v>2014</v>
      </c>
      <c r="D473" s="1">
        <v>40023</v>
      </c>
      <c r="E473" s="1">
        <v>414</v>
      </c>
      <c r="F473" s="1">
        <v>271</v>
      </c>
      <c r="G473" s="1">
        <v>2506741</v>
      </c>
      <c r="H473" s="1" t="s">
        <v>70</v>
      </c>
    </row>
    <row r="474" spans="1:8" x14ac:dyDescent="0.3">
      <c r="A474" s="1" t="s">
        <v>194</v>
      </c>
      <c r="B474" s="1" t="s">
        <v>195</v>
      </c>
      <c r="C474" s="1">
        <v>2014</v>
      </c>
      <c r="D474" s="1">
        <v>37530</v>
      </c>
      <c r="E474" s="1">
        <v>218</v>
      </c>
      <c r="F474" s="1">
        <v>116</v>
      </c>
      <c r="G474" s="1">
        <v>4484633</v>
      </c>
      <c r="H474" s="1" t="s">
        <v>70</v>
      </c>
    </row>
    <row r="475" spans="1:8" x14ac:dyDescent="0.3">
      <c r="A475" s="1" t="s">
        <v>196</v>
      </c>
      <c r="B475" s="1" t="s">
        <v>197</v>
      </c>
      <c r="C475" s="1">
        <v>2014</v>
      </c>
      <c r="D475" s="1">
        <v>19074</v>
      </c>
      <c r="E475" s="1">
        <v>166</v>
      </c>
      <c r="F475" s="1">
        <v>47</v>
      </c>
      <c r="G475" s="1">
        <v>1232570</v>
      </c>
      <c r="H475" s="1" t="s">
        <v>70</v>
      </c>
    </row>
    <row r="476" spans="1:8" x14ac:dyDescent="0.3">
      <c r="A476" s="1" t="s">
        <v>198</v>
      </c>
      <c r="B476" s="1" t="s">
        <v>199</v>
      </c>
      <c r="C476" s="1">
        <v>2014</v>
      </c>
      <c r="D476" s="1">
        <v>17236</v>
      </c>
      <c r="E476" s="1">
        <v>67</v>
      </c>
      <c r="F476" s="1">
        <v>28</v>
      </c>
      <c r="G476" s="1">
        <v>740010</v>
      </c>
      <c r="H476" s="1" t="s">
        <v>70</v>
      </c>
    </row>
    <row r="477" spans="1:8" x14ac:dyDescent="0.3">
      <c r="A477" s="1" t="s">
        <v>200</v>
      </c>
      <c r="B477" s="1" t="s">
        <v>201</v>
      </c>
      <c r="C477" s="1">
        <v>2014</v>
      </c>
      <c r="D477" s="1">
        <v>27399</v>
      </c>
      <c r="E477" s="1">
        <v>134</v>
      </c>
      <c r="F477" s="1">
        <v>60</v>
      </c>
      <c r="G477" s="1">
        <v>1240329</v>
      </c>
      <c r="H477" s="1" t="s">
        <v>70</v>
      </c>
    </row>
    <row r="478" spans="1:8" x14ac:dyDescent="0.3">
      <c r="A478" s="1" t="s">
        <v>202</v>
      </c>
      <c r="B478" s="1" t="s">
        <v>203</v>
      </c>
      <c r="C478" s="1">
        <v>2014</v>
      </c>
      <c r="D478" s="1">
        <v>23780</v>
      </c>
      <c r="E478" s="1">
        <v>322</v>
      </c>
      <c r="F478" s="1">
        <v>40</v>
      </c>
      <c r="G478" s="1">
        <v>585825</v>
      </c>
      <c r="H478" s="1" t="s">
        <v>70</v>
      </c>
    </row>
    <row r="479" spans="1:8" x14ac:dyDescent="0.3">
      <c r="A479" s="1" t="s">
        <v>204</v>
      </c>
      <c r="B479" s="1" t="s">
        <v>205</v>
      </c>
      <c r="C479" s="1">
        <v>2014</v>
      </c>
      <c r="D479" s="1">
        <v>25906</v>
      </c>
      <c r="E479" s="1">
        <v>178</v>
      </c>
      <c r="F479" s="1">
        <v>49</v>
      </c>
      <c r="G479" s="1">
        <v>565074</v>
      </c>
      <c r="H479" s="1" t="s">
        <v>70</v>
      </c>
    </row>
    <row r="480" spans="1:8" x14ac:dyDescent="0.3">
      <c r="A480" s="1" t="s">
        <v>206</v>
      </c>
      <c r="B480" s="1" t="s">
        <v>207</v>
      </c>
      <c r="C480" s="1">
        <v>2014</v>
      </c>
      <c r="D480" s="1">
        <v>50191</v>
      </c>
      <c r="E480" s="1">
        <v>303</v>
      </c>
      <c r="F480" s="1">
        <v>192</v>
      </c>
      <c r="G480" s="1">
        <v>1883369</v>
      </c>
      <c r="H480" s="1" t="s">
        <v>70</v>
      </c>
    </row>
    <row r="481" spans="1:8" x14ac:dyDescent="0.3">
      <c r="A481" s="1" t="s">
        <v>208</v>
      </c>
      <c r="B481" s="1" t="s">
        <v>209</v>
      </c>
      <c r="C481" s="1">
        <v>2014</v>
      </c>
      <c r="D481" s="1">
        <v>16797</v>
      </c>
      <c r="E481" s="1">
        <v>75</v>
      </c>
      <c r="F481" s="1">
        <v>14</v>
      </c>
      <c r="G481" s="1">
        <v>242380</v>
      </c>
      <c r="H481" s="1" t="s">
        <v>70</v>
      </c>
    </row>
    <row r="482" spans="1:8" x14ac:dyDescent="0.3">
      <c r="A482" s="1" t="s">
        <v>210</v>
      </c>
      <c r="B482" s="1" t="s">
        <v>211</v>
      </c>
      <c r="C482" s="1">
        <v>2014</v>
      </c>
      <c r="D482" s="1">
        <v>29723</v>
      </c>
      <c r="E482" s="1">
        <v>282</v>
      </c>
      <c r="F482" s="1">
        <v>11</v>
      </c>
      <c r="G482" s="1">
        <v>619780</v>
      </c>
      <c r="H482" s="1" t="s">
        <v>70</v>
      </c>
    </row>
    <row r="483" spans="1:8" x14ac:dyDescent="0.3">
      <c r="A483" s="1" t="s">
        <v>212</v>
      </c>
      <c r="B483" s="1" t="s">
        <v>213</v>
      </c>
      <c r="C483" s="1">
        <v>2014</v>
      </c>
      <c r="D483" s="1">
        <v>15296</v>
      </c>
      <c r="E483" s="1">
        <v>97</v>
      </c>
      <c r="F483" s="1">
        <v>41</v>
      </c>
      <c r="G483" s="1">
        <v>495786</v>
      </c>
      <c r="H483" s="1" t="s">
        <v>70</v>
      </c>
    </row>
    <row r="484" spans="1:8" x14ac:dyDescent="0.3">
      <c r="A484" s="1" t="s">
        <v>214</v>
      </c>
      <c r="B484" s="1" t="s">
        <v>215</v>
      </c>
      <c r="C484" s="1">
        <v>2014</v>
      </c>
      <c r="D484" s="1">
        <v>42753</v>
      </c>
      <c r="E484" s="1">
        <v>273</v>
      </c>
      <c r="F484" s="1">
        <v>61</v>
      </c>
      <c r="G484" s="1">
        <v>1411986</v>
      </c>
      <c r="H484" s="1" t="s">
        <v>70</v>
      </c>
    </row>
    <row r="485" spans="1:8" x14ac:dyDescent="0.3">
      <c r="A485" s="1" t="s">
        <v>216</v>
      </c>
      <c r="B485" s="1" t="s">
        <v>217</v>
      </c>
      <c r="C485" s="1">
        <v>2014</v>
      </c>
      <c r="D485" s="1">
        <v>16311</v>
      </c>
      <c r="E485" s="1">
        <v>123</v>
      </c>
      <c r="F485" s="1">
        <v>30</v>
      </c>
      <c r="G485" s="1">
        <v>767770</v>
      </c>
      <c r="H485" s="1" t="s">
        <v>70</v>
      </c>
    </row>
    <row r="486" spans="1:8" x14ac:dyDescent="0.3">
      <c r="A486" s="1" t="s">
        <v>218</v>
      </c>
      <c r="B486" s="1" t="s">
        <v>219</v>
      </c>
      <c r="C486" s="1">
        <v>2014</v>
      </c>
      <c r="D486" s="1">
        <v>39133</v>
      </c>
      <c r="E486" s="1">
        <v>180</v>
      </c>
      <c r="F486" s="1">
        <v>149</v>
      </c>
      <c r="G486" s="1">
        <v>2034327</v>
      </c>
      <c r="H486" s="1" t="s">
        <v>70</v>
      </c>
    </row>
    <row r="487" spans="1:8" x14ac:dyDescent="0.3">
      <c r="A487" s="1" t="s">
        <v>220</v>
      </c>
      <c r="B487" s="1" t="s">
        <v>221</v>
      </c>
      <c r="C487" s="1">
        <v>2014</v>
      </c>
      <c r="D487" s="1">
        <v>12149</v>
      </c>
      <c r="E487" s="1">
        <v>117</v>
      </c>
      <c r="F487" s="1">
        <v>0</v>
      </c>
      <c r="G487" s="1">
        <v>10368</v>
      </c>
      <c r="H487" s="1" t="s">
        <v>70</v>
      </c>
    </row>
    <row r="488" spans="1:8" x14ac:dyDescent="0.3">
      <c r="A488" s="1" t="s">
        <v>222</v>
      </c>
      <c r="B488" s="1" t="s">
        <v>151</v>
      </c>
      <c r="C488" s="1">
        <v>2014</v>
      </c>
      <c r="D488" s="1">
        <v>45287</v>
      </c>
      <c r="E488" s="1">
        <v>360</v>
      </c>
      <c r="F488" s="1">
        <v>142</v>
      </c>
      <c r="G488" s="1">
        <v>2937462</v>
      </c>
      <c r="H488" s="1" t="s">
        <v>70</v>
      </c>
    </row>
    <row r="489" spans="1:8" x14ac:dyDescent="0.3">
      <c r="A489" s="1" t="s">
        <v>223</v>
      </c>
      <c r="B489" s="1" t="s">
        <v>224</v>
      </c>
      <c r="C489" s="1">
        <v>2014</v>
      </c>
      <c r="D489" s="1">
        <v>25138</v>
      </c>
      <c r="E489" s="1">
        <v>137</v>
      </c>
      <c r="F489" s="1">
        <v>44</v>
      </c>
      <c r="G489" s="1">
        <v>1144761</v>
      </c>
      <c r="H489" s="1" t="s">
        <v>70</v>
      </c>
    </row>
    <row r="490" spans="1:8" x14ac:dyDescent="0.3">
      <c r="A490" s="1" t="s">
        <v>225</v>
      </c>
      <c r="B490" s="1" t="s">
        <v>226</v>
      </c>
      <c r="C490" s="1">
        <v>2014</v>
      </c>
      <c r="D490" s="1">
        <v>13259</v>
      </c>
      <c r="E490" s="1">
        <v>141</v>
      </c>
      <c r="F490" s="1">
        <v>23</v>
      </c>
      <c r="G490" s="1">
        <v>397654</v>
      </c>
      <c r="H490" s="1" t="s">
        <v>70</v>
      </c>
    </row>
    <row r="491" spans="1:8" x14ac:dyDescent="0.3">
      <c r="A491" s="1" t="s">
        <v>227</v>
      </c>
      <c r="B491" s="1" t="s">
        <v>228</v>
      </c>
      <c r="C491" s="1">
        <v>2014</v>
      </c>
      <c r="D491" s="1">
        <v>24254</v>
      </c>
      <c r="E491" s="1">
        <v>142</v>
      </c>
      <c r="F491" s="1">
        <v>103</v>
      </c>
      <c r="G491" s="1">
        <v>1944703</v>
      </c>
      <c r="H491" s="1" t="s">
        <v>70</v>
      </c>
    </row>
    <row r="492" spans="1:8" x14ac:dyDescent="0.3">
      <c r="A492" s="1" t="s">
        <v>229</v>
      </c>
      <c r="B492" s="1" t="s">
        <v>230</v>
      </c>
      <c r="C492" s="1">
        <v>2014</v>
      </c>
      <c r="D492" s="1">
        <v>64785</v>
      </c>
      <c r="E492" s="1">
        <v>691</v>
      </c>
      <c r="F492" s="1">
        <v>312</v>
      </c>
      <c r="G492" s="1">
        <v>3300601</v>
      </c>
      <c r="H492" s="1" t="s">
        <v>70</v>
      </c>
    </row>
    <row r="493" spans="1:8" x14ac:dyDescent="0.3">
      <c r="A493" s="1" t="s">
        <v>231</v>
      </c>
      <c r="B493" s="1" t="s">
        <v>232</v>
      </c>
      <c r="C493" s="1">
        <v>2014</v>
      </c>
      <c r="D493" s="1">
        <v>11211</v>
      </c>
      <c r="E493" s="1">
        <v>82</v>
      </c>
      <c r="F493" s="1">
        <v>32</v>
      </c>
      <c r="G493" s="1">
        <v>374146</v>
      </c>
      <c r="H493" s="1" t="s">
        <v>70</v>
      </c>
    </row>
    <row r="494" spans="1:8" x14ac:dyDescent="0.3">
      <c r="A494" s="1" t="s">
        <v>233</v>
      </c>
      <c r="B494" s="1" t="s">
        <v>234</v>
      </c>
      <c r="C494" s="1">
        <v>2014</v>
      </c>
      <c r="D494" s="1">
        <v>349865</v>
      </c>
      <c r="E494" s="1">
        <v>1752</v>
      </c>
      <c r="F494" s="1">
        <v>4150</v>
      </c>
      <c r="G494" s="1">
        <v>33198881</v>
      </c>
      <c r="H494" s="1" t="s">
        <v>70</v>
      </c>
    </row>
    <row r="495" spans="1:8" x14ac:dyDescent="0.3">
      <c r="A495" s="1" t="s">
        <v>235</v>
      </c>
      <c r="B495" s="1" t="s">
        <v>236</v>
      </c>
      <c r="C495" s="1">
        <v>2014</v>
      </c>
      <c r="D495" s="1">
        <v>31158</v>
      </c>
      <c r="E495" s="1">
        <v>156</v>
      </c>
      <c r="F495" s="1">
        <v>211</v>
      </c>
      <c r="G495" s="1">
        <v>5211091</v>
      </c>
      <c r="H495" s="1" t="s">
        <v>70</v>
      </c>
    </row>
    <row r="496" spans="1:8" x14ac:dyDescent="0.3">
      <c r="A496" s="1" t="s">
        <v>237</v>
      </c>
      <c r="B496" s="1" t="s">
        <v>238</v>
      </c>
      <c r="C496" s="1">
        <v>2014</v>
      </c>
      <c r="D496" s="1">
        <v>19512</v>
      </c>
      <c r="E496" s="1">
        <v>91</v>
      </c>
      <c r="F496" s="1">
        <v>161</v>
      </c>
      <c r="G496" s="1">
        <v>913378</v>
      </c>
      <c r="H496" s="1" t="s">
        <v>70</v>
      </c>
    </row>
    <row r="497" spans="1:8" x14ac:dyDescent="0.3">
      <c r="A497" s="1" t="s">
        <v>239</v>
      </c>
      <c r="B497" s="1" t="s">
        <v>240</v>
      </c>
      <c r="C497" s="1">
        <v>2014</v>
      </c>
      <c r="D497" s="1">
        <v>31090</v>
      </c>
      <c r="E497" s="1">
        <v>489</v>
      </c>
      <c r="F497" s="1">
        <v>127</v>
      </c>
      <c r="G497" s="1">
        <v>603600</v>
      </c>
      <c r="H497" s="1" t="s">
        <v>70</v>
      </c>
    </row>
    <row r="498" spans="1:8" x14ac:dyDescent="0.3">
      <c r="A498" s="1" t="s">
        <v>241</v>
      </c>
      <c r="B498" s="1" t="s">
        <v>242</v>
      </c>
      <c r="C498" s="1">
        <v>2014</v>
      </c>
      <c r="D498" s="1">
        <v>26928</v>
      </c>
      <c r="E498" s="1">
        <v>246</v>
      </c>
      <c r="F498" s="1">
        <v>25</v>
      </c>
      <c r="G498" s="1">
        <v>379431</v>
      </c>
      <c r="H498" s="1" t="s">
        <v>70</v>
      </c>
    </row>
    <row r="499" spans="1:8" x14ac:dyDescent="0.3">
      <c r="A499" s="1" t="s">
        <v>243</v>
      </c>
      <c r="B499" s="1" t="s">
        <v>244</v>
      </c>
      <c r="C499" s="1">
        <v>2014</v>
      </c>
      <c r="D499" s="1">
        <v>43740</v>
      </c>
      <c r="E499" s="1">
        <v>236</v>
      </c>
      <c r="F499" s="1">
        <v>212</v>
      </c>
      <c r="G499" s="1">
        <v>4753774</v>
      </c>
      <c r="H499" s="1" t="s">
        <v>70</v>
      </c>
    </row>
    <row r="500" spans="1:8" x14ac:dyDescent="0.3">
      <c r="A500" s="1" t="s">
        <v>245</v>
      </c>
      <c r="B500" s="1" t="s">
        <v>246</v>
      </c>
      <c r="C500" s="1">
        <v>2014</v>
      </c>
      <c r="D500" s="1">
        <v>16378</v>
      </c>
      <c r="E500" s="1">
        <v>153</v>
      </c>
      <c r="F500" s="1">
        <v>7</v>
      </c>
      <c r="G500" s="1">
        <v>321325</v>
      </c>
      <c r="H500" s="1" t="s">
        <v>70</v>
      </c>
    </row>
    <row r="501" spans="1:8" x14ac:dyDescent="0.3">
      <c r="A501" s="1" t="s">
        <v>247</v>
      </c>
      <c r="B501" s="1" t="s">
        <v>248</v>
      </c>
      <c r="C501" s="1">
        <v>2014</v>
      </c>
      <c r="D501" s="1">
        <v>31285</v>
      </c>
      <c r="E501" s="1">
        <v>297</v>
      </c>
      <c r="F501" s="1">
        <v>62</v>
      </c>
      <c r="G501" s="1">
        <v>1303879</v>
      </c>
      <c r="H501" s="1" t="s">
        <v>70</v>
      </c>
    </row>
    <row r="502" spans="1:8" x14ac:dyDescent="0.3">
      <c r="A502" s="1" t="s">
        <v>249</v>
      </c>
      <c r="B502" s="1" t="s">
        <v>250</v>
      </c>
      <c r="C502" s="1">
        <v>2014</v>
      </c>
      <c r="D502" s="1">
        <v>82648</v>
      </c>
      <c r="E502" s="1">
        <v>1251</v>
      </c>
      <c r="F502" s="1">
        <v>167</v>
      </c>
      <c r="G502" s="1">
        <v>1183069</v>
      </c>
      <c r="H502" s="1" t="s">
        <v>70</v>
      </c>
    </row>
    <row r="503" spans="1:8" x14ac:dyDescent="0.3">
      <c r="A503" s="1" t="s">
        <v>251</v>
      </c>
      <c r="B503" s="1" t="s">
        <v>252</v>
      </c>
      <c r="C503" s="1">
        <v>2014</v>
      </c>
      <c r="D503" s="1">
        <v>33204</v>
      </c>
      <c r="E503" s="1">
        <v>402</v>
      </c>
      <c r="F503" s="1">
        <v>46</v>
      </c>
      <c r="G503" s="1">
        <v>498894</v>
      </c>
      <c r="H503" s="1" t="s">
        <v>70</v>
      </c>
    </row>
    <row r="504" spans="1:8" x14ac:dyDescent="0.3">
      <c r="A504" s="1" t="s">
        <v>253</v>
      </c>
      <c r="B504" s="1" t="s">
        <v>254</v>
      </c>
      <c r="C504" s="1">
        <v>2014</v>
      </c>
      <c r="D504" s="1">
        <v>17034</v>
      </c>
      <c r="E504" s="1">
        <v>66</v>
      </c>
      <c r="F504" s="1">
        <v>18</v>
      </c>
      <c r="G504" s="1">
        <v>179973</v>
      </c>
      <c r="H504" s="1" t="s">
        <v>70</v>
      </c>
    </row>
    <row r="505" spans="1:8" x14ac:dyDescent="0.3">
      <c r="A505" s="1" t="s">
        <v>255</v>
      </c>
      <c r="B505" s="1" t="s">
        <v>256</v>
      </c>
      <c r="C505" s="1">
        <v>2014</v>
      </c>
      <c r="D505" s="1">
        <v>33469</v>
      </c>
      <c r="E505" s="1">
        <v>411</v>
      </c>
      <c r="F505" s="1">
        <v>48</v>
      </c>
      <c r="G505" s="1">
        <v>291683</v>
      </c>
      <c r="H505" s="1" t="s">
        <v>70</v>
      </c>
    </row>
    <row r="506" spans="1:8" x14ac:dyDescent="0.3">
      <c r="A506" s="1" t="s">
        <v>257</v>
      </c>
      <c r="B506" s="1" t="s">
        <v>258</v>
      </c>
      <c r="C506" s="1">
        <v>2014</v>
      </c>
      <c r="D506" s="1">
        <v>52536</v>
      </c>
      <c r="E506" s="1">
        <v>479</v>
      </c>
      <c r="F506" s="1">
        <v>153</v>
      </c>
      <c r="G506" s="1">
        <v>1024077</v>
      </c>
      <c r="H506" s="1" t="s">
        <v>70</v>
      </c>
    </row>
    <row r="507" spans="1:8" x14ac:dyDescent="0.3">
      <c r="A507" s="1" t="s">
        <v>259</v>
      </c>
      <c r="B507" s="1" t="s">
        <v>260</v>
      </c>
      <c r="C507" s="1">
        <v>2014</v>
      </c>
      <c r="D507" s="1">
        <v>52010</v>
      </c>
      <c r="E507" s="1">
        <v>549</v>
      </c>
      <c r="F507" s="1">
        <v>71</v>
      </c>
      <c r="G507" s="1">
        <v>1194140</v>
      </c>
      <c r="H507" s="1" t="s">
        <v>70</v>
      </c>
    </row>
    <row r="508" spans="1:8" x14ac:dyDescent="0.3">
      <c r="A508" s="1" t="s">
        <v>261</v>
      </c>
      <c r="B508" s="1" t="s">
        <v>262</v>
      </c>
      <c r="C508" s="1">
        <v>2014</v>
      </c>
      <c r="D508" s="1">
        <v>37635</v>
      </c>
      <c r="E508" s="1">
        <v>192</v>
      </c>
      <c r="F508" s="1">
        <v>181</v>
      </c>
      <c r="G508" s="1">
        <v>1606261</v>
      </c>
      <c r="H508" s="1" t="s">
        <v>70</v>
      </c>
    </row>
    <row r="509" spans="1:8" x14ac:dyDescent="0.3">
      <c r="A509" s="1" t="s">
        <v>263</v>
      </c>
      <c r="B509" s="1" t="s">
        <v>264</v>
      </c>
      <c r="C509" s="1">
        <v>2014</v>
      </c>
      <c r="D509" s="1">
        <v>50530</v>
      </c>
      <c r="E509" s="1">
        <v>431</v>
      </c>
      <c r="F509" s="1">
        <v>249</v>
      </c>
      <c r="G509" s="1">
        <v>3381143</v>
      </c>
      <c r="H509" s="1" t="s">
        <v>70</v>
      </c>
    </row>
    <row r="510" spans="1:8" x14ac:dyDescent="0.3">
      <c r="A510" s="1" t="s">
        <v>265</v>
      </c>
      <c r="B510" s="1" t="s">
        <v>266</v>
      </c>
      <c r="C510" s="1">
        <v>2014</v>
      </c>
      <c r="D510" s="1">
        <v>12890</v>
      </c>
      <c r="E510" s="1">
        <v>126</v>
      </c>
      <c r="F510" s="1">
        <v>12</v>
      </c>
      <c r="G510" s="1">
        <v>431140</v>
      </c>
      <c r="H510" s="1" t="s">
        <v>70</v>
      </c>
    </row>
    <row r="511" spans="1:8" x14ac:dyDescent="0.3">
      <c r="A511" s="1" t="s">
        <v>267</v>
      </c>
      <c r="B511" s="1" t="s">
        <v>268</v>
      </c>
      <c r="C511" s="1">
        <v>2014</v>
      </c>
      <c r="D511" s="1">
        <v>24602</v>
      </c>
      <c r="E511" s="1">
        <v>223</v>
      </c>
      <c r="F511" s="1">
        <v>22</v>
      </c>
      <c r="G511" s="1">
        <v>244341</v>
      </c>
      <c r="H511" s="1" t="s">
        <v>70</v>
      </c>
    </row>
    <row r="512" spans="1:8" x14ac:dyDescent="0.3">
      <c r="A512" s="1" t="s">
        <v>269</v>
      </c>
      <c r="B512" s="1" t="s">
        <v>270</v>
      </c>
      <c r="C512" s="1">
        <v>2014</v>
      </c>
      <c r="D512" s="1">
        <v>53049</v>
      </c>
      <c r="E512" s="1">
        <v>766</v>
      </c>
      <c r="F512" s="1">
        <v>0</v>
      </c>
      <c r="G512" s="1">
        <v>456288</v>
      </c>
      <c r="H512" s="1" t="s">
        <v>70</v>
      </c>
    </row>
    <row r="513" spans="1:8" x14ac:dyDescent="0.3">
      <c r="A513" s="1" t="s">
        <v>271</v>
      </c>
      <c r="B513" s="1" t="s">
        <v>272</v>
      </c>
      <c r="C513" s="1">
        <v>2014</v>
      </c>
      <c r="D513" s="1">
        <v>24201</v>
      </c>
      <c r="E513" s="1">
        <v>263</v>
      </c>
      <c r="F513" s="1">
        <v>17</v>
      </c>
      <c r="G513" s="1">
        <v>467640</v>
      </c>
      <c r="H513" s="1" t="s">
        <v>70</v>
      </c>
    </row>
    <row r="514" spans="1:8" x14ac:dyDescent="0.3">
      <c r="A514" s="1" t="s">
        <v>273</v>
      </c>
      <c r="B514" s="1" t="s">
        <v>274</v>
      </c>
      <c r="C514" s="1">
        <v>2014</v>
      </c>
      <c r="D514" s="1">
        <v>45895</v>
      </c>
      <c r="E514" s="1">
        <v>457</v>
      </c>
      <c r="F514" s="1">
        <v>117</v>
      </c>
      <c r="G514" s="1">
        <v>1603251</v>
      </c>
      <c r="H514" s="1" t="s">
        <v>70</v>
      </c>
    </row>
    <row r="515" spans="1:8" x14ac:dyDescent="0.3">
      <c r="A515" s="1" t="s">
        <v>275</v>
      </c>
      <c r="B515" s="1" t="s">
        <v>276</v>
      </c>
      <c r="C515" s="1">
        <v>2014</v>
      </c>
      <c r="D515" s="1">
        <v>36795</v>
      </c>
      <c r="E515" s="1">
        <v>793</v>
      </c>
      <c r="F515" s="1">
        <v>454</v>
      </c>
      <c r="G515" s="1">
        <v>278084</v>
      </c>
      <c r="H515" s="1" t="s">
        <v>70</v>
      </c>
    </row>
    <row r="516" spans="1:8" x14ac:dyDescent="0.3">
      <c r="A516" s="1" t="s">
        <v>277</v>
      </c>
      <c r="B516" s="1" t="s">
        <v>278</v>
      </c>
      <c r="C516" s="1">
        <v>2014</v>
      </c>
      <c r="D516" s="1">
        <v>353610</v>
      </c>
      <c r="E516" s="1">
        <v>7346</v>
      </c>
      <c r="F516" s="1">
        <v>10883</v>
      </c>
      <c r="G516" s="1">
        <v>21246081</v>
      </c>
      <c r="H516" s="1" t="s">
        <v>70</v>
      </c>
    </row>
    <row r="517" spans="1:8" x14ac:dyDescent="0.3">
      <c r="A517" s="1" t="s">
        <v>279</v>
      </c>
      <c r="B517" s="1" t="s">
        <v>280</v>
      </c>
      <c r="C517" s="1">
        <v>2014</v>
      </c>
      <c r="D517" s="1">
        <v>29626</v>
      </c>
      <c r="E517" s="1">
        <v>249</v>
      </c>
      <c r="F517" s="1">
        <v>291</v>
      </c>
      <c r="G517" s="1">
        <v>3477459</v>
      </c>
      <c r="H517" s="1" t="s">
        <v>70</v>
      </c>
    </row>
    <row r="518" spans="1:8" x14ac:dyDescent="0.3">
      <c r="A518" s="1" t="s">
        <v>281</v>
      </c>
      <c r="B518" s="1" t="s">
        <v>282</v>
      </c>
      <c r="C518" s="1">
        <v>2014</v>
      </c>
      <c r="D518" s="1">
        <v>42896</v>
      </c>
      <c r="E518" s="1">
        <v>205</v>
      </c>
      <c r="F518" s="1">
        <v>279</v>
      </c>
      <c r="G518" s="1">
        <v>6842284</v>
      </c>
      <c r="H518" s="1" t="s">
        <v>70</v>
      </c>
    </row>
    <row r="519" spans="1:8" x14ac:dyDescent="0.3">
      <c r="A519" s="1" t="s">
        <v>283</v>
      </c>
      <c r="B519" s="1" t="s">
        <v>284</v>
      </c>
      <c r="C519" s="1">
        <v>2014</v>
      </c>
      <c r="D519" s="1">
        <v>11668</v>
      </c>
      <c r="E519" s="1">
        <v>103</v>
      </c>
      <c r="F519" s="1">
        <v>7</v>
      </c>
      <c r="G519" s="1">
        <v>141095</v>
      </c>
      <c r="H519" s="1" t="s">
        <v>70</v>
      </c>
    </row>
    <row r="520" spans="1:8" x14ac:dyDescent="0.3">
      <c r="A520" s="1" t="s">
        <v>285</v>
      </c>
      <c r="B520" s="1" t="s">
        <v>286</v>
      </c>
      <c r="C520" s="1">
        <v>2014</v>
      </c>
      <c r="D520" s="1">
        <v>30721</v>
      </c>
      <c r="E520" s="1">
        <v>357</v>
      </c>
      <c r="F520" s="1">
        <v>245</v>
      </c>
      <c r="G520" s="1">
        <v>3189383</v>
      </c>
      <c r="H520" s="1" t="s">
        <v>70</v>
      </c>
    </row>
    <row r="521" spans="1:8" x14ac:dyDescent="0.3">
      <c r="A521" s="1" t="s">
        <v>287</v>
      </c>
      <c r="B521" s="1" t="s">
        <v>288</v>
      </c>
      <c r="C521" s="1">
        <v>2014</v>
      </c>
      <c r="D521" s="1">
        <v>34110</v>
      </c>
      <c r="E521" s="1">
        <v>316</v>
      </c>
      <c r="F521" s="1">
        <v>6</v>
      </c>
      <c r="G521" s="1">
        <v>486316</v>
      </c>
      <c r="H521" s="1" t="s">
        <v>70</v>
      </c>
    </row>
    <row r="522" spans="1:8" x14ac:dyDescent="0.3">
      <c r="A522" s="1" t="s">
        <v>289</v>
      </c>
      <c r="B522" s="1" t="s">
        <v>290</v>
      </c>
      <c r="C522" s="1">
        <v>2014</v>
      </c>
      <c r="D522" s="1">
        <v>15986</v>
      </c>
      <c r="E522" s="1">
        <v>96</v>
      </c>
      <c r="F522" s="1">
        <v>30</v>
      </c>
      <c r="G522" s="1">
        <v>1040602</v>
      </c>
      <c r="H522" s="1" t="s">
        <v>70</v>
      </c>
    </row>
    <row r="523" spans="1:8" x14ac:dyDescent="0.3">
      <c r="A523" s="1" t="s">
        <v>291</v>
      </c>
      <c r="B523" s="1" t="s">
        <v>292</v>
      </c>
      <c r="C523" s="1">
        <v>2014</v>
      </c>
      <c r="D523" s="1">
        <v>34040</v>
      </c>
      <c r="E523" s="1">
        <v>981</v>
      </c>
      <c r="F523" s="1">
        <v>54</v>
      </c>
      <c r="G523" s="1">
        <v>1239805</v>
      </c>
      <c r="H523" s="1" t="s">
        <v>70</v>
      </c>
    </row>
    <row r="524" spans="1:8" x14ac:dyDescent="0.3">
      <c r="A524" s="1" t="s">
        <v>293</v>
      </c>
      <c r="B524" s="1" t="s">
        <v>294</v>
      </c>
      <c r="C524" s="1">
        <v>2014</v>
      </c>
      <c r="D524" s="1">
        <v>35756</v>
      </c>
      <c r="E524" s="1">
        <v>401</v>
      </c>
      <c r="F524" s="1">
        <v>10</v>
      </c>
      <c r="G524" s="1">
        <v>746717</v>
      </c>
      <c r="H524" s="1" t="s">
        <v>70</v>
      </c>
    </row>
    <row r="525" spans="1:8" x14ac:dyDescent="0.3">
      <c r="A525" s="1" t="s">
        <v>295</v>
      </c>
      <c r="B525" s="1" t="s">
        <v>296</v>
      </c>
      <c r="C525" s="1">
        <v>2014</v>
      </c>
      <c r="D525" s="1">
        <v>21762</v>
      </c>
      <c r="E525" s="1">
        <v>156</v>
      </c>
      <c r="F525" s="1">
        <v>75</v>
      </c>
      <c r="G525" s="1">
        <v>656168</v>
      </c>
      <c r="H525" s="1" t="s">
        <v>70</v>
      </c>
    </row>
    <row r="526" spans="1:8" x14ac:dyDescent="0.3">
      <c r="A526" s="1" t="s">
        <v>297</v>
      </c>
      <c r="B526" s="1" t="s">
        <v>298</v>
      </c>
      <c r="C526" s="1">
        <v>2014</v>
      </c>
      <c r="D526" s="1">
        <v>42536</v>
      </c>
      <c r="E526" s="1">
        <v>692</v>
      </c>
      <c r="F526" s="1">
        <v>275</v>
      </c>
      <c r="G526" s="1">
        <v>1276524</v>
      </c>
      <c r="H526" s="1" t="s">
        <v>70</v>
      </c>
    </row>
    <row r="527" spans="1:8" x14ac:dyDescent="0.3">
      <c r="A527" s="1" t="s">
        <v>299</v>
      </c>
      <c r="B527" s="1" t="s">
        <v>300</v>
      </c>
      <c r="C527" s="1">
        <v>2014</v>
      </c>
      <c r="D527" s="1">
        <v>13127</v>
      </c>
      <c r="E527" s="1">
        <v>79</v>
      </c>
      <c r="F527" s="1">
        <v>0</v>
      </c>
      <c r="G527" s="1">
        <v>139208</v>
      </c>
      <c r="H527" s="1" t="s">
        <v>70</v>
      </c>
    </row>
    <row r="528" spans="1:8" x14ac:dyDescent="0.3">
      <c r="A528" s="1" t="s">
        <v>301</v>
      </c>
      <c r="B528" s="1" t="s">
        <v>302</v>
      </c>
      <c r="C528" s="1">
        <v>2014</v>
      </c>
      <c r="D528" s="1">
        <v>11353</v>
      </c>
      <c r="E528" s="1">
        <v>50</v>
      </c>
      <c r="F528" s="1">
        <v>7</v>
      </c>
      <c r="G528" s="1">
        <v>299143</v>
      </c>
      <c r="H528" s="1" t="s">
        <v>70</v>
      </c>
    </row>
    <row r="529" spans="1:8" x14ac:dyDescent="0.3">
      <c r="A529" s="1" t="s">
        <v>303</v>
      </c>
      <c r="B529" s="1" t="s">
        <v>304</v>
      </c>
      <c r="C529" s="1">
        <v>2014</v>
      </c>
      <c r="D529" s="1">
        <v>14973</v>
      </c>
      <c r="E529" s="1">
        <v>88</v>
      </c>
      <c r="F529" s="1">
        <v>0</v>
      </c>
      <c r="G529" s="1">
        <v>737711</v>
      </c>
      <c r="H529" s="1" t="s">
        <v>70</v>
      </c>
    </row>
    <row r="530" spans="1:8" x14ac:dyDescent="0.3">
      <c r="A530" s="1" t="s">
        <v>305</v>
      </c>
      <c r="B530" s="1" t="s">
        <v>306</v>
      </c>
      <c r="C530" s="1">
        <v>2014</v>
      </c>
      <c r="D530" s="1">
        <v>54114</v>
      </c>
      <c r="E530" s="1">
        <v>850</v>
      </c>
      <c r="F530" s="1">
        <v>483</v>
      </c>
      <c r="G530" s="1">
        <v>1112564</v>
      </c>
      <c r="H530" s="1" t="s">
        <v>70</v>
      </c>
    </row>
    <row r="531" spans="1:8" x14ac:dyDescent="0.3">
      <c r="A531" s="1" t="s">
        <v>307</v>
      </c>
      <c r="B531" s="1" t="s">
        <v>308</v>
      </c>
      <c r="C531" s="1">
        <v>2014</v>
      </c>
      <c r="D531" s="1">
        <v>24616</v>
      </c>
      <c r="E531" s="1">
        <v>301</v>
      </c>
      <c r="F531" s="1">
        <v>200</v>
      </c>
      <c r="G531" s="1">
        <v>1132526</v>
      </c>
      <c r="H531" s="1" t="s">
        <v>70</v>
      </c>
    </row>
    <row r="532" spans="1:8" x14ac:dyDescent="0.3">
      <c r="A532" s="1" t="s">
        <v>309</v>
      </c>
      <c r="B532" s="1" t="s">
        <v>310</v>
      </c>
      <c r="C532" s="1">
        <v>2014</v>
      </c>
      <c r="D532" s="1">
        <v>28646</v>
      </c>
      <c r="E532" s="1">
        <v>331</v>
      </c>
      <c r="F532" s="1">
        <v>265</v>
      </c>
      <c r="G532" s="1">
        <v>1196095</v>
      </c>
      <c r="H532" s="1" t="s">
        <v>70</v>
      </c>
    </row>
    <row r="533" spans="1:8" x14ac:dyDescent="0.3">
      <c r="A533" s="1" t="s">
        <v>311</v>
      </c>
      <c r="B533" s="1" t="s">
        <v>312</v>
      </c>
      <c r="C533" s="1">
        <v>2014</v>
      </c>
      <c r="D533" s="1">
        <v>23951</v>
      </c>
      <c r="E533" s="1">
        <v>317</v>
      </c>
      <c r="F533" s="1">
        <v>0</v>
      </c>
      <c r="G533" s="1">
        <v>308142</v>
      </c>
      <c r="H533" s="1" t="s">
        <v>70</v>
      </c>
    </row>
    <row r="534" spans="1:8" x14ac:dyDescent="0.3">
      <c r="A534" s="1" t="s">
        <v>313</v>
      </c>
      <c r="B534" s="1" t="s">
        <v>314</v>
      </c>
      <c r="C534" s="1">
        <v>2014</v>
      </c>
      <c r="D534" s="1">
        <v>24429</v>
      </c>
      <c r="E534" s="1">
        <v>193</v>
      </c>
      <c r="F534" s="1">
        <v>23</v>
      </c>
      <c r="G534" s="1">
        <v>881035</v>
      </c>
      <c r="H534" s="1" t="s">
        <v>70</v>
      </c>
    </row>
    <row r="535" spans="1:8" x14ac:dyDescent="0.3">
      <c r="A535" s="1" t="s">
        <v>315</v>
      </c>
      <c r="B535" s="1" t="s">
        <v>316</v>
      </c>
      <c r="C535" s="1">
        <v>2014</v>
      </c>
      <c r="D535" s="1">
        <v>45812</v>
      </c>
      <c r="E535" s="1">
        <v>617</v>
      </c>
      <c r="F535" s="1">
        <v>193</v>
      </c>
      <c r="G535" s="1">
        <v>1273036</v>
      </c>
      <c r="H535" s="1" t="s">
        <v>70</v>
      </c>
    </row>
    <row r="536" spans="1:8" x14ac:dyDescent="0.3">
      <c r="A536" s="1" t="s">
        <v>317</v>
      </c>
      <c r="B536" s="1" t="s">
        <v>318</v>
      </c>
      <c r="C536" s="1">
        <v>2014</v>
      </c>
      <c r="D536" s="1">
        <v>71477</v>
      </c>
      <c r="E536" s="1">
        <v>1505</v>
      </c>
      <c r="F536" s="1">
        <v>810</v>
      </c>
      <c r="G536" s="1">
        <v>1664799</v>
      </c>
      <c r="H536" s="1" t="s">
        <v>70</v>
      </c>
    </row>
    <row r="537" spans="1:8" x14ac:dyDescent="0.3">
      <c r="A537" s="1" t="s">
        <v>319</v>
      </c>
      <c r="B537" s="1" t="s">
        <v>320</v>
      </c>
      <c r="C537" s="1">
        <v>2014</v>
      </c>
      <c r="D537" s="1">
        <v>34070</v>
      </c>
      <c r="E537" s="1">
        <v>457</v>
      </c>
      <c r="F537" s="1">
        <v>34</v>
      </c>
      <c r="G537" s="1">
        <v>555016</v>
      </c>
      <c r="H537" s="1" t="s">
        <v>70</v>
      </c>
    </row>
    <row r="538" spans="1:8" x14ac:dyDescent="0.3">
      <c r="A538" s="1" t="s">
        <v>321</v>
      </c>
      <c r="B538" s="1" t="s">
        <v>322</v>
      </c>
      <c r="C538" s="1">
        <v>2014</v>
      </c>
      <c r="D538" s="1">
        <v>29646</v>
      </c>
      <c r="E538" s="1">
        <v>275</v>
      </c>
      <c r="F538" s="1">
        <v>125</v>
      </c>
      <c r="G538" s="1">
        <v>1311416</v>
      </c>
      <c r="H538" s="1" t="s">
        <v>70</v>
      </c>
    </row>
    <row r="539" spans="1:8" x14ac:dyDescent="0.3">
      <c r="A539" s="1" t="s">
        <v>323</v>
      </c>
      <c r="B539" s="1" t="s">
        <v>324</v>
      </c>
      <c r="C539" s="1">
        <v>2014</v>
      </c>
      <c r="D539" s="1">
        <v>60833</v>
      </c>
      <c r="E539" s="1">
        <v>419</v>
      </c>
      <c r="F539" s="1">
        <v>713</v>
      </c>
      <c r="G539" s="1">
        <v>2047388</v>
      </c>
      <c r="H539" s="1" t="s">
        <v>70</v>
      </c>
    </row>
    <row r="540" spans="1:8" x14ac:dyDescent="0.3">
      <c r="A540" s="1" t="s">
        <v>325</v>
      </c>
      <c r="B540" s="1" t="s">
        <v>326</v>
      </c>
      <c r="C540" s="1">
        <v>2014</v>
      </c>
      <c r="D540" s="1">
        <v>15885</v>
      </c>
      <c r="E540" s="1">
        <v>84</v>
      </c>
      <c r="F540" s="1">
        <v>65</v>
      </c>
      <c r="G540" s="1">
        <v>744446</v>
      </c>
      <c r="H540" s="1" t="s">
        <v>70</v>
      </c>
    </row>
    <row r="541" spans="1:8" x14ac:dyDescent="0.3">
      <c r="A541" s="1" t="s">
        <v>327</v>
      </c>
      <c r="B541" s="1" t="s">
        <v>328</v>
      </c>
      <c r="C541" s="1">
        <v>2014</v>
      </c>
      <c r="D541" s="1">
        <v>14597</v>
      </c>
      <c r="E541" s="1">
        <v>72</v>
      </c>
      <c r="F541" s="1">
        <v>8</v>
      </c>
      <c r="G541" s="1">
        <v>82970</v>
      </c>
      <c r="H541" s="1" t="s">
        <v>70</v>
      </c>
    </row>
    <row r="542" spans="1:8" x14ac:dyDescent="0.3">
      <c r="A542" s="1" t="s">
        <v>329</v>
      </c>
      <c r="B542" s="1" t="s">
        <v>330</v>
      </c>
      <c r="C542" s="1">
        <v>2014</v>
      </c>
      <c r="D542" s="1">
        <v>18032</v>
      </c>
      <c r="E542" s="1">
        <v>142</v>
      </c>
      <c r="F542" s="1">
        <v>78</v>
      </c>
      <c r="G542" s="1">
        <v>1485846</v>
      </c>
      <c r="H542" s="1" t="s">
        <v>70</v>
      </c>
    </row>
    <row r="543" spans="1:8" x14ac:dyDescent="0.3">
      <c r="A543" s="1" t="s">
        <v>331</v>
      </c>
      <c r="B543" s="1" t="s">
        <v>332</v>
      </c>
      <c r="C543" s="1">
        <v>2014</v>
      </c>
      <c r="D543" s="1">
        <v>44576</v>
      </c>
      <c r="E543" s="1">
        <v>520</v>
      </c>
      <c r="F543" s="1">
        <v>34</v>
      </c>
      <c r="G543" s="1">
        <v>1072846</v>
      </c>
      <c r="H543" s="1" t="s">
        <v>70</v>
      </c>
    </row>
    <row r="544" spans="1:8" x14ac:dyDescent="0.3">
      <c r="A544" s="1" t="s">
        <v>333</v>
      </c>
      <c r="B544" s="1" t="s">
        <v>334</v>
      </c>
      <c r="C544" s="1">
        <v>2014</v>
      </c>
      <c r="D544" s="1">
        <v>25829</v>
      </c>
      <c r="E544" s="1">
        <v>192</v>
      </c>
      <c r="F544" s="1">
        <v>5</v>
      </c>
      <c r="G544" s="1">
        <v>118879</v>
      </c>
      <c r="H544" s="1" t="s">
        <v>70</v>
      </c>
    </row>
    <row r="545" spans="1:8" x14ac:dyDescent="0.3">
      <c r="A545" s="1" t="s">
        <v>335</v>
      </c>
      <c r="B545" s="1" t="s">
        <v>336</v>
      </c>
      <c r="C545" s="1">
        <v>2014</v>
      </c>
      <c r="D545" s="1">
        <v>16565</v>
      </c>
      <c r="E545" s="1">
        <v>71</v>
      </c>
      <c r="F545" s="1">
        <v>25</v>
      </c>
      <c r="G545" s="1">
        <v>1495629</v>
      </c>
      <c r="H545" s="1" t="s">
        <v>70</v>
      </c>
    </row>
    <row r="546" spans="1:8" x14ac:dyDescent="0.3">
      <c r="A546" s="1" t="s">
        <v>337</v>
      </c>
      <c r="B546" s="1" t="s">
        <v>338</v>
      </c>
      <c r="C546" s="1">
        <v>2014</v>
      </c>
      <c r="D546" s="1">
        <v>28967</v>
      </c>
      <c r="E546" s="1">
        <v>209</v>
      </c>
      <c r="F546" s="1">
        <v>183</v>
      </c>
      <c r="G546" s="1">
        <v>1438364</v>
      </c>
      <c r="H546" s="1" t="s">
        <v>70</v>
      </c>
    </row>
    <row r="547" spans="1:8" x14ac:dyDescent="0.3">
      <c r="A547" s="1" t="s">
        <v>339</v>
      </c>
      <c r="B547" s="1" t="s">
        <v>340</v>
      </c>
      <c r="C547" s="1">
        <v>2014</v>
      </c>
      <c r="D547" s="1">
        <v>20846</v>
      </c>
      <c r="E547" s="1">
        <v>275</v>
      </c>
      <c r="F547" s="1">
        <v>91</v>
      </c>
      <c r="G547" s="1">
        <v>363038</v>
      </c>
      <c r="H547" s="1" t="s">
        <v>70</v>
      </c>
    </row>
    <row r="548" spans="1:8" x14ac:dyDescent="0.3">
      <c r="A548" s="1" t="s">
        <v>341</v>
      </c>
      <c r="B548" s="1" t="s">
        <v>342</v>
      </c>
      <c r="C548" s="1">
        <v>2014</v>
      </c>
      <c r="D548" s="1">
        <v>12983</v>
      </c>
      <c r="E548" s="1">
        <v>111</v>
      </c>
      <c r="F548" s="1">
        <v>28</v>
      </c>
      <c r="G548" s="1">
        <v>437205</v>
      </c>
      <c r="H548" s="1" t="s">
        <v>70</v>
      </c>
    </row>
    <row r="549" spans="1:8" x14ac:dyDescent="0.3">
      <c r="A549" s="1" t="s">
        <v>343</v>
      </c>
      <c r="B549" s="1" t="s">
        <v>344</v>
      </c>
      <c r="C549" s="1">
        <v>2014</v>
      </c>
      <c r="D549" s="1">
        <v>42374</v>
      </c>
      <c r="E549" s="1">
        <v>907</v>
      </c>
      <c r="F549" s="1">
        <v>491</v>
      </c>
      <c r="G549" s="1">
        <v>370811</v>
      </c>
      <c r="H549" s="1" t="s">
        <v>70</v>
      </c>
    </row>
    <row r="550" spans="1:8" x14ac:dyDescent="0.3">
      <c r="A550" s="1" t="s">
        <v>345</v>
      </c>
      <c r="B550" s="1" t="s">
        <v>346</v>
      </c>
      <c r="C550" s="1">
        <v>2014</v>
      </c>
      <c r="D550" s="1">
        <v>24275</v>
      </c>
      <c r="E550" s="1">
        <v>165</v>
      </c>
      <c r="F550" s="1">
        <v>22</v>
      </c>
      <c r="G550" s="1">
        <v>1153598</v>
      </c>
      <c r="H550" s="1" t="s">
        <v>70</v>
      </c>
    </row>
    <row r="551" spans="1:8" x14ac:dyDescent="0.3">
      <c r="A551" s="1" t="s">
        <v>347</v>
      </c>
      <c r="B551" s="1" t="s">
        <v>348</v>
      </c>
      <c r="C551" s="1">
        <v>2014</v>
      </c>
      <c r="D551" s="1">
        <v>79196</v>
      </c>
      <c r="E551" s="1">
        <v>1989</v>
      </c>
      <c r="F551" s="1">
        <v>623</v>
      </c>
      <c r="G551" s="1">
        <v>2428422</v>
      </c>
      <c r="H551" s="1" t="s">
        <v>70</v>
      </c>
    </row>
    <row r="552" spans="1:8" x14ac:dyDescent="0.3">
      <c r="A552" s="1" t="s">
        <v>349</v>
      </c>
      <c r="B552" s="1" t="s">
        <v>350</v>
      </c>
      <c r="C552" s="1">
        <v>2014</v>
      </c>
      <c r="D552" s="1">
        <v>22668</v>
      </c>
      <c r="E552" s="1">
        <v>240</v>
      </c>
      <c r="F552" s="1">
        <v>53</v>
      </c>
      <c r="G552" s="1">
        <v>516921</v>
      </c>
      <c r="H552" s="1" t="s">
        <v>70</v>
      </c>
    </row>
    <row r="553" spans="1:8" x14ac:dyDescent="0.3">
      <c r="A553" s="1" t="s">
        <v>351</v>
      </c>
      <c r="B553" s="1" t="s">
        <v>352</v>
      </c>
      <c r="C553" s="1">
        <v>2014</v>
      </c>
      <c r="D553" s="1">
        <v>12079</v>
      </c>
      <c r="E553" s="1">
        <v>105</v>
      </c>
      <c r="F553" s="1">
        <v>7</v>
      </c>
      <c r="G553" s="1">
        <v>148945</v>
      </c>
      <c r="H553" s="1" t="s">
        <v>70</v>
      </c>
    </row>
    <row r="554" spans="1:8" x14ac:dyDescent="0.3">
      <c r="A554" s="1" t="s">
        <v>353</v>
      </c>
      <c r="B554" s="1" t="s">
        <v>354</v>
      </c>
      <c r="C554" s="1">
        <v>2014</v>
      </c>
      <c r="D554" s="1">
        <v>11976</v>
      </c>
      <c r="E554" s="1">
        <v>126</v>
      </c>
      <c r="F554" s="1">
        <v>83</v>
      </c>
      <c r="G554" s="1">
        <v>650224</v>
      </c>
      <c r="H554" s="1" t="s">
        <v>70</v>
      </c>
    </row>
    <row r="555" spans="1:8" x14ac:dyDescent="0.3">
      <c r="A555" s="1" t="s">
        <v>355</v>
      </c>
      <c r="B555" s="1" t="s">
        <v>356</v>
      </c>
      <c r="C555" s="1">
        <v>2014</v>
      </c>
      <c r="D555" s="1">
        <v>30255</v>
      </c>
      <c r="E555" s="1">
        <v>375</v>
      </c>
      <c r="F555" s="1">
        <v>223</v>
      </c>
      <c r="G555" s="1">
        <v>2461522</v>
      </c>
      <c r="H555" s="1" t="s">
        <v>70</v>
      </c>
    </row>
    <row r="556" spans="1:8" x14ac:dyDescent="0.3">
      <c r="A556" s="1" t="s">
        <v>357</v>
      </c>
      <c r="B556" s="1" t="s">
        <v>358</v>
      </c>
      <c r="C556" s="1">
        <v>2014</v>
      </c>
      <c r="D556" s="1">
        <v>18772</v>
      </c>
      <c r="E556" s="1">
        <v>131</v>
      </c>
      <c r="F556" s="1">
        <v>169</v>
      </c>
      <c r="G556" s="1">
        <v>2606366</v>
      </c>
      <c r="H556" s="1" t="s">
        <v>70</v>
      </c>
    </row>
    <row r="557" spans="1:8" x14ac:dyDescent="0.3">
      <c r="A557" s="1" t="s">
        <v>359</v>
      </c>
      <c r="B557" s="1" t="s">
        <v>360</v>
      </c>
      <c r="C557" s="1">
        <v>2014</v>
      </c>
      <c r="D557" s="1">
        <v>50088</v>
      </c>
      <c r="E557" s="1">
        <v>554</v>
      </c>
      <c r="F557" s="1">
        <v>589</v>
      </c>
      <c r="G557" s="1">
        <v>7409570</v>
      </c>
      <c r="H557" s="1" t="s">
        <v>70</v>
      </c>
    </row>
    <row r="558" spans="1:8" x14ac:dyDescent="0.3">
      <c r="A558" s="1" t="s">
        <v>361</v>
      </c>
      <c r="B558" s="1" t="s">
        <v>362</v>
      </c>
      <c r="C558" s="1">
        <v>2014</v>
      </c>
      <c r="D558" s="1">
        <v>82102</v>
      </c>
      <c r="E558" s="1">
        <v>342</v>
      </c>
      <c r="F558" s="1">
        <v>424</v>
      </c>
      <c r="G558" s="1">
        <v>11064707</v>
      </c>
      <c r="H558" s="1" t="s">
        <v>70</v>
      </c>
    </row>
    <row r="559" spans="1:8" x14ac:dyDescent="0.3">
      <c r="A559" s="1" t="s">
        <v>363</v>
      </c>
      <c r="B559" s="1" t="s">
        <v>364</v>
      </c>
      <c r="C559" s="1">
        <v>2014</v>
      </c>
      <c r="D559" s="1">
        <v>31198</v>
      </c>
      <c r="E559" s="1">
        <v>512</v>
      </c>
      <c r="F559" s="1">
        <v>458</v>
      </c>
      <c r="G559" s="1">
        <v>2465423</v>
      </c>
      <c r="H559" s="1" t="s">
        <v>70</v>
      </c>
    </row>
    <row r="560" spans="1:8" x14ac:dyDescent="0.3">
      <c r="A560" s="1" t="s">
        <v>365</v>
      </c>
      <c r="B560" s="1" t="s">
        <v>366</v>
      </c>
      <c r="C560" s="1">
        <v>2014</v>
      </c>
      <c r="D560" s="1">
        <v>899950</v>
      </c>
      <c r="E560" s="1">
        <v>14964</v>
      </c>
      <c r="F560" s="1">
        <v>13937</v>
      </c>
      <c r="G560" s="1">
        <v>39475748</v>
      </c>
      <c r="H560" s="1" t="s">
        <v>70</v>
      </c>
    </row>
    <row r="561" spans="1:8" x14ac:dyDescent="0.3">
      <c r="A561" s="1" t="s">
        <v>367</v>
      </c>
      <c r="B561" s="1" t="s">
        <v>242</v>
      </c>
      <c r="C561" s="1">
        <v>2014</v>
      </c>
      <c r="D561" s="1">
        <v>32104</v>
      </c>
      <c r="E561" s="1">
        <v>197</v>
      </c>
      <c r="F561" s="1">
        <v>301</v>
      </c>
      <c r="G561" s="1">
        <v>2192221</v>
      </c>
      <c r="H561" s="1" t="s">
        <v>70</v>
      </c>
    </row>
    <row r="562" spans="1:8" x14ac:dyDescent="0.3">
      <c r="A562" s="1" t="s">
        <v>368</v>
      </c>
      <c r="B562" s="1" t="s">
        <v>369</v>
      </c>
      <c r="C562" s="1">
        <v>2014</v>
      </c>
      <c r="D562" s="1">
        <v>17108</v>
      </c>
      <c r="E562" s="1">
        <v>37</v>
      </c>
      <c r="F562" s="1">
        <v>83</v>
      </c>
      <c r="G562" s="1">
        <v>1021846</v>
      </c>
      <c r="H562" s="1" t="s">
        <v>70</v>
      </c>
    </row>
    <row r="563" spans="1:8" x14ac:dyDescent="0.3">
      <c r="A563" s="1" t="s">
        <v>370</v>
      </c>
      <c r="B563" s="1" t="s">
        <v>371</v>
      </c>
      <c r="C563" s="1">
        <v>2014</v>
      </c>
      <c r="D563" s="1">
        <v>35914</v>
      </c>
      <c r="E563" s="1">
        <v>71</v>
      </c>
      <c r="F563" s="1">
        <v>266</v>
      </c>
      <c r="G563" s="1">
        <v>2872920</v>
      </c>
      <c r="H563" s="1" t="s">
        <v>70</v>
      </c>
    </row>
    <row r="564" spans="1:8" x14ac:dyDescent="0.3">
      <c r="A564" s="1" t="s">
        <v>372</v>
      </c>
      <c r="B564" s="1" t="s">
        <v>373</v>
      </c>
      <c r="C564" s="1">
        <v>2014</v>
      </c>
      <c r="D564" s="1">
        <v>22693</v>
      </c>
      <c r="E564" s="1">
        <v>107</v>
      </c>
      <c r="F564" s="1">
        <v>147</v>
      </c>
      <c r="G564" s="1">
        <v>1307151</v>
      </c>
      <c r="H564" s="1" t="s">
        <v>70</v>
      </c>
    </row>
    <row r="565" spans="1:8" x14ac:dyDescent="0.3">
      <c r="A565" s="1" t="s">
        <v>374</v>
      </c>
      <c r="B565" s="1" t="s">
        <v>375</v>
      </c>
      <c r="C565" s="1">
        <v>2014</v>
      </c>
      <c r="D565" s="1">
        <v>20988</v>
      </c>
      <c r="E565" s="1">
        <v>60</v>
      </c>
      <c r="F565" s="1">
        <v>129</v>
      </c>
      <c r="G565" s="1">
        <v>1002414</v>
      </c>
      <c r="H565" s="1" t="s">
        <v>70</v>
      </c>
    </row>
    <row r="566" spans="1:8" x14ac:dyDescent="0.3">
      <c r="A566" s="1" t="s">
        <v>376</v>
      </c>
      <c r="B566" s="1" t="s">
        <v>377</v>
      </c>
      <c r="C566" s="1">
        <v>2014</v>
      </c>
      <c r="D566" s="1">
        <v>14808</v>
      </c>
      <c r="E566" s="1">
        <v>218</v>
      </c>
      <c r="F566" s="1">
        <v>146</v>
      </c>
      <c r="G566" s="1">
        <v>592166</v>
      </c>
      <c r="H566" s="1" t="s">
        <v>70</v>
      </c>
    </row>
    <row r="567" spans="1:8" x14ac:dyDescent="0.3">
      <c r="A567" s="1" t="s">
        <v>378</v>
      </c>
      <c r="B567" s="1" t="s">
        <v>379</v>
      </c>
      <c r="C567" s="1">
        <v>2014</v>
      </c>
      <c r="D567" s="1">
        <v>48466</v>
      </c>
      <c r="E567" s="1">
        <v>202</v>
      </c>
      <c r="F567" s="1">
        <v>219</v>
      </c>
      <c r="G567" s="1">
        <v>2415405</v>
      </c>
      <c r="H567" s="1" t="s">
        <v>70</v>
      </c>
    </row>
    <row r="568" spans="1:8" x14ac:dyDescent="0.3">
      <c r="A568" s="1" t="s">
        <v>380</v>
      </c>
      <c r="B568" s="1" t="s">
        <v>381</v>
      </c>
      <c r="C568" s="1">
        <v>2014</v>
      </c>
      <c r="D568" s="1">
        <v>20746</v>
      </c>
      <c r="E568" s="1">
        <v>111</v>
      </c>
      <c r="F568" s="1">
        <v>35</v>
      </c>
      <c r="G568" s="1">
        <v>620704</v>
      </c>
      <c r="H568" s="1" t="s">
        <v>70</v>
      </c>
    </row>
    <row r="569" spans="1:8" x14ac:dyDescent="0.3">
      <c r="A569" s="1" t="s">
        <v>382</v>
      </c>
      <c r="B569" s="1" t="s">
        <v>140</v>
      </c>
      <c r="C569" s="1">
        <v>2014</v>
      </c>
      <c r="D569" s="1">
        <v>41721</v>
      </c>
      <c r="E569" s="1">
        <v>401</v>
      </c>
      <c r="F569" s="1">
        <v>80</v>
      </c>
      <c r="G569" s="1">
        <v>930650</v>
      </c>
      <c r="H569" s="1" t="s">
        <v>70</v>
      </c>
    </row>
    <row r="570" spans="1:8" x14ac:dyDescent="0.3">
      <c r="A570" s="1" t="s">
        <v>383</v>
      </c>
      <c r="B570" s="1" t="s">
        <v>384</v>
      </c>
      <c r="C570" s="1">
        <v>2014</v>
      </c>
      <c r="D570" s="1">
        <v>20201</v>
      </c>
      <c r="E570" s="1">
        <v>26</v>
      </c>
      <c r="F570" s="1">
        <v>84</v>
      </c>
      <c r="G570" s="1">
        <v>1683226</v>
      </c>
      <c r="H570" s="1" t="s">
        <v>70</v>
      </c>
    </row>
    <row r="571" spans="1:8" x14ac:dyDescent="0.3">
      <c r="A571" s="1" t="s">
        <v>385</v>
      </c>
      <c r="B571" s="1" t="s">
        <v>386</v>
      </c>
      <c r="C571" s="1">
        <v>2014</v>
      </c>
      <c r="D571" s="1">
        <v>24128</v>
      </c>
      <c r="E571" s="1">
        <v>54</v>
      </c>
      <c r="F571" s="1">
        <v>96</v>
      </c>
      <c r="G571" s="1">
        <v>1473841</v>
      </c>
      <c r="H571" s="1" t="s">
        <v>70</v>
      </c>
    </row>
    <row r="572" spans="1:8" x14ac:dyDescent="0.3">
      <c r="A572" s="1" t="s">
        <v>387</v>
      </c>
      <c r="B572" s="1" t="s">
        <v>388</v>
      </c>
      <c r="C572" s="1">
        <v>2014</v>
      </c>
      <c r="D572" s="1">
        <v>51338</v>
      </c>
      <c r="E572" s="1">
        <v>449</v>
      </c>
      <c r="F572" s="1">
        <v>883</v>
      </c>
      <c r="G572" s="1">
        <v>2248113</v>
      </c>
      <c r="H572" s="1" t="s">
        <v>70</v>
      </c>
    </row>
    <row r="573" spans="1:8" x14ac:dyDescent="0.3">
      <c r="A573" s="1" t="s">
        <v>389</v>
      </c>
      <c r="B573" s="1" t="s">
        <v>390</v>
      </c>
      <c r="C573" s="1">
        <v>2014</v>
      </c>
      <c r="D573" s="1">
        <v>6719</v>
      </c>
      <c r="E573" s="1">
        <v>73</v>
      </c>
      <c r="F573" s="1">
        <v>62</v>
      </c>
      <c r="G573" s="1">
        <v>1137980</v>
      </c>
      <c r="H573" s="1" t="s">
        <v>70</v>
      </c>
    </row>
    <row r="574" spans="1:8" x14ac:dyDescent="0.3">
      <c r="A574" s="1" t="s">
        <v>391</v>
      </c>
      <c r="B574" s="1" t="s">
        <v>392</v>
      </c>
      <c r="C574" s="1">
        <v>2014</v>
      </c>
      <c r="D574" s="1">
        <v>18202</v>
      </c>
      <c r="E574" s="1">
        <v>182</v>
      </c>
      <c r="F574" s="1">
        <v>30</v>
      </c>
      <c r="G574" s="1">
        <v>148214</v>
      </c>
      <c r="H574" s="1" t="s">
        <v>70</v>
      </c>
    </row>
    <row r="575" spans="1:8" x14ac:dyDescent="0.3">
      <c r="A575" s="1" t="s">
        <v>393</v>
      </c>
      <c r="B575" s="1" t="s">
        <v>394</v>
      </c>
      <c r="C575" s="1">
        <v>2014</v>
      </c>
      <c r="D575" s="1">
        <v>37042</v>
      </c>
      <c r="E575" s="1">
        <v>371</v>
      </c>
      <c r="F575" s="1">
        <v>116</v>
      </c>
      <c r="G575" s="1">
        <v>1968578</v>
      </c>
      <c r="H575" s="1" t="s">
        <v>70</v>
      </c>
    </row>
    <row r="576" spans="1:8" x14ac:dyDescent="0.3">
      <c r="A576" s="1" t="s">
        <v>395</v>
      </c>
      <c r="B576" s="1" t="s">
        <v>396</v>
      </c>
      <c r="C576" s="1">
        <v>2014</v>
      </c>
      <c r="D576" s="1">
        <v>35126</v>
      </c>
      <c r="E576" s="1">
        <v>316</v>
      </c>
      <c r="F576" s="1">
        <v>163</v>
      </c>
      <c r="G576" s="1">
        <v>2027695</v>
      </c>
      <c r="H576" s="1" t="s">
        <v>70</v>
      </c>
    </row>
    <row r="577" spans="1:8" x14ac:dyDescent="0.3">
      <c r="A577" s="1" t="s">
        <v>397</v>
      </c>
      <c r="B577" s="1" t="s">
        <v>398</v>
      </c>
      <c r="C577" s="1">
        <v>2014</v>
      </c>
      <c r="D577" s="1">
        <v>32928</v>
      </c>
      <c r="E577" s="1">
        <v>162</v>
      </c>
      <c r="F577" s="1">
        <v>55</v>
      </c>
      <c r="G577" s="1">
        <v>2505950</v>
      </c>
      <c r="H577" s="1" t="s">
        <v>70</v>
      </c>
    </row>
    <row r="578" spans="1:8" x14ac:dyDescent="0.3">
      <c r="A578" s="1" t="s">
        <v>399</v>
      </c>
      <c r="B578" s="1" t="s">
        <v>400</v>
      </c>
      <c r="C578" s="1">
        <v>2014</v>
      </c>
      <c r="D578" s="1">
        <v>16486</v>
      </c>
      <c r="E578" s="1">
        <v>132</v>
      </c>
      <c r="F578" s="1">
        <v>0</v>
      </c>
      <c r="G578" s="1">
        <v>246880</v>
      </c>
      <c r="H578" s="1" t="s">
        <v>70</v>
      </c>
    </row>
    <row r="579" spans="1:8" x14ac:dyDescent="0.3">
      <c r="A579" s="1" t="s">
        <v>401</v>
      </c>
      <c r="B579" s="1" t="s">
        <v>167</v>
      </c>
      <c r="C579" s="1">
        <v>2014</v>
      </c>
      <c r="D579" s="1">
        <v>30885</v>
      </c>
      <c r="E579" s="1">
        <v>274</v>
      </c>
      <c r="F579" s="1">
        <v>22</v>
      </c>
      <c r="G579" s="1">
        <v>283292</v>
      </c>
      <c r="H579" s="1" t="s">
        <v>70</v>
      </c>
    </row>
    <row r="580" spans="1:8" x14ac:dyDescent="0.3">
      <c r="A580" s="1" t="s">
        <v>402</v>
      </c>
      <c r="B580" s="1" t="s">
        <v>403</v>
      </c>
      <c r="C580" s="1">
        <v>2014</v>
      </c>
      <c r="D580" s="1">
        <v>19475</v>
      </c>
      <c r="E580" s="1">
        <v>119</v>
      </c>
      <c r="F580" s="1">
        <v>36</v>
      </c>
      <c r="G580" s="1">
        <v>781824</v>
      </c>
      <c r="H580" s="1" t="s">
        <v>70</v>
      </c>
    </row>
    <row r="581" spans="1:8" x14ac:dyDescent="0.3">
      <c r="A581" s="1" t="s">
        <v>404</v>
      </c>
      <c r="B581" s="1" t="s">
        <v>405</v>
      </c>
      <c r="C581" s="1">
        <v>2014</v>
      </c>
      <c r="D581" s="1">
        <v>16523</v>
      </c>
      <c r="E581" s="1">
        <v>110</v>
      </c>
      <c r="F581" s="1">
        <v>14</v>
      </c>
      <c r="G581" s="1">
        <v>624054</v>
      </c>
      <c r="H581" s="1" t="s">
        <v>70</v>
      </c>
    </row>
    <row r="582" spans="1:8" x14ac:dyDescent="0.3">
      <c r="A582" s="1" t="s">
        <v>406</v>
      </c>
      <c r="B582" s="1" t="s">
        <v>407</v>
      </c>
      <c r="C582" s="1">
        <v>2014</v>
      </c>
      <c r="D582" s="1">
        <v>23072</v>
      </c>
      <c r="E582" s="1">
        <v>199</v>
      </c>
      <c r="F582" s="1">
        <v>28</v>
      </c>
      <c r="G582" s="1">
        <v>406210</v>
      </c>
      <c r="H582" s="1" t="s">
        <v>70</v>
      </c>
    </row>
    <row r="583" spans="1:8" x14ac:dyDescent="0.3">
      <c r="A583" s="1" t="s">
        <v>408</v>
      </c>
      <c r="B583" s="1" t="s">
        <v>409</v>
      </c>
      <c r="C583" s="1">
        <v>2014</v>
      </c>
      <c r="D583" s="1">
        <v>40271</v>
      </c>
      <c r="E583" s="1">
        <v>335</v>
      </c>
      <c r="F583" s="1">
        <v>74</v>
      </c>
      <c r="G583" s="1">
        <v>1523461</v>
      </c>
      <c r="H583" s="1" t="s">
        <v>70</v>
      </c>
    </row>
    <row r="584" spans="1:8" x14ac:dyDescent="0.3">
      <c r="A584" s="1" t="s">
        <v>410</v>
      </c>
      <c r="B584" s="1" t="s">
        <v>411</v>
      </c>
      <c r="C584" s="1">
        <v>2014</v>
      </c>
      <c r="D584" s="1">
        <v>19522</v>
      </c>
      <c r="E584" s="1">
        <v>169</v>
      </c>
      <c r="F584" s="1">
        <v>10</v>
      </c>
      <c r="G584" s="1">
        <v>558611</v>
      </c>
      <c r="H584" s="1" t="s">
        <v>70</v>
      </c>
    </row>
    <row r="585" spans="1:8" x14ac:dyDescent="0.3">
      <c r="A585" s="1" t="s">
        <v>412</v>
      </c>
      <c r="B585" s="1" t="s">
        <v>413</v>
      </c>
      <c r="C585" s="1">
        <v>2014</v>
      </c>
      <c r="D585" s="1">
        <v>19822</v>
      </c>
      <c r="E585" s="1">
        <v>228</v>
      </c>
      <c r="F585" s="1">
        <v>37</v>
      </c>
      <c r="G585" s="1">
        <v>240631</v>
      </c>
      <c r="H585" s="1" t="s">
        <v>70</v>
      </c>
    </row>
    <row r="586" spans="1:8" x14ac:dyDescent="0.3">
      <c r="A586" s="1" t="s">
        <v>414</v>
      </c>
      <c r="B586" s="1" t="s">
        <v>415</v>
      </c>
      <c r="C586" s="1">
        <v>2014</v>
      </c>
      <c r="D586" s="1">
        <v>23208</v>
      </c>
      <c r="E586" s="1">
        <v>168</v>
      </c>
      <c r="F586" s="1">
        <v>22</v>
      </c>
      <c r="G586" s="1">
        <v>500184</v>
      </c>
      <c r="H586" s="1" t="s">
        <v>70</v>
      </c>
    </row>
    <row r="587" spans="1:8" x14ac:dyDescent="0.3">
      <c r="A587" s="1" t="s">
        <v>416</v>
      </c>
      <c r="B587" s="1" t="s">
        <v>417</v>
      </c>
      <c r="C587" s="1">
        <v>2014</v>
      </c>
      <c r="D587" s="1">
        <v>20017</v>
      </c>
      <c r="E587" s="1">
        <v>170</v>
      </c>
      <c r="F587" s="1">
        <v>35</v>
      </c>
      <c r="G587" s="1">
        <v>188496</v>
      </c>
      <c r="H587" s="1" t="s">
        <v>70</v>
      </c>
    </row>
    <row r="588" spans="1:8" x14ac:dyDescent="0.3">
      <c r="A588" s="1" t="s">
        <v>418</v>
      </c>
      <c r="B588" s="1" t="s">
        <v>419</v>
      </c>
      <c r="C588" s="1">
        <v>2014</v>
      </c>
      <c r="D588" s="1">
        <v>47239</v>
      </c>
      <c r="E588" s="1">
        <v>691</v>
      </c>
      <c r="F588" s="1">
        <v>108</v>
      </c>
      <c r="G588" s="1">
        <v>314795</v>
      </c>
      <c r="H588" s="1" t="s">
        <v>70</v>
      </c>
    </row>
    <row r="589" spans="1:8" x14ac:dyDescent="0.3">
      <c r="A589" s="1" t="s">
        <v>420</v>
      </c>
      <c r="B589" s="1" t="s">
        <v>421</v>
      </c>
      <c r="C589" s="1">
        <v>2014</v>
      </c>
      <c r="D589" s="1">
        <v>28474</v>
      </c>
      <c r="E589" s="1">
        <v>182</v>
      </c>
      <c r="F589" s="1">
        <v>59</v>
      </c>
      <c r="G589" s="1">
        <v>2529666</v>
      </c>
      <c r="H589" s="1" t="s">
        <v>70</v>
      </c>
    </row>
    <row r="590" spans="1:8" x14ac:dyDescent="0.3">
      <c r="A590" s="1" t="s">
        <v>422</v>
      </c>
      <c r="B590" s="1" t="s">
        <v>423</v>
      </c>
      <c r="C590" s="1">
        <v>2014</v>
      </c>
      <c r="D590" s="1">
        <v>35424</v>
      </c>
      <c r="E590" s="1">
        <v>200</v>
      </c>
      <c r="F590" s="1">
        <v>195</v>
      </c>
      <c r="G590" s="1">
        <v>1165396</v>
      </c>
      <c r="H590" s="1" t="s">
        <v>70</v>
      </c>
    </row>
    <row r="591" spans="1:8" x14ac:dyDescent="0.3">
      <c r="A591" s="1" t="s">
        <v>424</v>
      </c>
      <c r="B591" s="1" t="s">
        <v>425</v>
      </c>
      <c r="C591" s="1">
        <v>2014</v>
      </c>
      <c r="D591" s="1">
        <v>17064</v>
      </c>
      <c r="E591" s="1">
        <v>146</v>
      </c>
      <c r="F591" s="1">
        <v>29</v>
      </c>
      <c r="G591" s="1">
        <v>265321</v>
      </c>
      <c r="H591" s="1" t="s">
        <v>70</v>
      </c>
    </row>
    <row r="592" spans="1:8" x14ac:dyDescent="0.3">
      <c r="A592" s="1" t="s">
        <v>426</v>
      </c>
      <c r="B592" s="1" t="s">
        <v>427</v>
      </c>
      <c r="C592" s="1">
        <v>2014</v>
      </c>
      <c r="D592" s="1">
        <v>15637</v>
      </c>
      <c r="E592" s="1">
        <v>134</v>
      </c>
      <c r="F592" s="1">
        <v>38</v>
      </c>
      <c r="G592" s="1">
        <v>727903</v>
      </c>
      <c r="H592" s="1" t="s">
        <v>70</v>
      </c>
    </row>
    <row r="593" spans="1:8" x14ac:dyDescent="0.3">
      <c r="A593" s="1" t="s">
        <v>428</v>
      </c>
      <c r="B593" s="1" t="s">
        <v>429</v>
      </c>
      <c r="C593" s="1">
        <v>2014</v>
      </c>
      <c r="D593" s="1">
        <v>7774</v>
      </c>
      <c r="E593" s="1">
        <v>88</v>
      </c>
      <c r="F593" s="1">
        <v>34</v>
      </c>
      <c r="G593" s="1">
        <v>392438</v>
      </c>
      <c r="H593" s="1" t="s">
        <v>70</v>
      </c>
    </row>
    <row r="594" spans="1:8" x14ac:dyDescent="0.3">
      <c r="A594" s="1" t="s">
        <v>430</v>
      </c>
      <c r="B594" s="1" t="s">
        <v>431</v>
      </c>
      <c r="C594" s="1">
        <v>2014</v>
      </c>
      <c r="D594" s="1">
        <v>17262</v>
      </c>
      <c r="E594" s="1">
        <v>201</v>
      </c>
      <c r="F594" s="1">
        <v>115</v>
      </c>
      <c r="G594" s="1">
        <v>928682</v>
      </c>
      <c r="H594" s="1" t="s">
        <v>70</v>
      </c>
    </row>
    <row r="595" spans="1:8" x14ac:dyDescent="0.3">
      <c r="A595" s="1" t="s">
        <v>432</v>
      </c>
      <c r="B595" s="1" t="s">
        <v>433</v>
      </c>
      <c r="C595" s="1">
        <v>2014</v>
      </c>
      <c r="D595" s="1">
        <v>24613</v>
      </c>
      <c r="E595" s="1">
        <v>40</v>
      </c>
      <c r="F595" s="1">
        <v>190</v>
      </c>
      <c r="G595" s="1">
        <v>5645971</v>
      </c>
      <c r="H595" s="1" t="s">
        <v>70</v>
      </c>
    </row>
    <row r="596" spans="1:8" x14ac:dyDescent="0.3">
      <c r="A596" s="1" t="s">
        <v>434</v>
      </c>
      <c r="B596" s="1" t="s">
        <v>435</v>
      </c>
      <c r="C596" s="1">
        <v>2014</v>
      </c>
      <c r="D596" s="1">
        <v>71400</v>
      </c>
      <c r="E596" s="1">
        <v>1649</v>
      </c>
      <c r="F596" s="1">
        <v>1177</v>
      </c>
      <c r="G596" s="1">
        <v>6248772</v>
      </c>
      <c r="H596" s="1" t="s">
        <v>70</v>
      </c>
    </row>
    <row r="597" spans="1:8" x14ac:dyDescent="0.3">
      <c r="A597" s="1" t="s">
        <v>436</v>
      </c>
      <c r="B597" s="1" t="s">
        <v>437</v>
      </c>
      <c r="C597" s="1">
        <v>2014</v>
      </c>
      <c r="D597" s="1">
        <v>17262</v>
      </c>
      <c r="E597" s="1">
        <v>98</v>
      </c>
      <c r="F597" s="1">
        <v>34</v>
      </c>
      <c r="G597" s="1">
        <v>1929108</v>
      </c>
      <c r="H597" s="1" t="s">
        <v>70</v>
      </c>
    </row>
    <row r="598" spans="1:8" x14ac:dyDescent="0.3">
      <c r="A598" s="1" t="s">
        <v>438</v>
      </c>
      <c r="B598" s="1" t="s">
        <v>439</v>
      </c>
      <c r="C598" s="1">
        <v>2014</v>
      </c>
      <c r="D598" s="1">
        <v>19645</v>
      </c>
      <c r="E598" s="1">
        <v>106</v>
      </c>
      <c r="F598" s="1">
        <v>66</v>
      </c>
      <c r="G598" s="1">
        <v>770280</v>
      </c>
      <c r="H598" s="1" t="s">
        <v>70</v>
      </c>
    </row>
    <row r="599" spans="1:8" x14ac:dyDescent="0.3">
      <c r="A599" s="1" t="s">
        <v>440</v>
      </c>
      <c r="B599" s="1" t="s">
        <v>441</v>
      </c>
      <c r="C599" s="1">
        <v>2014</v>
      </c>
      <c r="D599" s="1">
        <v>52292</v>
      </c>
      <c r="E599" s="1">
        <v>705</v>
      </c>
      <c r="F599" s="1">
        <v>224</v>
      </c>
      <c r="G599" s="1">
        <v>2746432</v>
      </c>
      <c r="H599" s="1" t="s">
        <v>70</v>
      </c>
    </row>
    <row r="600" spans="1:8" x14ac:dyDescent="0.3">
      <c r="A600" s="1" t="s">
        <v>442</v>
      </c>
      <c r="B600" s="1" t="s">
        <v>443</v>
      </c>
      <c r="C600" s="1">
        <v>2014</v>
      </c>
      <c r="D600" s="1">
        <v>23444</v>
      </c>
      <c r="E600" s="1">
        <v>118</v>
      </c>
      <c r="F600" s="1">
        <v>0</v>
      </c>
      <c r="G600" s="1">
        <v>1026649</v>
      </c>
      <c r="H600" s="1" t="s">
        <v>70</v>
      </c>
    </row>
    <row r="601" spans="1:8" x14ac:dyDescent="0.3">
      <c r="A601" s="1" t="s">
        <v>444</v>
      </c>
      <c r="B601" s="1" t="s">
        <v>445</v>
      </c>
      <c r="C601" s="1">
        <v>2014</v>
      </c>
      <c r="D601" s="1">
        <v>15232</v>
      </c>
      <c r="E601" s="1">
        <v>93</v>
      </c>
      <c r="F601" s="1">
        <v>56</v>
      </c>
      <c r="G601" s="1">
        <v>1119941</v>
      </c>
      <c r="H601" s="1" t="s">
        <v>70</v>
      </c>
    </row>
    <row r="602" spans="1:8" x14ac:dyDescent="0.3">
      <c r="A602" s="1" t="s">
        <v>446</v>
      </c>
      <c r="B602" s="1" t="s">
        <v>447</v>
      </c>
      <c r="C602" s="1">
        <v>2014</v>
      </c>
      <c r="D602" s="1">
        <v>21759</v>
      </c>
      <c r="E602" s="1">
        <v>155</v>
      </c>
      <c r="F602" s="1">
        <v>0</v>
      </c>
      <c r="G602" s="1">
        <v>1488582</v>
      </c>
      <c r="H602" s="1" t="s">
        <v>70</v>
      </c>
    </row>
    <row r="603" spans="1:8" x14ac:dyDescent="0.3">
      <c r="A603" s="1" t="s">
        <v>448</v>
      </c>
      <c r="B603" s="1" t="s">
        <v>449</v>
      </c>
      <c r="C603" s="1">
        <v>2014</v>
      </c>
      <c r="D603" s="1">
        <v>10625</v>
      </c>
      <c r="E603" s="1">
        <v>88</v>
      </c>
      <c r="F603" s="1">
        <v>25</v>
      </c>
      <c r="G603" s="1">
        <v>582173</v>
      </c>
      <c r="H603" s="1" t="s">
        <v>70</v>
      </c>
    </row>
    <row r="604" spans="1:8" x14ac:dyDescent="0.3">
      <c r="A604" s="1" t="s">
        <v>450</v>
      </c>
      <c r="B604" s="1" t="s">
        <v>451</v>
      </c>
      <c r="C604" s="1">
        <v>2014</v>
      </c>
      <c r="D604" s="1">
        <v>14781</v>
      </c>
      <c r="E604" s="1">
        <v>136</v>
      </c>
      <c r="F604" s="1">
        <v>8</v>
      </c>
      <c r="G604" s="1">
        <v>213523</v>
      </c>
      <c r="H604" s="1" t="s">
        <v>70</v>
      </c>
    </row>
    <row r="605" spans="1:8" x14ac:dyDescent="0.3">
      <c r="A605" s="1" t="s">
        <v>452</v>
      </c>
      <c r="B605" s="1" t="s">
        <v>453</v>
      </c>
      <c r="C605" s="1">
        <v>2014</v>
      </c>
      <c r="D605" s="1">
        <v>13472</v>
      </c>
      <c r="E605" s="1">
        <v>47</v>
      </c>
      <c r="F605" s="1">
        <v>4</v>
      </c>
      <c r="G605" s="1">
        <v>658758</v>
      </c>
      <c r="H605" s="1" t="s">
        <v>70</v>
      </c>
    </row>
    <row r="606" spans="1:8" x14ac:dyDescent="0.3">
      <c r="A606" s="1" t="s">
        <v>454</v>
      </c>
      <c r="B606" s="1" t="s">
        <v>455</v>
      </c>
      <c r="C606" s="1">
        <v>2014</v>
      </c>
      <c r="D606" s="1">
        <v>7009</v>
      </c>
      <c r="E606" s="1">
        <v>51</v>
      </c>
      <c r="F606" s="1">
        <v>7</v>
      </c>
      <c r="G606" s="1">
        <v>275956</v>
      </c>
      <c r="H606" s="1" t="s">
        <v>70</v>
      </c>
    </row>
    <row r="607" spans="1:8" x14ac:dyDescent="0.3">
      <c r="A607" s="1" t="s">
        <v>456</v>
      </c>
      <c r="B607" s="1" t="s">
        <v>457</v>
      </c>
      <c r="C607" s="1">
        <v>2014</v>
      </c>
      <c r="D607" s="1">
        <v>17916</v>
      </c>
      <c r="E607" s="1">
        <v>81</v>
      </c>
      <c r="F607" s="1">
        <v>5</v>
      </c>
      <c r="G607" s="1">
        <v>371369</v>
      </c>
      <c r="H607" s="1" t="s">
        <v>70</v>
      </c>
    </row>
    <row r="608" spans="1:8" x14ac:dyDescent="0.3">
      <c r="A608" s="1" t="s">
        <v>458</v>
      </c>
      <c r="B608" s="1" t="s">
        <v>459</v>
      </c>
      <c r="C608" s="1">
        <v>2014</v>
      </c>
      <c r="D608" s="1">
        <v>25225</v>
      </c>
      <c r="E608" s="1">
        <v>112</v>
      </c>
      <c r="F608" s="1">
        <v>28</v>
      </c>
      <c r="G608" s="1">
        <v>1594953</v>
      </c>
      <c r="H608" s="1" t="s">
        <v>70</v>
      </c>
    </row>
    <row r="609" spans="1:8" x14ac:dyDescent="0.3">
      <c r="A609" s="1" t="s">
        <v>460</v>
      </c>
      <c r="B609" s="1" t="s">
        <v>461</v>
      </c>
      <c r="C609" s="1">
        <v>2014</v>
      </c>
      <c r="D609" s="1">
        <v>11006</v>
      </c>
      <c r="E609" s="1">
        <v>116</v>
      </c>
      <c r="F609" s="1">
        <v>17</v>
      </c>
      <c r="G609" s="1">
        <v>377925</v>
      </c>
      <c r="H609" s="1" t="s">
        <v>70</v>
      </c>
    </row>
    <row r="610" spans="1:8" x14ac:dyDescent="0.3">
      <c r="A610" s="1" t="s">
        <v>462</v>
      </c>
      <c r="B610" s="1" t="s">
        <v>463</v>
      </c>
      <c r="C610" s="1">
        <v>2014</v>
      </c>
      <c r="D610" s="1">
        <v>17750</v>
      </c>
      <c r="E610" s="1">
        <v>82</v>
      </c>
      <c r="F610" s="1">
        <v>24</v>
      </c>
      <c r="G610" s="1">
        <v>399606</v>
      </c>
      <c r="H610" s="1" t="s">
        <v>70</v>
      </c>
    </row>
    <row r="611" spans="1:8" x14ac:dyDescent="0.3">
      <c r="A611" s="1" t="s">
        <v>464</v>
      </c>
      <c r="B611" s="1" t="s">
        <v>465</v>
      </c>
      <c r="C611" s="1">
        <v>2014</v>
      </c>
      <c r="D611" s="1">
        <v>14193</v>
      </c>
      <c r="E611" s="1">
        <v>189</v>
      </c>
      <c r="F611" s="1">
        <v>110</v>
      </c>
      <c r="G611" s="1">
        <v>685594</v>
      </c>
      <c r="H611" s="1" t="s">
        <v>70</v>
      </c>
    </row>
    <row r="612" spans="1:8" x14ac:dyDescent="0.3">
      <c r="A612" s="1" t="s">
        <v>466</v>
      </c>
      <c r="B612" s="1" t="s">
        <v>467</v>
      </c>
      <c r="C612" s="1">
        <v>2014</v>
      </c>
      <c r="D612" s="1">
        <v>124305</v>
      </c>
      <c r="E612" s="1">
        <v>1736</v>
      </c>
      <c r="F612" s="1">
        <v>2412</v>
      </c>
      <c r="G612" s="1">
        <v>16045178</v>
      </c>
      <c r="H612" s="1" t="s">
        <v>70</v>
      </c>
    </row>
    <row r="613" spans="1:8" x14ac:dyDescent="0.3">
      <c r="A613" s="1" t="s">
        <v>468</v>
      </c>
      <c r="B613" s="1" t="s">
        <v>469</v>
      </c>
      <c r="C613" s="1">
        <v>2014</v>
      </c>
      <c r="D613" s="1">
        <v>22888</v>
      </c>
      <c r="E613" s="1">
        <v>222</v>
      </c>
      <c r="F613" s="1">
        <v>354</v>
      </c>
      <c r="G613" s="1">
        <v>2943579</v>
      </c>
      <c r="H613" s="1" t="s">
        <v>70</v>
      </c>
    </row>
    <row r="614" spans="1:8" x14ac:dyDescent="0.3">
      <c r="A614" s="1" t="s">
        <v>470</v>
      </c>
      <c r="B614" s="1" t="s">
        <v>471</v>
      </c>
      <c r="C614" s="1">
        <v>2014</v>
      </c>
      <c r="D614" s="1">
        <v>24839</v>
      </c>
      <c r="E614" s="1">
        <v>160</v>
      </c>
      <c r="F614" s="1">
        <v>295</v>
      </c>
      <c r="G614" s="1">
        <v>3525674</v>
      </c>
      <c r="H614" s="1" t="s">
        <v>70</v>
      </c>
    </row>
    <row r="615" spans="1:8" x14ac:dyDescent="0.3">
      <c r="A615" s="1" t="s">
        <v>472</v>
      </c>
      <c r="B615" s="1" t="s">
        <v>473</v>
      </c>
      <c r="C615" s="1">
        <v>2014</v>
      </c>
      <c r="D615" s="1">
        <v>22191</v>
      </c>
      <c r="E615" s="1">
        <v>160</v>
      </c>
      <c r="F615" s="1">
        <v>137</v>
      </c>
      <c r="G615" s="1">
        <v>995529</v>
      </c>
      <c r="H615" s="1" t="s">
        <v>70</v>
      </c>
    </row>
    <row r="616" spans="1:8" x14ac:dyDescent="0.3">
      <c r="A616" s="1" t="s">
        <v>474</v>
      </c>
      <c r="B616" s="1" t="s">
        <v>475</v>
      </c>
      <c r="C616" s="1">
        <v>2014</v>
      </c>
      <c r="D616" s="1">
        <v>28523</v>
      </c>
      <c r="E616" s="1">
        <v>321</v>
      </c>
      <c r="F616" s="1">
        <v>202</v>
      </c>
      <c r="G616" s="1">
        <v>3044224</v>
      </c>
      <c r="H616" s="1" t="s">
        <v>70</v>
      </c>
    </row>
    <row r="617" spans="1:8" x14ac:dyDescent="0.3">
      <c r="A617" s="1" t="s">
        <v>476</v>
      </c>
      <c r="B617" s="1" t="s">
        <v>477</v>
      </c>
      <c r="C617" s="1">
        <v>2014</v>
      </c>
      <c r="D617" s="1">
        <v>17710</v>
      </c>
      <c r="E617" s="1">
        <v>104</v>
      </c>
      <c r="F617" s="1">
        <v>131</v>
      </c>
      <c r="G617" s="1">
        <v>2413849</v>
      </c>
      <c r="H617" s="1" t="s">
        <v>70</v>
      </c>
    </row>
    <row r="618" spans="1:8" x14ac:dyDescent="0.3">
      <c r="A618" s="1" t="s">
        <v>478</v>
      </c>
      <c r="B618" s="1" t="s">
        <v>479</v>
      </c>
      <c r="C618" s="1">
        <v>2014</v>
      </c>
      <c r="D618" s="1">
        <v>34678</v>
      </c>
      <c r="E618" s="1">
        <v>910</v>
      </c>
      <c r="F618" s="1">
        <v>831</v>
      </c>
      <c r="G618" s="1">
        <v>1813487</v>
      </c>
      <c r="H618" s="1" t="s">
        <v>70</v>
      </c>
    </row>
    <row r="619" spans="1:8" x14ac:dyDescent="0.3">
      <c r="A619" s="1" t="s">
        <v>480</v>
      </c>
      <c r="B619" s="1" t="s">
        <v>481</v>
      </c>
      <c r="C619" s="1">
        <v>2014</v>
      </c>
      <c r="D619" s="1">
        <v>33310</v>
      </c>
      <c r="E619" s="1">
        <v>788</v>
      </c>
      <c r="F619" s="1">
        <v>241</v>
      </c>
      <c r="G619" s="1">
        <v>2474098</v>
      </c>
      <c r="H619" s="1" t="s">
        <v>70</v>
      </c>
    </row>
    <row r="620" spans="1:8" x14ac:dyDescent="0.3">
      <c r="A620" s="1" t="s">
        <v>482</v>
      </c>
      <c r="B620" s="1" t="s">
        <v>483</v>
      </c>
      <c r="C620" s="1">
        <v>2014</v>
      </c>
      <c r="D620" s="1">
        <v>20692</v>
      </c>
      <c r="E620" s="1">
        <v>311</v>
      </c>
      <c r="F620" s="1">
        <v>121</v>
      </c>
      <c r="G620" s="1">
        <v>1986218</v>
      </c>
      <c r="H620" s="1" t="s">
        <v>70</v>
      </c>
    </row>
    <row r="621" spans="1:8" x14ac:dyDescent="0.3">
      <c r="A621" s="1" t="s">
        <v>484</v>
      </c>
      <c r="B621" s="1" t="s">
        <v>485</v>
      </c>
      <c r="C621" s="1">
        <v>2014</v>
      </c>
      <c r="D621" s="1">
        <v>25507</v>
      </c>
      <c r="E621" s="1">
        <v>156</v>
      </c>
      <c r="F621" s="1">
        <v>172</v>
      </c>
      <c r="G621" s="1">
        <v>2414144</v>
      </c>
      <c r="H621" s="1" t="s">
        <v>70</v>
      </c>
    </row>
    <row r="622" spans="1:8" x14ac:dyDescent="0.3">
      <c r="A622" s="1" t="s">
        <v>486</v>
      </c>
      <c r="B622" s="1" t="s">
        <v>487</v>
      </c>
      <c r="C622" s="1">
        <v>2014</v>
      </c>
      <c r="D622" s="1">
        <v>21489</v>
      </c>
      <c r="E622" s="1">
        <v>242</v>
      </c>
      <c r="F622" s="1">
        <v>291</v>
      </c>
      <c r="G622" s="1">
        <v>1966644</v>
      </c>
      <c r="H622" s="1" t="s">
        <v>70</v>
      </c>
    </row>
    <row r="623" spans="1:8" x14ac:dyDescent="0.3">
      <c r="A623" s="1" t="s">
        <v>488</v>
      </c>
      <c r="B623" s="1" t="s">
        <v>489</v>
      </c>
      <c r="C623" s="1">
        <v>2014</v>
      </c>
      <c r="D623" s="1">
        <v>21395</v>
      </c>
      <c r="E623" s="1">
        <v>172</v>
      </c>
      <c r="F623" s="1">
        <v>261</v>
      </c>
      <c r="G623" s="1">
        <v>2921254</v>
      </c>
      <c r="H623" s="1" t="s">
        <v>70</v>
      </c>
    </row>
    <row r="624" spans="1:8" x14ac:dyDescent="0.3">
      <c r="A624" s="1" t="s">
        <v>490</v>
      </c>
      <c r="B624" s="1" t="s">
        <v>310</v>
      </c>
      <c r="C624" s="1">
        <v>2014</v>
      </c>
      <c r="D624" s="1">
        <v>12687</v>
      </c>
      <c r="E624" s="1">
        <v>94</v>
      </c>
      <c r="F624" s="1">
        <v>151</v>
      </c>
      <c r="G624" s="1">
        <v>1217127</v>
      </c>
      <c r="H624" s="1" t="s">
        <v>70</v>
      </c>
    </row>
    <row r="625" spans="1:8" x14ac:dyDescent="0.3">
      <c r="A625" s="1" t="s">
        <v>491</v>
      </c>
      <c r="B625" s="1" t="s">
        <v>492</v>
      </c>
      <c r="C625" s="1">
        <v>2014</v>
      </c>
      <c r="D625" s="1">
        <v>26657</v>
      </c>
      <c r="E625" s="1">
        <v>374</v>
      </c>
      <c r="F625" s="1">
        <v>306</v>
      </c>
      <c r="G625" s="1">
        <v>1403004</v>
      </c>
      <c r="H625" s="1" t="s">
        <v>70</v>
      </c>
    </row>
    <row r="626" spans="1:8" x14ac:dyDescent="0.3">
      <c r="A626" s="1" t="s">
        <v>493</v>
      </c>
      <c r="B626" s="1" t="s">
        <v>494</v>
      </c>
      <c r="C626" s="1">
        <v>2014</v>
      </c>
      <c r="D626" s="1">
        <v>31235</v>
      </c>
      <c r="E626" s="1">
        <v>407</v>
      </c>
      <c r="F626" s="1">
        <v>240</v>
      </c>
      <c r="G626" s="1">
        <v>1596880</v>
      </c>
      <c r="H626" s="1" t="s">
        <v>70</v>
      </c>
    </row>
    <row r="627" spans="1:8" x14ac:dyDescent="0.3">
      <c r="A627" s="1" t="s">
        <v>495</v>
      </c>
      <c r="B627" s="1" t="s">
        <v>496</v>
      </c>
      <c r="C627" s="1">
        <v>2014</v>
      </c>
      <c r="D627" s="1">
        <v>38749</v>
      </c>
      <c r="E627" s="1">
        <v>414</v>
      </c>
      <c r="F627" s="1">
        <v>248</v>
      </c>
      <c r="G627" s="1">
        <v>4922769</v>
      </c>
      <c r="H627" s="1" t="s">
        <v>70</v>
      </c>
    </row>
    <row r="628" spans="1:8" x14ac:dyDescent="0.3">
      <c r="A628" s="1" t="s">
        <v>497</v>
      </c>
      <c r="B628" s="1" t="s">
        <v>498</v>
      </c>
      <c r="C628" s="1">
        <v>2014</v>
      </c>
      <c r="D628" s="1">
        <v>36638</v>
      </c>
      <c r="E628" s="1">
        <v>314</v>
      </c>
      <c r="F628" s="1">
        <v>486</v>
      </c>
      <c r="G628" s="1">
        <v>5201646</v>
      </c>
      <c r="H628" s="1" t="s">
        <v>70</v>
      </c>
    </row>
    <row r="629" spans="1:8" x14ac:dyDescent="0.3">
      <c r="A629" s="1" t="s">
        <v>499</v>
      </c>
      <c r="B629" s="1" t="s">
        <v>500</v>
      </c>
      <c r="C629" s="1">
        <v>2014</v>
      </c>
      <c r="D629" s="1">
        <v>66199</v>
      </c>
      <c r="E629" s="1">
        <v>847</v>
      </c>
      <c r="F629" s="1">
        <v>1141</v>
      </c>
      <c r="G629" s="1">
        <v>4528091</v>
      </c>
      <c r="H629" s="1" t="s">
        <v>70</v>
      </c>
    </row>
    <row r="630" spans="1:8" x14ac:dyDescent="0.3">
      <c r="A630" s="1" t="s">
        <v>501</v>
      </c>
      <c r="B630" s="1" t="s">
        <v>502</v>
      </c>
      <c r="C630" s="1">
        <v>2014</v>
      </c>
      <c r="D630" s="1">
        <v>12754</v>
      </c>
      <c r="E630" s="1">
        <v>63</v>
      </c>
      <c r="F630" s="1">
        <v>56</v>
      </c>
      <c r="G630" s="1">
        <v>2302551</v>
      </c>
      <c r="H630" s="1" t="s">
        <v>70</v>
      </c>
    </row>
    <row r="631" spans="1:8" x14ac:dyDescent="0.3">
      <c r="A631" s="1" t="s">
        <v>503</v>
      </c>
      <c r="B631" s="1" t="s">
        <v>504</v>
      </c>
      <c r="C631" s="1">
        <v>2014</v>
      </c>
      <c r="D631" s="1">
        <v>206902</v>
      </c>
      <c r="E631" s="1">
        <v>3945</v>
      </c>
      <c r="F631" s="1">
        <v>5469</v>
      </c>
      <c r="G631" s="1">
        <v>17479730</v>
      </c>
      <c r="H631" s="1" t="s">
        <v>70</v>
      </c>
    </row>
    <row r="632" spans="1:8" x14ac:dyDescent="0.3">
      <c r="A632" s="1" t="s">
        <v>505</v>
      </c>
      <c r="B632" s="1" t="s">
        <v>506</v>
      </c>
      <c r="C632" s="1">
        <v>2014</v>
      </c>
      <c r="D632" s="1">
        <v>109855</v>
      </c>
      <c r="E632" s="1">
        <v>932</v>
      </c>
      <c r="F632" s="1">
        <v>2108</v>
      </c>
      <c r="G632" s="1">
        <v>5999757</v>
      </c>
      <c r="H632" s="1" t="s">
        <v>70</v>
      </c>
    </row>
    <row r="633" spans="1:8" x14ac:dyDescent="0.3">
      <c r="A633" s="1" t="s">
        <v>507</v>
      </c>
      <c r="B633" s="1" t="s">
        <v>508</v>
      </c>
      <c r="C633" s="1">
        <v>2014</v>
      </c>
      <c r="D633" s="1">
        <v>38234</v>
      </c>
      <c r="E633" s="1">
        <v>222</v>
      </c>
      <c r="F633" s="1">
        <v>553</v>
      </c>
      <c r="G633" s="1">
        <v>2308202</v>
      </c>
      <c r="H633" s="1" t="s">
        <v>70</v>
      </c>
    </row>
    <row r="634" spans="1:8" x14ac:dyDescent="0.3">
      <c r="A634" s="1" t="s">
        <v>509</v>
      </c>
      <c r="B634" s="1" t="s">
        <v>510</v>
      </c>
      <c r="C634" s="1">
        <v>2014</v>
      </c>
      <c r="D634" s="1">
        <v>19065</v>
      </c>
      <c r="E634" s="1">
        <v>115</v>
      </c>
      <c r="F634" s="1">
        <v>428</v>
      </c>
      <c r="G634" s="1">
        <v>723795</v>
      </c>
      <c r="H634" s="1" t="s">
        <v>70</v>
      </c>
    </row>
    <row r="635" spans="1:8" x14ac:dyDescent="0.3">
      <c r="A635" s="1" t="s">
        <v>511</v>
      </c>
      <c r="B635" s="1" t="s">
        <v>512</v>
      </c>
      <c r="C635" s="1">
        <v>2014</v>
      </c>
      <c r="D635" s="1">
        <v>60796</v>
      </c>
      <c r="E635" s="1">
        <v>318</v>
      </c>
      <c r="F635" s="1">
        <v>387</v>
      </c>
      <c r="G635" s="1">
        <v>6173691</v>
      </c>
      <c r="H635" s="1" t="s">
        <v>70</v>
      </c>
    </row>
    <row r="636" spans="1:8" x14ac:dyDescent="0.3">
      <c r="A636" s="1" t="s">
        <v>513</v>
      </c>
      <c r="B636" s="1" t="s">
        <v>443</v>
      </c>
      <c r="C636" s="1">
        <v>2014</v>
      </c>
      <c r="D636" s="1">
        <v>48720</v>
      </c>
      <c r="E636" s="1">
        <v>415</v>
      </c>
      <c r="F636" s="1">
        <v>193</v>
      </c>
      <c r="G636" s="1">
        <v>1187705</v>
      </c>
      <c r="H636" s="1" t="s">
        <v>70</v>
      </c>
    </row>
    <row r="637" spans="1:8" x14ac:dyDescent="0.3">
      <c r="A637" s="1" t="s">
        <v>514</v>
      </c>
      <c r="B637" s="1" t="s">
        <v>515</v>
      </c>
      <c r="C637" s="1">
        <v>2014</v>
      </c>
      <c r="D637" s="1">
        <v>59750</v>
      </c>
      <c r="E637" s="1">
        <v>525</v>
      </c>
      <c r="F637" s="1">
        <v>233</v>
      </c>
      <c r="G637" s="1">
        <v>2565956</v>
      </c>
      <c r="H637" s="1" t="s">
        <v>70</v>
      </c>
    </row>
    <row r="638" spans="1:8" x14ac:dyDescent="0.3">
      <c r="A638" s="1" t="s">
        <v>516</v>
      </c>
      <c r="B638" s="1" t="s">
        <v>517</v>
      </c>
      <c r="C638" s="1">
        <v>2014</v>
      </c>
      <c r="D638" s="1">
        <v>45897</v>
      </c>
      <c r="E638" s="1">
        <v>384</v>
      </c>
      <c r="F638" s="1">
        <v>26</v>
      </c>
      <c r="G638" s="1">
        <v>726722</v>
      </c>
      <c r="H638" s="1" t="s">
        <v>70</v>
      </c>
    </row>
    <row r="639" spans="1:8" x14ac:dyDescent="0.3">
      <c r="A639" s="1" t="s">
        <v>518</v>
      </c>
      <c r="B639" s="1" t="s">
        <v>519</v>
      </c>
      <c r="C639" s="1">
        <v>2014</v>
      </c>
      <c r="D639" s="1">
        <v>37725</v>
      </c>
      <c r="E639" s="1">
        <v>269</v>
      </c>
      <c r="F639" s="1">
        <v>232</v>
      </c>
      <c r="G639" s="1">
        <v>2656518</v>
      </c>
      <c r="H639" s="1" t="s">
        <v>70</v>
      </c>
    </row>
    <row r="640" spans="1:8" x14ac:dyDescent="0.3">
      <c r="A640" s="1" t="s">
        <v>520</v>
      </c>
      <c r="B640" s="1" t="s">
        <v>521</v>
      </c>
      <c r="C640" s="1">
        <v>2014</v>
      </c>
      <c r="D640" s="1">
        <v>26396</v>
      </c>
      <c r="E640" s="1">
        <v>163</v>
      </c>
      <c r="F640" s="1">
        <v>15</v>
      </c>
      <c r="G640" s="1">
        <v>277306</v>
      </c>
      <c r="H640" s="1" t="s">
        <v>70</v>
      </c>
    </row>
    <row r="641" spans="1:8" x14ac:dyDescent="0.3">
      <c r="A641" s="1" t="s">
        <v>522</v>
      </c>
      <c r="B641" s="1" t="s">
        <v>523</v>
      </c>
      <c r="C641" s="1">
        <v>2014</v>
      </c>
      <c r="D641" s="1">
        <v>24870</v>
      </c>
      <c r="E641" s="1">
        <v>217</v>
      </c>
      <c r="F641" s="1">
        <v>37</v>
      </c>
      <c r="G641" s="1">
        <v>889802</v>
      </c>
      <c r="H641" s="1" t="s">
        <v>70</v>
      </c>
    </row>
    <row r="642" spans="1:8" x14ac:dyDescent="0.3">
      <c r="A642" s="1" t="s">
        <v>524</v>
      </c>
      <c r="B642" s="1" t="s">
        <v>525</v>
      </c>
      <c r="C642" s="1">
        <v>2014</v>
      </c>
      <c r="D642" s="1">
        <v>32386</v>
      </c>
      <c r="E642" s="1">
        <v>326</v>
      </c>
      <c r="F642" s="1">
        <v>128</v>
      </c>
      <c r="G642" s="1">
        <v>2274717</v>
      </c>
      <c r="H642" s="1" t="s">
        <v>70</v>
      </c>
    </row>
    <row r="643" spans="1:8" x14ac:dyDescent="0.3">
      <c r="A643" s="1" t="s">
        <v>526</v>
      </c>
      <c r="B643" s="1" t="s">
        <v>527</v>
      </c>
      <c r="C643" s="1">
        <v>2014</v>
      </c>
      <c r="D643" s="1">
        <v>26430</v>
      </c>
      <c r="E643" s="1">
        <v>104</v>
      </c>
      <c r="F643" s="1">
        <v>45</v>
      </c>
      <c r="G643" s="1">
        <v>1307590</v>
      </c>
      <c r="H643" s="1" t="s">
        <v>70</v>
      </c>
    </row>
    <row r="644" spans="1:8" x14ac:dyDescent="0.3">
      <c r="A644" s="1" t="s">
        <v>528</v>
      </c>
      <c r="B644" s="1" t="s">
        <v>529</v>
      </c>
      <c r="C644" s="1">
        <v>2014</v>
      </c>
      <c r="D644" s="1">
        <v>31156</v>
      </c>
      <c r="E644" s="1">
        <v>293</v>
      </c>
      <c r="F644" s="1">
        <v>150</v>
      </c>
      <c r="G644" s="1">
        <v>843672</v>
      </c>
      <c r="H644" s="1" t="s">
        <v>70</v>
      </c>
    </row>
    <row r="645" spans="1:8" x14ac:dyDescent="0.3">
      <c r="A645" s="1" t="s">
        <v>530</v>
      </c>
      <c r="B645" s="1" t="s">
        <v>531</v>
      </c>
      <c r="C645" s="1">
        <v>2014</v>
      </c>
      <c r="D645" s="1">
        <v>35715</v>
      </c>
      <c r="E645" s="1">
        <v>111</v>
      </c>
      <c r="F645" s="1">
        <v>193</v>
      </c>
      <c r="G645" s="1">
        <v>3418141</v>
      </c>
      <c r="H645" s="1" t="s">
        <v>70</v>
      </c>
    </row>
    <row r="646" spans="1:8" x14ac:dyDescent="0.3">
      <c r="A646" s="1" t="s">
        <v>532</v>
      </c>
      <c r="B646" s="1" t="s">
        <v>533</v>
      </c>
      <c r="C646" s="1">
        <v>2014</v>
      </c>
      <c r="D646" s="1">
        <v>24012</v>
      </c>
      <c r="E646" s="1">
        <v>189</v>
      </c>
      <c r="F646" s="1">
        <v>22</v>
      </c>
      <c r="G646" s="1">
        <v>639287</v>
      </c>
      <c r="H646" s="1" t="s">
        <v>70</v>
      </c>
    </row>
    <row r="647" spans="1:8" x14ac:dyDescent="0.3">
      <c r="A647" s="1" t="s">
        <v>534</v>
      </c>
      <c r="B647" s="1" t="s">
        <v>535</v>
      </c>
      <c r="C647" s="1">
        <v>2014</v>
      </c>
      <c r="D647" s="1">
        <v>47999</v>
      </c>
      <c r="E647" s="1">
        <v>444</v>
      </c>
      <c r="F647" s="1">
        <v>342</v>
      </c>
      <c r="G647" s="1">
        <v>3646487</v>
      </c>
      <c r="H647" s="1" t="s">
        <v>70</v>
      </c>
    </row>
    <row r="648" spans="1:8" x14ac:dyDescent="0.3">
      <c r="A648" s="1" t="s">
        <v>536</v>
      </c>
      <c r="B648" s="1" t="s">
        <v>537</v>
      </c>
      <c r="C648" s="1">
        <v>2014</v>
      </c>
      <c r="D648" s="1">
        <v>17972</v>
      </c>
      <c r="E648" s="1">
        <v>274</v>
      </c>
      <c r="F648" s="1">
        <v>131</v>
      </c>
      <c r="G648" s="1">
        <v>380731</v>
      </c>
      <c r="H648" s="1" t="s">
        <v>70</v>
      </c>
    </row>
    <row r="649" spans="1:8" x14ac:dyDescent="0.3">
      <c r="A649" s="1" t="s">
        <v>538</v>
      </c>
      <c r="B649" s="1" t="s">
        <v>539</v>
      </c>
      <c r="C649" s="1">
        <v>2014</v>
      </c>
      <c r="D649" s="1">
        <v>48542</v>
      </c>
      <c r="E649" s="1">
        <v>294</v>
      </c>
      <c r="F649" s="1">
        <v>116</v>
      </c>
      <c r="G649" s="1">
        <v>3167649</v>
      </c>
      <c r="H649" s="1" t="s">
        <v>70</v>
      </c>
    </row>
    <row r="650" spans="1:8" x14ac:dyDescent="0.3">
      <c r="A650" s="1" t="s">
        <v>540</v>
      </c>
      <c r="B650" s="1" t="s">
        <v>541</v>
      </c>
      <c r="C650" s="1">
        <v>2014</v>
      </c>
      <c r="D650" s="1">
        <v>47296</v>
      </c>
      <c r="E650" s="1">
        <v>250</v>
      </c>
      <c r="F650" s="1">
        <v>166</v>
      </c>
      <c r="G650" s="1">
        <v>4017785</v>
      </c>
      <c r="H650" s="1" t="s">
        <v>70</v>
      </c>
    </row>
    <row r="651" spans="1:8" x14ac:dyDescent="0.3">
      <c r="A651" s="1" t="s">
        <v>542</v>
      </c>
      <c r="B651" s="1" t="s">
        <v>543</v>
      </c>
      <c r="C651" s="1">
        <v>2014</v>
      </c>
      <c r="D651" s="1">
        <v>50063</v>
      </c>
      <c r="E651" s="1">
        <v>445</v>
      </c>
      <c r="F651" s="1">
        <v>61</v>
      </c>
      <c r="G651" s="1">
        <v>1174916</v>
      </c>
      <c r="H651" s="1" t="s">
        <v>70</v>
      </c>
    </row>
    <row r="652" spans="1:8" x14ac:dyDescent="0.3">
      <c r="A652" s="1" t="s">
        <v>544</v>
      </c>
      <c r="B652" s="1" t="s">
        <v>545</v>
      </c>
      <c r="C652" s="1">
        <v>2014</v>
      </c>
      <c r="D652" s="1">
        <v>69415</v>
      </c>
      <c r="E652" s="1">
        <v>503</v>
      </c>
      <c r="F652" s="1">
        <v>829</v>
      </c>
      <c r="G652" s="1">
        <v>6109647</v>
      </c>
      <c r="H652" s="1" t="s">
        <v>70</v>
      </c>
    </row>
    <row r="653" spans="1:8" x14ac:dyDescent="0.3">
      <c r="A653" s="1" t="s">
        <v>546</v>
      </c>
      <c r="B653" s="1" t="s">
        <v>547</v>
      </c>
      <c r="C653" s="1">
        <v>2014</v>
      </c>
      <c r="D653" s="1">
        <v>73266</v>
      </c>
      <c r="E653" s="1">
        <v>66</v>
      </c>
      <c r="F653" s="1">
        <v>789</v>
      </c>
      <c r="G653" s="1">
        <v>7564710</v>
      </c>
      <c r="H653" s="1" t="s">
        <v>70</v>
      </c>
    </row>
    <row r="654" spans="1:8" x14ac:dyDescent="0.3">
      <c r="A654" s="1" t="s">
        <v>548</v>
      </c>
      <c r="B654" s="1" t="s">
        <v>549</v>
      </c>
      <c r="C654" s="1">
        <v>2014</v>
      </c>
      <c r="D654" s="1">
        <v>52625</v>
      </c>
      <c r="E654" s="1">
        <v>304</v>
      </c>
      <c r="F654" s="1">
        <v>380</v>
      </c>
      <c r="G654" s="1">
        <v>13756589</v>
      </c>
      <c r="H654" s="1" t="s">
        <v>70</v>
      </c>
    </row>
    <row r="655" spans="1:8" x14ac:dyDescent="0.3">
      <c r="A655" s="1" t="s">
        <v>550</v>
      </c>
      <c r="B655" s="1" t="s">
        <v>551</v>
      </c>
      <c r="C655" s="1">
        <v>2014</v>
      </c>
      <c r="D655" s="1">
        <v>98078</v>
      </c>
      <c r="E655" s="1">
        <v>302</v>
      </c>
      <c r="F655" s="1">
        <v>466</v>
      </c>
      <c r="G655" s="1">
        <v>12263264</v>
      </c>
      <c r="H655" s="1" t="s">
        <v>70</v>
      </c>
    </row>
    <row r="656" spans="1:8" x14ac:dyDescent="0.3">
      <c r="A656" s="1" t="s">
        <v>552</v>
      </c>
      <c r="B656" s="1" t="s">
        <v>553</v>
      </c>
      <c r="C656" s="1">
        <v>2014</v>
      </c>
      <c r="D656" s="1">
        <v>49532</v>
      </c>
      <c r="E656" s="1">
        <v>186</v>
      </c>
      <c r="F656" s="1">
        <v>242</v>
      </c>
      <c r="G656" s="1">
        <v>3973275</v>
      </c>
      <c r="H656" s="1" t="s">
        <v>70</v>
      </c>
    </row>
    <row r="657" spans="1:8" x14ac:dyDescent="0.3">
      <c r="A657" s="1" t="s">
        <v>554</v>
      </c>
      <c r="B657" s="1" t="s">
        <v>555</v>
      </c>
      <c r="C657" s="1">
        <v>2014</v>
      </c>
      <c r="D657" s="1">
        <v>77928</v>
      </c>
      <c r="E657" s="1">
        <v>132</v>
      </c>
      <c r="F657" s="1">
        <v>1068</v>
      </c>
      <c r="G657" s="1">
        <v>7234533</v>
      </c>
      <c r="H657" s="1" t="s">
        <v>70</v>
      </c>
    </row>
    <row r="658" spans="1:8" x14ac:dyDescent="0.3">
      <c r="A658" s="1" t="s">
        <v>556</v>
      </c>
      <c r="B658" s="1" t="s">
        <v>557</v>
      </c>
      <c r="C658" s="1">
        <v>2014</v>
      </c>
      <c r="D658" s="1">
        <v>31691</v>
      </c>
      <c r="E658" s="1">
        <v>162</v>
      </c>
      <c r="F658" s="1">
        <v>111</v>
      </c>
      <c r="G658" s="1">
        <v>2986978</v>
      </c>
      <c r="H658" s="1" t="s">
        <v>70</v>
      </c>
    </row>
    <row r="659" spans="1:8" x14ac:dyDescent="0.3">
      <c r="A659" s="1" t="s">
        <v>558</v>
      </c>
      <c r="B659" s="1" t="s">
        <v>559</v>
      </c>
      <c r="C659" s="1">
        <v>2014</v>
      </c>
      <c r="D659" s="1">
        <v>34256</v>
      </c>
      <c r="E659" s="1">
        <v>165</v>
      </c>
      <c r="F659" s="1">
        <v>356</v>
      </c>
      <c r="G659" s="1">
        <v>2678290</v>
      </c>
      <c r="H659" s="1" t="s">
        <v>70</v>
      </c>
    </row>
    <row r="660" spans="1:8" x14ac:dyDescent="0.3">
      <c r="A660" s="1" t="s">
        <v>560</v>
      </c>
      <c r="B660" s="1" t="s">
        <v>561</v>
      </c>
      <c r="C660" s="1">
        <v>2014</v>
      </c>
      <c r="D660" s="1">
        <v>139954</v>
      </c>
      <c r="E660" s="1">
        <v>1314</v>
      </c>
      <c r="F660" s="1">
        <v>1104</v>
      </c>
      <c r="G660" s="1">
        <v>18231372</v>
      </c>
      <c r="H660" s="1" t="s">
        <v>70</v>
      </c>
    </row>
    <row r="661" spans="1:8" x14ac:dyDescent="0.3">
      <c r="A661" s="1" t="s">
        <v>562</v>
      </c>
      <c r="B661" s="1" t="s">
        <v>563</v>
      </c>
      <c r="C661" s="1">
        <v>2014</v>
      </c>
      <c r="D661" s="1">
        <v>28186</v>
      </c>
      <c r="E661" s="1">
        <v>196</v>
      </c>
      <c r="F661" s="1">
        <v>381</v>
      </c>
      <c r="G661" s="1">
        <v>3996645</v>
      </c>
      <c r="H661" s="1" t="s">
        <v>70</v>
      </c>
    </row>
    <row r="662" spans="1:8" x14ac:dyDescent="0.3">
      <c r="A662" s="1" t="s">
        <v>564</v>
      </c>
      <c r="B662" s="1" t="s">
        <v>565</v>
      </c>
      <c r="C662" s="1">
        <v>2014</v>
      </c>
      <c r="D662" s="1">
        <v>22100</v>
      </c>
      <c r="E662" s="1">
        <v>33</v>
      </c>
      <c r="F662" s="1">
        <v>172</v>
      </c>
      <c r="G662" s="1">
        <v>2677862</v>
      </c>
      <c r="H662" s="1" t="s">
        <v>70</v>
      </c>
    </row>
    <row r="663" spans="1:8" x14ac:dyDescent="0.3">
      <c r="A663" s="1" t="s">
        <v>566</v>
      </c>
      <c r="B663" s="1" t="s">
        <v>567</v>
      </c>
      <c r="C663" s="1">
        <v>2014</v>
      </c>
      <c r="D663" s="1">
        <v>57802</v>
      </c>
      <c r="E663" s="1">
        <v>117</v>
      </c>
      <c r="F663" s="1">
        <v>564</v>
      </c>
      <c r="G663" s="1">
        <v>6048683</v>
      </c>
      <c r="H663" s="1" t="s">
        <v>70</v>
      </c>
    </row>
    <row r="664" spans="1:8" x14ac:dyDescent="0.3">
      <c r="A664" s="1" t="s">
        <v>568</v>
      </c>
      <c r="B664" s="1" t="s">
        <v>569</v>
      </c>
      <c r="C664" s="1">
        <v>2014</v>
      </c>
      <c r="D664" s="1">
        <v>47149</v>
      </c>
      <c r="E664" s="1">
        <v>339</v>
      </c>
      <c r="F664" s="1">
        <v>161</v>
      </c>
      <c r="G664" s="1">
        <v>5312559</v>
      </c>
      <c r="H664" s="1" t="s">
        <v>70</v>
      </c>
    </row>
    <row r="665" spans="1:8" x14ac:dyDescent="0.3">
      <c r="A665" s="1" t="s">
        <v>570</v>
      </c>
      <c r="B665" s="1" t="s">
        <v>571</v>
      </c>
      <c r="C665" s="1">
        <v>2014</v>
      </c>
      <c r="D665" s="1">
        <v>30928</v>
      </c>
      <c r="E665" s="1">
        <v>49</v>
      </c>
      <c r="F665" s="1">
        <v>273</v>
      </c>
      <c r="G665" s="1">
        <v>4282405</v>
      </c>
      <c r="H665" s="1" t="s">
        <v>70</v>
      </c>
    </row>
    <row r="666" spans="1:8" x14ac:dyDescent="0.3">
      <c r="A666" s="1" t="s">
        <v>572</v>
      </c>
      <c r="B666" s="1" t="s">
        <v>573</v>
      </c>
      <c r="C666" s="1">
        <v>2014</v>
      </c>
      <c r="D666" s="1">
        <v>91467</v>
      </c>
      <c r="E666" s="1">
        <v>151</v>
      </c>
      <c r="F666" s="1">
        <v>361</v>
      </c>
      <c r="G666" s="1">
        <v>12933186</v>
      </c>
      <c r="H666" s="1" t="s">
        <v>70</v>
      </c>
    </row>
    <row r="667" spans="1:8" x14ac:dyDescent="0.3">
      <c r="A667" s="1" t="s">
        <v>574</v>
      </c>
      <c r="B667" s="1" t="s">
        <v>575</v>
      </c>
      <c r="C667" s="1">
        <v>2014</v>
      </c>
      <c r="D667" s="1">
        <v>22394</v>
      </c>
      <c r="E667" s="1">
        <v>8</v>
      </c>
      <c r="F667" s="1">
        <v>187</v>
      </c>
      <c r="G667" s="1">
        <v>2752808</v>
      </c>
      <c r="H667" s="1" t="s">
        <v>70</v>
      </c>
    </row>
    <row r="668" spans="1:8" x14ac:dyDescent="0.3">
      <c r="A668" s="1" t="s">
        <v>576</v>
      </c>
      <c r="B668" s="1" t="s">
        <v>577</v>
      </c>
      <c r="C668" s="1">
        <v>2014</v>
      </c>
      <c r="D668" s="1">
        <v>49041</v>
      </c>
      <c r="E668" s="1">
        <v>325</v>
      </c>
      <c r="F668" s="1">
        <v>628</v>
      </c>
      <c r="G668" s="1">
        <v>5472456</v>
      </c>
      <c r="H668" s="1" t="s">
        <v>70</v>
      </c>
    </row>
    <row r="669" spans="1:8" x14ac:dyDescent="0.3">
      <c r="A669" s="1" t="s">
        <v>578</v>
      </c>
      <c r="B669" s="1" t="s">
        <v>579</v>
      </c>
      <c r="C669" s="1">
        <v>2014</v>
      </c>
      <c r="D669" s="1">
        <v>69854</v>
      </c>
      <c r="E669" s="1">
        <v>235</v>
      </c>
      <c r="F669" s="1">
        <v>521</v>
      </c>
      <c r="G669" s="1">
        <v>11592390</v>
      </c>
      <c r="H669" s="1" t="s">
        <v>70</v>
      </c>
    </row>
    <row r="670" spans="1:8" x14ac:dyDescent="0.3">
      <c r="A670" s="1" t="s">
        <v>580</v>
      </c>
      <c r="B670" s="1" t="s">
        <v>581</v>
      </c>
      <c r="C670" s="1">
        <v>2014</v>
      </c>
      <c r="D670" s="1">
        <v>19617</v>
      </c>
      <c r="E670" s="1">
        <v>141</v>
      </c>
      <c r="F670" s="1">
        <v>143</v>
      </c>
      <c r="G670" s="1">
        <v>1188325</v>
      </c>
      <c r="H670" s="1" t="s">
        <v>70</v>
      </c>
    </row>
    <row r="671" spans="1:8" x14ac:dyDescent="0.3">
      <c r="A671" s="1" t="s">
        <v>582</v>
      </c>
      <c r="B671" s="1" t="s">
        <v>583</v>
      </c>
      <c r="C671" s="1">
        <v>2014</v>
      </c>
      <c r="D671" s="1">
        <v>24586</v>
      </c>
      <c r="E671" s="1">
        <v>168</v>
      </c>
      <c r="F671" s="1">
        <v>23</v>
      </c>
      <c r="G671" s="1">
        <v>781895</v>
      </c>
      <c r="H671" s="1" t="s">
        <v>70</v>
      </c>
    </row>
    <row r="672" spans="1:8" x14ac:dyDescent="0.3">
      <c r="A672" s="1" t="s">
        <v>584</v>
      </c>
      <c r="B672" s="1" t="s">
        <v>585</v>
      </c>
      <c r="C672" s="1">
        <v>2014</v>
      </c>
      <c r="D672" s="1">
        <v>29626</v>
      </c>
      <c r="E672" s="1">
        <v>159</v>
      </c>
      <c r="F672" s="1">
        <v>0</v>
      </c>
      <c r="G672" s="1">
        <v>780069</v>
      </c>
      <c r="H672" s="1" t="s">
        <v>70</v>
      </c>
    </row>
    <row r="673" spans="1:8" x14ac:dyDescent="0.3">
      <c r="A673" s="1" t="s">
        <v>586</v>
      </c>
      <c r="B673" s="1" t="s">
        <v>587</v>
      </c>
      <c r="C673" s="1">
        <v>2014</v>
      </c>
      <c r="D673" s="1">
        <v>10907</v>
      </c>
      <c r="E673" s="1">
        <v>32</v>
      </c>
      <c r="F673" s="1">
        <v>7</v>
      </c>
      <c r="G673" s="1">
        <v>171659</v>
      </c>
      <c r="H673" s="1" t="s">
        <v>70</v>
      </c>
    </row>
    <row r="674" spans="1:8" x14ac:dyDescent="0.3">
      <c r="A674" s="1" t="s">
        <v>588</v>
      </c>
      <c r="B674" s="1" t="s">
        <v>589</v>
      </c>
      <c r="C674" s="1">
        <v>2014</v>
      </c>
      <c r="D674" s="1">
        <v>58507</v>
      </c>
      <c r="E674" s="1">
        <v>673</v>
      </c>
      <c r="F674" s="1">
        <v>12</v>
      </c>
      <c r="G674" s="1">
        <v>411779</v>
      </c>
      <c r="H674" s="1" t="s">
        <v>70</v>
      </c>
    </row>
    <row r="675" spans="1:8" x14ac:dyDescent="0.3">
      <c r="A675" s="1" t="s">
        <v>590</v>
      </c>
      <c r="B675" s="1" t="s">
        <v>591</v>
      </c>
      <c r="C675" s="1">
        <v>2014</v>
      </c>
      <c r="D675" s="1">
        <v>29612</v>
      </c>
      <c r="E675" s="1">
        <v>126</v>
      </c>
      <c r="F675" s="1">
        <v>45</v>
      </c>
      <c r="G675" s="1">
        <v>595546</v>
      </c>
      <c r="H675" s="1" t="s">
        <v>70</v>
      </c>
    </row>
    <row r="676" spans="1:8" x14ac:dyDescent="0.3">
      <c r="A676" s="1" t="s">
        <v>592</v>
      </c>
      <c r="B676" s="1" t="s">
        <v>593</v>
      </c>
      <c r="C676" s="1">
        <v>2014</v>
      </c>
      <c r="D676" s="1">
        <v>18518</v>
      </c>
      <c r="E676" s="1">
        <v>65</v>
      </c>
      <c r="F676" s="1">
        <v>11</v>
      </c>
      <c r="G676" s="1">
        <v>307867</v>
      </c>
      <c r="H676" s="1" t="s">
        <v>70</v>
      </c>
    </row>
    <row r="677" spans="1:8" x14ac:dyDescent="0.3">
      <c r="A677" s="1" t="s">
        <v>594</v>
      </c>
      <c r="B677" s="1" t="s">
        <v>595</v>
      </c>
      <c r="C677" s="1">
        <v>2014</v>
      </c>
      <c r="D677" s="1">
        <v>40789</v>
      </c>
      <c r="E677" s="1">
        <v>128</v>
      </c>
      <c r="F677" s="1">
        <v>159</v>
      </c>
      <c r="G677" s="1">
        <v>1917161</v>
      </c>
      <c r="H677" s="1" t="s">
        <v>70</v>
      </c>
    </row>
    <row r="678" spans="1:8" x14ac:dyDescent="0.3">
      <c r="A678" s="1" t="s">
        <v>596</v>
      </c>
      <c r="B678" s="1" t="s">
        <v>597</v>
      </c>
      <c r="C678" s="1">
        <v>2014</v>
      </c>
      <c r="D678" s="1">
        <v>14243</v>
      </c>
      <c r="E678" s="1">
        <v>86</v>
      </c>
      <c r="F678" s="1">
        <v>23</v>
      </c>
      <c r="G678" s="1">
        <v>616781</v>
      </c>
      <c r="H678" s="1" t="s">
        <v>70</v>
      </c>
    </row>
    <row r="679" spans="1:8" x14ac:dyDescent="0.3">
      <c r="A679" s="1" t="s">
        <v>598</v>
      </c>
      <c r="B679" s="1" t="s">
        <v>599</v>
      </c>
      <c r="C679" s="1">
        <v>2014</v>
      </c>
      <c r="D679" s="1">
        <v>25543</v>
      </c>
      <c r="E679" s="1">
        <v>135</v>
      </c>
      <c r="F679" s="1">
        <v>45</v>
      </c>
      <c r="G679" s="1">
        <v>686374</v>
      </c>
      <c r="H679" s="1" t="s">
        <v>70</v>
      </c>
    </row>
    <row r="680" spans="1:8" x14ac:dyDescent="0.3">
      <c r="A680" s="1" t="s">
        <v>600</v>
      </c>
      <c r="B680" s="1" t="s">
        <v>601</v>
      </c>
      <c r="C680" s="1">
        <v>2014</v>
      </c>
      <c r="D680" s="1">
        <v>30220</v>
      </c>
      <c r="E680" s="1">
        <v>143</v>
      </c>
      <c r="F680" s="1">
        <v>84</v>
      </c>
      <c r="G680" s="1">
        <v>1945112</v>
      </c>
      <c r="H680" s="1" t="s">
        <v>70</v>
      </c>
    </row>
    <row r="681" spans="1:8" x14ac:dyDescent="0.3">
      <c r="A681" s="1" t="s">
        <v>602</v>
      </c>
      <c r="B681" s="1" t="s">
        <v>603</v>
      </c>
      <c r="C681" s="1">
        <v>2014</v>
      </c>
      <c r="D681" s="1">
        <v>32008</v>
      </c>
      <c r="E681" s="1">
        <v>123</v>
      </c>
      <c r="F681" s="1">
        <v>166</v>
      </c>
      <c r="G681" s="1">
        <v>2896369</v>
      </c>
      <c r="H681" s="1" t="s">
        <v>70</v>
      </c>
    </row>
    <row r="682" spans="1:8" x14ac:dyDescent="0.3">
      <c r="A682" s="1" t="s">
        <v>604</v>
      </c>
      <c r="B682" s="1" t="s">
        <v>605</v>
      </c>
      <c r="C682" s="1">
        <v>2014</v>
      </c>
      <c r="D682" s="1">
        <v>23446</v>
      </c>
      <c r="E682" s="1">
        <v>193</v>
      </c>
      <c r="F682" s="1">
        <v>38</v>
      </c>
      <c r="G682" s="1">
        <v>659300</v>
      </c>
      <c r="H682" s="1" t="s">
        <v>70</v>
      </c>
    </row>
    <row r="683" spans="1:8" x14ac:dyDescent="0.3">
      <c r="A683" s="1" t="s">
        <v>606</v>
      </c>
      <c r="B683" s="1" t="s">
        <v>607</v>
      </c>
      <c r="C683" s="1">
        <v>2014</v>
      </c>
      <c r="D683" s="1">
        <v>16082</v>
      </c>
      <c r="E683" s="1">
        <v>125</v>
      </c>
      <c r="F683" s="1">
        <v>22</v>
      </c>
      <c r="G683" s="1">
        <v>236526</v>
      </c>
      <c r="H683" s="1" t="s">
        <v>70</v>
      </c>
    </row>
    <row r="684" spans="1:8" x14ac:dyDescent="0.3">
      <c r="A684" s="1" t="s">
        <v>608</v>
      </c>
      <c r="B684" s="1" t="s">
        <v>609</v>
      </c>
      <c r="C684" s="1">
        <v>2014</v>
      </c>
      <c r="D684" s="1">
        <v>82007</v>
      </c>
      <c r="E684" s="1">
        <v>1377</v>
      </c>
      <c r="F684" s="1">
        <v>1032</v>
      </c>
      <c r="G684" s="1">
        <v>4735009</v>
      </c>
      <c r="H684" s="1" t="s">
        <v>70</v>
      </c>
    </row>
    <row r="685" spans="1:8" x14ac:dyDescent="0.3">
      <c r="A685" s="1" t="s">
        <v>610</v>
      </c>
      <c r="B685" s="1" t="s">
        <v>611</v>
      </c>
      <c r="C685" s="1">
        <v>2014</v>
      </c>
      <c r="D685" s="1">
        <v>20651</v>
      </c>
      <c r="E685" s="1">
        <v>59</v>
      </c>
      <c r="F685" s="1">
        <v>163</v>
      </c>
      <c r="G685" s="1">
        <v>3300394</v>
      </c>
      <c r="H685" s="1" t="s">
        <v>70</v>
      </c>
    </row>
    <row r="686" spans="1:8" x14ac:dyDescent="0.3">
      <c r="A686" s="1" t="s">
        <v>612</v>
      </c>
      <c r="B686" s="1" t="s">
        <v>613</v>
      </c>
      <c r="C686" s="1">
        <v>2014</v>
      </c>
      <c r="D686" s="1">
        <v>14148</v>
      </c>
      <c r="E686" s="1">
        <v>28</v>
      </c>
      <c r="F686" s="1">
        <v>135</v>
      </c>
      <c r="G686" s="1">
        <v>1856289</v>
      </c>
      <c r="H686" s="1" t="s">
        <v>70</v>
      </c>
    </row>
    <row r="687" spans="1:8" x14ac:dyDescent="0.3">
      <c r="A687" s="1" t="s">
        <v>614</v>
      </c>
      <c r="B687" s="1" t="s">
        <v>615</v>
      </c>
      <c r="C687" s="1">
        <v>2014</v>
      </c>
      <c r="D687" s="1">
        <v>21208</v>
      </c>
      <c r="E687" s="1">
        <v>127</v>
      </c>
      <c r="F687" s="1">
        <v>154</v>
      </c>
      <c r="G687" s="1">
        <v>1964920</v>
      </c>
      <c r="H687" s="1" t="s">
        <v>70</v>
      </c>
    </row>
    <row r="688" spans="1:8" x14ac:dyDescent="0.3">
      <c r="A688" s="1" t="s">
        <v>616</v>
      </c>
      <c r="B688" s="1" t="s">
        <v>617</v>
      </c>
      <c r="C688" s="1">
        <v>2014</v>
      </c>
      <c r="D688" s="1">
        <v>17834</v>
      </c>
      <c r="E688" s="1">
        <v>147</v>
      </c>
      <c r="F688" s="1">
        <v>91</v>
      </c>
      <c r="G688" s="1">
        <v>924651</v>
      </c>
      <c r="H688" s="1" t="s">
        <v>70</v>
      </c>
    </row>
    <row r="689" spans="1:8" x14ac:dyDescent="0.3">
      <c r="A689" s="1" t="s">
        <v>618</v>
      </c>
      <c r="B689" s="1" t="s">
        <v>619</v>
      </c>
      <c r="C689" s="1">
        <v>2014</v>
      </c>
      <c r="D689" s="1">
        <v>31210</v>
      </c>
      <c r="E689" s="1">
        <v>401</v>
      </c>
      <c r="F689" s="1">
        <v>422</v>
      </c>
      <c r="G689" s="1">
        <v>2355813</v>
      </c>
      <c r="H689" s="1" t="s">
        <v>70</v>
      </c>
    </row>
    <row r="690" spans="1:8" x14ac:dyDescent="0.3">
      <c r="A690" s="1" t="s">
        <v>620</v>
      </c>
      <c r="B690" s="1" t="s">
        <v>621</v>
      </c>
      <c r="C690" s="1">
        <v>2014</v>
      </c>
      <c r="D690" s="1">
        <v>20436</v>
      </c>
      <c r="E690" s="1">
        <v>163</v>
      </c>
      <c r="F690" s="1">
        <v>225</v>
      </c>
      <c r="G690" s="1">
        <v>2623069</v>
      </c>
      <c r="H690" s="1" t="s">
        <v>70</v>
      </c>
    </row>
    <row r="691" spans="1:8" x14ac:dyDescent="0.3">
      <c r="A691" s="1" t="s">
        <v>622</v>
      </c>
      <c r="B691" s="1" t="s">
        <v>623</v>
      </c>
      <c r="C691" s="1">
        <v>2014</v>
      </c>
      <c r="D691" s="1">
        <v>29116</v>
      </c>
      <c r="E691" s="1">
        <v>250</v>
      </c>
      <c r="F691" s="1">
        <v>306</v>
      </c>
      <c r="G691" s="1">
        <v>1497824</v>
      </c>
      <c r="H691" s="1" t="s">
        <v>70</v>
      </c>
    </row>
    <row r="692" spans="1:8" x14ac:dyDescent="0.3">
      <c r="A692" s="1" t="s">
        <v>624</v>
      </c>
      <c r="B692" s="1" t="s">
        <v>625</v>
      </c>
      <c r="C692" s="1">
        <v>2014</v>
      </c>
      <c r="D692" s="1">
        <v>23428</v>
      </c>
      <c r="E692" s="1">
        <v>129</v>
      </c>
      <c r="F692" s="1">
        <v>257</v>
      </c>
      <c r="G692" s="1">
        <v>2703113</v>
      </c>
      <c r="H692" s="1" t="s">
        <v>70</v>
      </c>
    </row>
    <row r="693" spans="1:8" x14ac:dyDescent="0.3">
      <c r="A693" s="1" t="s">
        <v>626</v>
      </c>
      <c r="B693" s="1" t="s">
        <v>627</v>
      </c>
      <c r="C693" s="1">
        <v>2014</v>
      </c>
      <c r="D693" s="1">
        <v>14786</v>
      </c>
      <c r="E693" s="1">
        <v>65</v>
      </c>
      <c r="F693" s="1">
        <v>131</v>
      </c>
      <c r="G693" s="1">
        <v>1632329</v>
      </c>
      <c r="H693" s="1" t="s">
        <v>70</v>
      </c>
    </row>
    <row r="694" spans="1:8" x14ac:dyDescent="0.3">
      <c r="A694" s="1" t="s">
        <v>628</v>
      </c>
      <c r="B694" s="1" t="s">
        <v>629</v>
      </c>
      <c r="C694" s="1">
        <v>2014</v>
      </c>
      <c r="D694" s="1">
        <v>17658</v>
      </c>
      <c r="E694" s="1">
        <v>205</v>
      </c>
      <c r="F694" s="1">
        <v>181</v>
      </c>
      <c r="G694" s="1">
        <v>2204189</v>
      </c>
      <c r="H694" s="1" t="s">
        <v>70</v>
      </c>
    </row>
    <row r="695" spans="1:8" x14ac:dyDescent="0.3">
      <c r="A695" s="1" t="s">
        <v>630</v>
      </c>
      <c r="B695" s="1" t="s">
        <v>631</v>
      </c>
      <c r="C695" s="1">
        <v>2014</v>
      </c>
      <c r="D695" s="1">
        <v>10521</v>
      </c>
      <c r="E695" s="1">
        <v>78</v>
      </c>
      <c r="F695" s="1">
        <v>70</v>
      </c>
      <c r="G695" s="1">
        <v>656649</v>
      </c>
      <c r="H695" s="1" t="s">
        <v>70</v>
      </c>
    </row>
    <row r="696" spans="1:8" x14ac:dyDescent="0.3">
      <c r="A696" s="1" t="s">
        <v>632</v>
      </c>
      <c r="B696" s="1" t="s">
        <v>633</v>
      </c>
      <c r="C696" s="1">
        <v>2014</v>
      </c>
      <c r="D696" s="1">
        <v>13315</v>
      </c>
      <c r="E696" s="1">
        <v>125</v>
      </c>
      <c r="F696" s="1">
        <v>58</v>
      </c>
      <c r="G696" s="1">
        <v>678933</v>
      </c>
      <c r="H696" s="1" t="s">
        <v>70</v>
      </c>
    </row>
    <row r="697" spans="1:8" x14ac:dyDescent="0.3">
      <c r="A697" s="1" t="s">
        <v>634</v>
      </c>
      <c r="B697" s="1" t="s">
        <v>635</v>
      </c>
      <c r="C697" s="1">
        <v>2014</v>
      </c>
      <c r="D697" s="1">
        <v>11614</v>
      </c>
      <c r="E697" s="1">
        <v>62</v>
      </c>
      <c r="F697" s="1">
        <v>109</v>
      </c>
      <c r="G697" s="1">
        <v>1663995</v>
      </c>
      <c r="H697" s="1" t="s">
        <v>70</v>
      </c>
    </row>
    <row r="698" spans="1:8" x14ac:dyDescent="0.3">
      <c r="A698" s="1" t="s">
        <v>636</v>
      </c>
      <c r="B698" s="1" t="s">
        <v>637</v>
      </c>
      <c r="C698" s="1">
        <v>2014</v>
      </c>
      <c r="D698" s="1">
        <v>39619</v>
      </c>
      <c r="E698" s="1">
        <v>471</v>
      </c>
      <c r="F698" s="1">
        <v>363</v>
      </c>
      <c r="G698" s="1">
        <v>3301437</v>
      </c>
      <c r="H698" s="1" t="s">
        <v>70</v>
      </c>
    </row>
    <row r="699" spans="1:8" x14ac:dyDescent="0.3">
      <c r="A699" s="1" t="s">
        <v>638</v>
      </c>
      <c r="B699" s="1" t="s">
        <v>639</v>
      </c>
      <c r="C699" s="1">
        <v>2014</v>
      </c>
      <c r="D699" s="1">
        <v>35682</v>
      </c>
      <c r="E699" s="1">
        <v>404</v>
      </c>
      <c r="F699" s="1">
        <v>363</v>
      </c>
      <c r="G699" s="1">
        <v>2176322</v>
      </c>
      <c r="H699" s="1" t="s">
        <v>70</v>
      </c>
    </row>
    <row r="700" spans="1:8" x14ac:dyDescent="0.3">
      <c r="A700" s="1" t="s">
        <v>640</v>
      </c>
      <c r="B700" s="1" t="s">
        <v>641</v>
      </c>
      <c r="C700" s="1">
        <v>2014</v>
      </c>
      <c r="D700" s="1">
        <v>18800</v>
      </c>
      <c r="E700" s="1">
        <v>124</v>
      </c>
      <c r="F700" s="1">
        <v>145</v>
      </c>
      <c r="G700" s="1">
        <v>2333006</v>
      </c>
      <c r="H700" s="1" t="s">
        <v>70</v>
      </c>
    </row>
    <row r="701" spans="1:8" x14ac:dyDescent="0.3">
      <c r="A701" s="1" t="s">
        <v>642</v>
      </c>
      <c r="B701" s="1" t="s">
        <v>643</v>
      </c>
      <c r="C701" s="1">
        <v>2014</v>
      </c>
      <c r="D701" s="1">
        <v>22296</v>
      </c>
      <c r="E701" s="1">
        <v>228</v>
      </c>
      <c r="F701" s="1">
        <v>163</v>
      </c>
      <c r="G701" s="1">
        <v>1218193</v>
      </c>
      <c r="H701" s="1" t="s">
        <v>70</v>
      </c>
    </row>
    <row r="702" spans="1:8" x14ac:dyDescent="0.3">
      <c r="A702" s="1" t="s">
        <v>644</v>
      </c>
      <c r="B702" s="1" t="s">
        <v>645</v>
      </c>
      <c r="C702" s="1">
        <v>2014</v>
      </c>
      <c r="D702" s="1">
        <v>8948</v>
      </c>
      <c r="E702" s="1">
        <v>32</v>
      </c>
      <c r="F702" s="1">
        <v>87</v>
      </c>
      <c r="G702" s="1">
        <v>2354579</v>
      </c>
      <c r="H702" s="1" t="s">
        <v>70</v>
      </c>
    </row>
    <row r="703" spans="1:8" x14ac:dyDescent="0.3">
      <c r="A703" s="1" t="s">
        <v>646</v>
      </c>
      <c r="B703" s="1" t="s">
        <v>647</v>
      </c>
      <c r="C703" s="1">
        <v>2014</v>
      </c>
      <c r="D703" s="1">
        <v>8325</v>
      </c>
      <c r="E703" s="1">
        <v>22</v>
      </c>
      <c r="F703" s="1">
        <v>65</v>
      </c>
      <c r="G703" s="1">
        <v>1009471</v>
      </c>
      <c r="H703" s="1" t="s">
        <v>70</v>
      </c>
    </row>
    <row r="704" spans="1:8" x14ac:dyDescent="0.3">
      <c r="A704" s="1" t="s">
        <v>648</v>
      </c>
      <c r="B704" s="1" t="s">
        <v>649</v>
      </c>
      <c r="C704" s="1">
        <v>2014</v>
      </c>
      <c r="D704" s="1">
        <v>46091</v>
      </c>
      <c r="E704" s="1">
        <v>332</v>
      </c>
      <c r="F704" s="1">
        <v>611</v>
      </c>
      <c r="G704" s="1">
        <v>7612998</v>
      </c>
      <c r="H704" s="1" t="s">
        <v>70</v>
      </c>
    </row>
    <row r="705" spans="1:8" x14ac:dyDescent="0.3">
      <c r="A705" s="1" t="s">
        <v>650</v>
      </c>
      <c r="B705" s="1" t="s">
        <v>651</v>
      </c>
      <c r="C705" s="1">
        <v>2014</v>
      </c>
      <c r="D705" s="1">
        <v>75452</v>
      </c>
      <c r="E705" s="1">
        <v>873</v>
      </c>
      <c r="F705" s="1">
        <v>1864</v>
      </c>
      <c r="G705" s="1">
        <v>6761105</v>
      </c>
      <c r="H705" s="1" t="s">
        <v>70</v>
      </c>
    </row>
    <row r="706" spans="1:8" x14ac:dyDescent="0.3">
      <c r="A706" s="1" t="s">
        <v>652</v>
      </c>
      <c r="B706" s="1" t="s">
        <v>653</v>
      </c>
      <c r="C706" s="1">
        <v>2014</v>
      </c>
      <c r="D706" s="1">
        <v>14484</v>
      </c>
      <c r="E706" s="1">
        <v>78</v>
      </c>
      <c r="F706" s="1">
        <v>58</v>
      </c>
      <c r="G706" s="1">
        <v>1259313</v>
      </c>
      <c r="H706" s="1" t="s">
        <v>70</v>
      </c>
    </row>
    <row r="707" spans="1:8" x14ac:dyDescent="0.3">
      <c r="A707" s="1" t="s">
        <v>654</v>
      </c>
      <c r="B707" s="1" t="s">
        <v>655</v>
      </c>
      <c r="C707" s="1">
        <v>2014</v>
      </c>
      <c r="D707" s="1">
        <v>26775</v>
      </c>
      <c r="E707" s="1">
        <v>185</v>
      </c>
      <c r="F707" s="1">
        <v>180</v>
      </c>
      <c r="G707" s="1">
        <v>1830245</v>
      </c>
      <c r="H707" s="1" t="s">
        <v>70</v>
      </c>
    </row>
    <row r="708" spans="1:8" x14ac:dyDescent="0.3">
      <c r="A708" s="1" t="s">
        <v>656</v>
      </c>
      <c r="B708" s="1" t="s">
        <v>657</v>
      </c>
      <c r="C708" s="1">
        <v>2014</v>
      </c>
      <c r="D708" s="1">
        <v>47694</v>
      </c>
      <c r="E708" s="1">
        <v>479</v>
      </c>
      <c r="F708" s="1">
        <v>286</v>
      </c>
      <c r="G708" s="1">
        <v>8703179</v>
      </c>
      <c r="H708" s="1" t="s">
        <v>70</v>
      </c>
    </row>
    <row r="709" spans="1:8" x14ac:dyDescent="0.3">
      <c r="A709" s="1" t="s">
        <v>658</v>
      </c>
      <c r="B709" s="1" t="s">
        <v>659</v>
      </c>
      <c r="C709" s="1">
        <v>2014</v>
      </c>
      <c r="D709" s="1">
        <v>21101</v>
      </c>
      <c r="E709" s="1">
        <v>181</v>
      </c>
      <c r="F709" s="1">
        <v>78</v>
      </c>
      <c r="G709" s="1">
        <v>1414243</v>
      </c>
      <c r="H709" s="1" t="s">
        <v>70</v>
      </c>
    </row>
    <row r="710" spans="1:8" x14ac:dyDescent="0.3">
      <c r="A710" s="1" t="s">
        <v>660</v>
      </c>
      <c r="B710" s="1" t="s">
        <v>292</v>
      </c>
      <c r="C710" s="1">
        <v>2014</v>
      </c>
      <c r="D710" s="1">
        <v>14060</v>
      </c>
      <c r="E710" s="1">
        <v>154</v>
      </c>
      <c r="F710" s="1">
        <v>80</v>
      </c>
      <c r="G710" s="1">
        <v>794596</v>
      </c>
      <c r="H710" s="1" t="s">
        <v>70</v>
      </c>
    </row>
    <row r="711" spans="1:8" x14ac:dyDescent="0.3">
      <c r="A711" s="1" t="s">
        <v>661</v>
      </c>
      <c r="B711" s="1" t="s">
        <v>662</v>
      </c>
      <c r="C711" s="1">
        <v>2014</v>
      </c>
      <c r="D711" s="1">
        <v>20790</v>
      </c>
      <c r="E711" s="1">
        <v>161</v>
      </c>
      <c r="F711" s="1">
        <v>64</v>
      </c>
      <c r="G711" s="1">
        <v>1365374</v>
      </c>
      <c r="H711" s="1" t="s">
        <v>70</v>
      </c>
    </row>
    <row r="712" spans="1:8" x14ac:dyDescent="0.3">
      <c r="A712" s="1" t="s">
        <v>663</v>
      </c>
      <c r="B712" s="1" t="s">
        <v>664</v>
      </c>
      <c r="C712" s="1">
        <v>2014</v>
      </c>
      <c r="D712" s="1">
        <v>22530</v>
      </c>
      <c r="E712" s="1">
        <v>219</v>
      </c>
      <c r="F712" s="1">
        <v>11</v>
      </c>
      <c r="G712" s="1">
        <v>337007</v>
      </c>
      <c r="H712" s="1" t="s">
        <v>70</v>
      </c>
    </row>
    <row r="713" spans="1:8" x14ac:dyDescent="0.3">
      <c r="A713" s="1" t="s">
        <v>665</v>
      </c>
      <c r="B713" s="1" t="s">
        <v>666</v>
      </c>
      <c r="C713" s="1">
        <v>2014</v>
      </c>
      <c r="D713" s="1">
        <v>16631</v>
      </c>
      <c r="E713" s="1">
        <v>159</v>
      </c>
      <c r="F713" s="1">
        <v>10</v>
      </c>
      <c r="G713" s="1">
        <v>713135</v>
      </c>
      <c r="H713" s="1" t="s">
        <v>70</v>
      </c>
    </row>
    <row r="714" spans="1:8" x14ac:dyDescent="0.3">
      <c r="A714" s="1" t="s">
        <v>667</v>
      </c>
      <c r="B714" s="1" t="s">
        <v>668</v>
      </c>
      <c r="C714" s="1">
        <v>2014</v>
      </c>
      <c r="D714" s="1">
        <v>28698</v>
      </c>
      <c r="E714" s="1">
        <v>160</v>
      </c>
      <c r="F714" s="1">
        <v>56</v>
      </c>
      <c r="G714" s="1">
        <v>1937852</v>
      </c>
      <c r="H714" s="1" t="s">
        <v>70</v>
      </c>
    </row>
    <row r="715" spans="1:8" x14ac:dyDescent="0.3">
      <c r="A715" s="1" t="s">
        <v>669</v>
      </c>
      <c r="B715" s="1" t="s">
        <v>670</v>
      </c>
      <c r="C715" s="1">
        <v>2014</v>
      </c>
      <c r="D715" s="1">
        <v>35377</v>
      </c>
      <c r="E715" s="1">
        <v>416</v>
      </c>
      <c r="F715" s="1">
        <v>9</v>
      </c>
      <c r="G715" s="1">
        <v>756173</v>
      </c>
      <c r="H715" s="1" t="s">
        <v>70</v>
      </c>
    </row>
    <row r="716" spans="1:8" x14ac:dyDescent="0.3">
      <c r="A716" s="1" t="s">
        <v>671</v>
      </c>
      <c r="B716" s="1" t="s">
        <v>672</v>
      </c>
      <c r="C716" s="1">
        <v>2014</v>
      </c>
      <c r="D716" s="1">
        <v>23836</v>
      </c>
      <c r="E716" s="1">
        <v>208</v>
      </c>
      <c r="F716" s="1">
        <v>112</v>
      </c>
      <c r="G716" s="1">
        <v>2501443</v>
      </c>
      <c r="H716" s="1" t="s">
        <v>70</v>
      </c>
    </row>
    <row r="717" spans="1:8" x14ac:dyDescent="0.3">
      <c r="A717" s="1" t="s">
        <v>673</v>
      </c>
      <c r="B717" s="1" t="s">
        <v>674</v>
      </c>
      <c r="C717" s="1">
        <v>2014</v>
      </c>
      <c r="D717" s="1">
        <v>22840</v>
      </c>
      <c r="E717" s="1">
        <v>178</v>
      </c>
      <c r="F717" s="1">
        <v>153</v>
      </c>
      <c r="G717" s="1">
        <v>2234396</v>
      </c>
      <c r="H717" s="1" t="s">
        <v>70</v>
      </c>
    </row>
    <row r="718" spans="1:8" x14ac:dyDescent="0.3">
      <c r="A718" s="1" t="s">
        <v>675</v>
      </c>
      <c r="B718" s="1" t="s">
        <v>676</v>
      </c>
      <c r="C718" s="1">
        <v>2014</v>
      </c>
      <c r="D718" s="1">
        <v>14558</v>
      </c>
      <c r="E718" s="1">
        <v>275</v>
      </c>
      <c r="F718" s="1">
        <v>4</v>
      </c>
      <c r="G718" s="1">
        <v>254511</v>
      </c>
      <c r="H718" s="1" t="s">
        <v>70</v>
      </c>
    </row>
    <row r="719" spans="1:8" x14ac:dyDescent="0.3">
      <c r="A719" s="1" t="s">
        <v>677</v>
      </c>
      <c r="B719" s="1" t="s">
        <v>678</v>
      </c>
      <c r="C719" s="1">
        <v>2014</v>
      </c>
      <c r="D719" s="1">
        <v>12121</v>
      </c>
      <c r="E719" s="1">
        <v>98</v>
      </c>
      <c r="F719" s="1">
        <v>83</v>
      </c>
      <c r="G719" s="1">
        <v>987294</v>
      </c>
      <c r="H719" s="1" t="s">
        <v>70</v>
      </c>
    </row>
    <row r="720" spans="1:8" x14ac:dyDescent="0.3">
      <c r="A720" s="1" t="s">
        <v>679</v>
      </c>
      <c r="B720" s="1" t="s">
        <v>680</v>
      </c>
      <c r="C720" s="1">
        <v>2014</v>
      </c>
      <c r="D720" s="1">
        <v>22740</v>
      </c>
      <c r="E720" s="1">
        <v>282</v>
      </c>
      <c r="F720" s="1">
        <v>161</v>
      </c>
      <c r="G720" s="1">
        <v>639994</v>
      </c>
      <c r="H720" s="1" t="s">
        <v>70</v>
      </c>
    </row>
    <row r="721" spans="1:8" x14ac:dyDescent="0.3">
      <c r="A721" s="1" t="s">
        <v>681</v>
      </c>
      <c r="B721" s="1" t="s">
        <v>682</v>
      </c>
      <c r="C721" s="1">
        <v>2014</v>
      </c>
      <c r="D721" s="1">
        <v>18384</v>
      </c>
      <c r="E721" s="1">
        <v>168</v>
      </c>
      <c r="F721" s="1">
        <v>154</v>
      </c>
      <c r="G721" s="1">
        <v>1308900</v>
      </c>
      <c r="H721" s="1" t="s">
        <v>70</v>
      </c>
    </row>
    <row r="722" spans="1:8" x14ac:dyDescent="0.3">
      <c r="A722" s="1" t="s">
        <v>683</v>
      </c>
      <c r="B722" s="1" t="s">
        <v>314</v>
      </c>
      <c r="C722" s="1">
        <v>2014</v>
      </c>
      <c r="D722" s="1">
        <v>50192</v>
      </c>
      <c r="E722" s="1">
        <v>493</v>
      </c>
      <c r="F722" s="1">
        <v>37</v>
      </c>
      <c r="G722" s="1">
        <v>5017261</v>
      </c>
      <c r="H722" s="1" t="s">
        <v>70</v>
      </c>
    </row>
    <row r="723" spans="1:8" x14ac:dyDescent="0.3">
      <c r="A723" s="1" t="s">
        <v>684</v>
      </c>
      <c r="B723" s="1" t="s">
        <v>685</v>
      </c>
      <c r="C723" s="1">
        <v>2014</v>
      </c>
      <c r="D723" s="1">
        <v>16357</v>
      </c>
      <c r="E723" s="1">
        <v>199</v>
      </c>
      <c r="F723" s="1">
        <v>47</v>
      </c>
      <c r="G723" s="1">
        <v>890349</v>
      </c>
      <c r="H723" s="1" t="s">
        <v>70</v>
      </c>
    </row>
    <row r="724" spans="1:8" x14ac:dyDescent="0.3">
      <c r="A724" s="1" t="s">
        <v>686</v>
      </c>
      <c r="B724" s="1" t="s">
        <v>687</v>
      </c>
      <c r="C724" s="1">
        <v>2014</v>
      </c>
      <c r="D724" s="1">
        <v>45083</v>
      </c>
      <c r="E724" s="1">
        <v>297</v>
      </c>
      <c r="F724" s="1">
        <v>288</v>
      </c>
      <c r="G724" s="1">
        <v>5679326</v>
      </c>
      <c r="H724" s="1" t="s">
        <v>70</v>
      </c>
    </row>
    <row r="725" spans="1:8" x14ac:dyDescent="0.3">
      <c r="A725" s="1" t="s">
        <v>688</v>
      </c>
      <c r="B725" s="1" t="s">
        <v>689</v>
      </c>
      <c r="C725" s="1">
        <v>2014</v>
      </c>
      <c r="D725" s="1">
        <v>18092</v>
      </c>
      <c r="E725" s="1">
        <v>194</v>
      </c>
      <c r="F725" s="1">
        <v>84</v>
      </c>
      <c r="G725" s="1">
        <v>1908825</v>
      </c>
      <c r="H725" s="1" t="s">
        <v>70</v>
      </c>
    </row>
    <row r="726" spans="1:8" x14ac:dyDescent="0.3">
      <c r="A726" s="1" t="s">
        <v>690</v>
      </c>
      <c r="B726" s="1" t="s">
        <v>691</v>
      </c>
      <c r="C726" s="1">
        <v>2014</v>
      </c>
      <c r="D726" s="1">
        <v>117550</v>
      </c>
      <c r="E726" s="1">
        <v>3318</v>
      </c>
      <c r="F726" s="1">
        <v>2158</v>
      </c>
      <c r="G726" s="1">
        <v>4116082</v>
      </c>
      <c r="H726" s="1" t="s">
        <v>70</v>
      </c>
    </row>
    <row r="727" spans="1:8" x14ac:dyDescent="0.3">
      <c r="A727" s="1" t="s">
        <v>692</v>
      </c>
      <c r="B727" s="1" t="s">
        <v>693</v>
      </c>
      <c r="C727" s="1">
        <v>2014</v>
      </c>
      <c r="D727" s="1">
        <v>18635</v>
      </c>
      <c r="E727" s="1">
        <v>130</v>
      </c>
      <c r="F727" s="1">
        <v>68</v>
      </c>
      <c r="G727" s="1">
        <v>1109362</v>
      </c>
      <c r="H727" s="1" t="s">
        <v>70</v>
      </c>
    </row>
    <row r="728" spans="1:8" x14ac:dyDescent="0.3">
      <c r="A728" s="1" t="s">
        <v>694</v>
      </c>
      <c r="B728" s="1" t="s">
        <v>695</v>
      </c>
      <c r="C728" s="1">
        <v>2014</v>
      </c>
      <c r="D728" s="1">
        <v>18118</v>
      </c>
      <c r="E728" s="1">
        <v>147</v>
      </c>
      <c r="F728" s="1">
        <v>30</v>
      </c>
      <c r="G728" s="1">
        <v>1182562</v>
      </c>
      <c r="H728" s="1" t="s">
        <v>70</v>
      </c>
    </row>
    <row r="729" spans="1:8" x14ac:dyDescent="0.3">
      <c r="A729" s="1" t="s">
        <v>696</v>
      </c>
      <c r="B729" s="1" t="s">
        <v>697</v>
      </c>
      <c r="C729" s="1">
        <v>2014</v>
      </c>
      <c r="D729" s="1">
        <v>28074</v>
      </c>
      <c r="E729" s="1">
        <v>268</v>
      </c>
      <c r="F729" s="1">
        <v>98</v>
      </c>
      <c r="G729" s="1">
        <v>1922206</v>
      </c>
      <c r="H729" s="1" t="s">
        <v>70</v>
      </c>
    </row>
    <row r="730" spans="1:8" x14ac:dyDescent="0.3">
      <c r="A730" s="1" t="s">
        <v>698</v>
      </c>
      <c r="B730" s="1" t="s">
        <v>45</v>
      </c>
      <c r="C730" s="1">
        <v>2014</v>
      </c>
      <c r="D730" s="1">
        <v>17372</v>
      </c>
      <c r="E730" s="1">
        <v>287</v>
      </c>
      <c r="F730" s="1">
        <v>46</v>
      </c>
      <c r="G730" s="1">
        <v>702154</v>
      </c>
      <c r="H730" s="1" t="s">
        <v>70</v>
      </c>
    </row>
    <row r="731" spans="1:8" x14ac:dyDescent="0.3">
      <c r="A731" s="1" t="s">
        <v>699</v>
      </c>
      <c r="B731" s="1" t="s">
        <v>700</v>
      </c>
      <c r="C731" s="1">
        <v>2014</v>
      </c>
      <c r="D731" s="1">
        <v>18642</v>
      </c>
      <c r="E731" s="1">
        <v>296</v>
      </c>
      <c r="F731" s="1">
        <v>63</v>
      </c>
      <c r="G731" s="1">
        <v>2247525</v>
      </c>
      <c r="H731" s="1" t="s">
        <v>70</v>
      </c>
    </row>
    <row r="732" spans="1:8" x14ac:dyDescent="0.3">
      <c r="A732" s="1" t="s">
        <v>701</v>
      </c>
      <c r="B732" s="1" t="s">
        <v>702</v>
      </c>
      <c r="C732" s="1">
        <v>2014</v>
      </c>
      <c r="D732" s="1">
        <v>25918</v>
      </c>
      <c r="E732" s="1">
        <v>188</v>
      </c>
      <c r="F732" s="1">
        <v>104</v>
      </c>
      <c r="G732" s="1">
        <v>1183890</v>
      </c>
      <c r="H732" s="1" t="s">
        <v>70</v>
      </c>
    </row>
    <row r="733" spans="1:8" x14ac:dyDescent="0.3">
      <c r="A733" s="1" t="s">
        <v>703</v>
      </c>
      <c r="B733" s="1" t="s">
        <v>704</v>
      </c>
      <c r="C733" s="1">
        <v>2014</v>
      </c>
      <c r="D733" s="1">
        <v>21286</v>
      </c>
      <c r="E733" s="1">
        <v>275</v>
      </c>
      <c r="F733" s="1">
        <v>175</v>
      </c>
      <c r="G733" s="1">
        <v>2169666</v>
      </c>
      <c r="H733" s="1" t="s">
        <v>70</v>
      </c>
    </row>
    <row r="734" spans="1:8" x14ac:dyDescent="0.3">
      <c r="A734" s="1" t="s">
        <v>705</v>
      </c>
      <c r="B734" s="1" t="s">
        <v>706</v>
      </c>
      <c r="C734" s="1">
        <v>2014</v>
      </c>
      <c r="D734" s="1">
        <v>15553</v>
      </c>
      <c r="E734" s="1">
        <v>143</v>
      </c>
      <c r="F734" s="1">
        <v>37</v>
      </c>
      <c r="G734" s="1">
        <v>721885</v>
      </c>
      <c r="H734" s="1" t="s">
        <v>70</v>
      </c>
    </row>
    <row r="735" spans="1:8" x14ac:dyDescent="0.3">
      <c r="A735" s="1" t="s">
        <v>707</v>
      </c>
      <c r="B735" s="1" t="s">
        <v>708</v>
      </c>
      <c r="C735" s="1">
        <v>2014</v>
      </c>
      <c r="D735" s="1">
        <v>24473</v>
      </c>
      <c r="E735" s="1">
        <v>497</v>
      </c>
      <c r="F735" s="1">
        <v>227</v>
      </c>
      <c r="G735" s="1">
        <v>2814926</v>
      </c>
      <c r="H735" s="1" t="s">
        <v>70</v>
      </c>
    </row>
    <row r="736" spans="1:8" x14ac:dyDescent="0.3">
      <c r="A736" s="1" t="s">
        <v>709</v>
      </c>
      <c r="B736" s="1" t="s">
        <v>710</v>
      </c>
      <c r="C736" s="1">
        <v>2014</v>
      </c>
      <c r="D736" s="1">
        <v>21417</v>
      </c>
      <c r="E736" s="1">
        <v>182</v>
      </c>
      <c r="F736" s="1">
        <v>165</v>
      </c>
      <c r="G736" s="1">
        <v>3075281</v>
      </c>
      <c r="H736" s="1" t="s">
        <v>70</v>
      </c>
    </row>
    <row r="737" spans="1:8" x14ac:dyDescent="0.3">
      <c r="A737" s="1" t="s">
        <v>711</v>
      </c>
      <c r="B737" s="1" t="s">
        <v>712</v>
      </c>
      <c r="C737" s="1">
        <v>2014</v>
      </c>
      <c r="D737" s="1">
        <v>42945</v>
      </c>
      <c r="E737" s="1">
        <v>262</v>
      </c>
      <c r="F737" s="1">
        <v>291</v>
      </c>
      <c r="G737" s="1">
        <v>6866908</v>
      </c>
      <c r="H737" s="1" t="s">
        <v>70</v>
      </c>
    </row>
    <row r="738" spans="1:8" x14ac:dyDescent="0.3">
      <c r="A738" s="1" t="s">
        <v>713</v>
      </c>
      <c r="B738" s="1" t="s">
        <v>714</v>
      </c>
      <c r="C738" s="1">
        <v>2014</v>
      </c>
      <c r="D738" s="1">
        <v>29203</v>
      </c>
      <c r="E738" s="1">
        <v>286</v>
      </c>
      <c r="F738" s="1">
        <v>275</v>
      </c>
      <c r="G738" s="1">
        <v>3549303</v>
      </c>
      <c r="H738" s="1" t="s">
        <v>70</v>
      </c>
    </row>
    <row r="739" spans="1:8" x14ac:dyDescent="0.3">
      <c r="A739" s="1" t="s">
        <v>715</v>
      </c>
      <c r="B739" s="1" t="s">
        <v>716</v>
      </c>
      <c r="C739" s="1">
        <v>2014</v>
      </c>
      <c r="D739" s="1">
        <v>23731</v>
      </c>
      <c r="E739" s="1">
        <v>131</v>
      </c>
      <c r="F739" s="1">
        <v>174</v>
      </c>
      <c r="G739" s="1">
        <v>2180122</v>
      </c>
      <c r="H739" s="1" t="s">
        <v>70</v>
      </c>
    </row>
    <row r="740" spans="1:8" x14ac:dyDescent="0.3">
      <c r="A740" s="1" t="s">
        <v>717</v>
      </c>
      <c r="B740" s="1" t="s">
        <v>718</v>
      </c>
      <c r="C740" s="1">
        <v>2014</v>
      </c>
      <c r="D740" s="1">
        <v>247741</v>
      </c>
      <c r="E740" s="1">
        <v>3642</v>
      </c>
      <c r="F740" s="1">
        <v>5259</v>
      </c>
      <c r="G740" s="1">
        <v>18800950</v>
      </c>
      <c r="H740" s="1" t="s">
        <v>70</v>
      </c>
    </row>
    <row r="741" spans="1:8" x14ac:dyDescent="0.3">
      <c r="A741" s="1" t="s">
        <v>719</v>
      </c>
      <c r="B741" s="1" t="s">
        <v>720</v>
      </c>
      <c r="C741" s="1">
        <v>2014</v>
      </c>
      <c r="D741" s="1">
        <v>16601</v>
      </c>
      <c r="E741" s="1">
        <v>101</v>
      </c>
      <c r="F741" s="1">
        <v>140</v>
      </c>
      <c r="G741" s="1">
        <v>1625927</v>
      </c>
      <c r="H741" s="1" t="s">
        <v>70</v>
      </c>
    </row>
    <row r="742" spans="1:8" x14ac:dyDescent="0.3">
      <c r="A742" s="1" t="s">
        <v>721</v>
      </c>
      <c r="B742" s="1" t="s">
        <v>722</v>
      </c>
      <c r="C742" s="1">
        <v>2014</v>
      </c>
      <c r="D742" s="1">
        <v>16342</v>
      </c>
      <c r="E742" s="1">
        <v>92</v>
      </c>
      <c r="F742" s="1">
        <v>111</v>
      </c>
      <c r="G742" s="1">
        <v>1334160</v>
      </c>
      <c r="H742" s="1" t="s">
        <v>70</v>
      </c>
    </row>
    <row r="743" spans="1:8" x14ac:dyDescent="0.3">
      <c r="A743" s="1" t="s">
        <v>723</v>
      </c>
      <c r="B743" s="1" t="s">
        <v>724</v>
      </c>
      <c r="C743" s="1">
        <v>2014</v>
      </c>
      <c r="D743" s="1">
        <v>19872</v>
      </c>
      <c r="E743" s="1">
        <v>141</v>
      </c>
      <c r="F743" s="1">
        <v>118</v>
      </c>
      <c r="G743" s="1">
        <v>3780086</v>
      </c>
      <c r="H743" s="1" t="s">
        <v>70</v>
      </c>
    </row>
    <row r="744" spans="1:8" x14ac:dyDescent="0.3">
      <c r="A744" s="1" t="s">
        <v>725</v>
      </c>
      <c r="B744" s="1" t="s">
        <v>726</v>
      </c>
      <c r="C744" s="1">
        <v>2014</v>
      </c>
      <c r="D744" s="1">
        <v>26802</v>
      </c>
      <c r="E744" s="1">
        <v>299</v>
      </c>
      <c r="F744" s="1">
        <v>299</v>
      </c>
      <c r="G744" s="1">
        <v>1722278</v>
      </c>
      <c r="H744" s="1" t="s">
        <v>70</v>
      </c>
    </row>
    <row r="745" spans="1:8" x14ac:dyDescent="0.3">
      <c r="A745" s="1" t="s">
        <v>727</v>
      </c>
      <c r="B745" s="1" t="s">
        <v>728</v>
      </c>
      <c r="C745" s="1">
        <v>2014</v>
      </c>
      <c r="D745" s="1">
        <v>20634</v>
      </c>
      <c r="E745" s="1">
        <v>77</v>
      </c>
      <c r="F745" s="1">
        <v>174</v>
      </c>
      <c r="G745" s="1">
        <v>2180179</v>
      </c>
      <c r="H745" s="1" t="s">
        <v>70</v>
      </c>
    </row>
    <row r="746" spans="1:8" x14ac:dyDescent="0.3">
      <c r="A746" s="1" t="s">
        <v>729</v>
      </c>
      <c r="B746" s="1" t="s">
        <v>730</v>
      </c>
      <c r="C746" s="1">
        <v>2014</v>
      </c>
      <c r="D746" s="1">
        <v>26801</v>
      </c>
      <c r="E746" s="1">
        <v>156</v>
      </c>
      <c r="F746" s="1">
        <v>189</v>
      </c>
      <c r="G746" s="1">
        <v>1568874</v>
      </c>
      <c r="H746" s="1" t="s">
        <v>70</v>
      </c>
    </row>
    <row r="747" spans="1:8" x14ac:dyDescent="0.3">
      <c r="A747" s="1" t="s">
        <v>731</v>
      </c>
      <c r="B747" s="1" t="s">
        <v>732</v>
      </c>
      <c r="C747" s="1">
        <v>2014</v>
      </c>
      <c r="D747" s="1">
        <v>19946</v>
      </c>
      <c r="E747" s="1">
        <v>122</v>
      </c>
      <c r="F747" s="1">
        <v>312</v>
      </c>
      <c r="G747" s="1">
        <v>1177798</v>
      </c>
      <c r="H747" s="1" t="s">
        <v>70</v>
      </c>
    </row>
    <row r="748" spans="1:8" x14ac:dyDescent="0.3">
      <c r="A748" s="1" t="s">
        <v>733</v>
      </c>
      <c r="B748" s="1" t="s">
        <v>734</v>
      </c>
      <c r="C748" s="1">
        <v>2014</v>
      </c>
      <c r="D748" s="1">
        <v>33099</v>
      </c>
      <c r="E748" s="1">
        <v>353</v>
      </c>
      <c r="F748" s="1">
        <v>659</v>
      </c>
      <c r="G748" s="1">
        <v>1954512</v>
      </c>
      <c r="H748" s="1" t="s">
        <v>70</v>
      </c>
    </row>
    <row r="749" spans="1:8" x14ac:dyDescent="0.3">
      <c r="A749" s="1" t="s">
        <v>735</v>
      </c>
      <c r="B749" s="1" t="s">
        <v>736</v>
      </c>
      <c r="C749" s="1">
        <v>2014</v>
      </c>
      <c r="D749" s="1">
        <v>21418</v>
      </c>
      <c r="E749" s="1">
        <v>503</v>
      </c>
      <c r="F749" s="1">
        <v>325</v>
      </c>
      <c r="G749" s="1">
        <v>1041782</v>
      </c>
      <c r="H749" s="1" t="s">
        <v>70</v>
      </c>
    </row>
    <row r="750" spans="1:8" x14ac:dyDescent="0.3">
      <c r="A750" s="1" t="s">
        <v>737</v>
      </c>
      <c r="B750" s="1" t="s">
        <v>738</v>
      </c>
      <c r="C750" s="1">
        <v>2014</v>
      </c>
      <c r="D750" s="1">
        <v>21935</v>
      </c>
      <c r="E750" s="1">
        <v>143</v>
      </c>
      <c r="F750" s="1">
        <v>150</v>
      </c>
      <c r="G750" s="1">
        <v>1999115</v>
      </c>
      <c r="H750" s="1" t="s">
        <v>70</v>
      </c>
    </row>
    <row r="751" spans="1:8" x14ac:dyDescent="0.3">
      <c r="A751" s="1" t="s">
        <v>739</v>
      </c>
      <c r="B751" s="1" t="s">
        <v>740</v>
      </c>
      <c r="C751" s="1">
        <v>2014</v>
      </c>
      <c r="D751" s="1">
        <v>26785</v>
      </c>
      <c r="E751" s="1">
        <v>403</v>
      </c>
      <c r="F751" s="1">
        <v>392</v>
      </c>
      <c r="G751" s="1">
        <v>1318149</v>
      </c>
      <c r="H751" s="1" t="s">
        <v>70</v>
      </c>
    </row>
    <row r="752" spans="1:8" x14ac:dyDescent="0.3">
      <c r="A752" s="1" t="s">
        <v>741</v>
      </c>
      <c r="B752" s="1" t="s">
        <v>742</v>
      </c>
      <c r="C752" s="1">
        <v>2014</v>
      </c>
      <c r="D752" s="1">
        <v>12579</v>
      </c>
      <c r="E752" s="1">
        <v>69</v>
      </c>
      <c r="F752" s="1">
        <v>86</v>
      </c>
      <c r="G752" s="1">
        <v>1134161</v>
      </c>
      <c r="H752" s="1" t="s">
        <v>70</v>
      </c>
    </row>
    <row r="753" spans="1:8" x14ac:dyDescent="0.3">
      <c r="A753" s="1" t="s">
        <v>743</v>
      </c>
      <c r="B753" s="1" t="s">
        <v>744</v>
      </c>
      <c r="C753" s="1">
        <v>2014</v>
      </c>
      <c r="D753" s="1">
        <v>18396</v>
      </c>
      <c r="E753" s="1">
        <v>205</v>
      </c>
      <c r="F753" s="1">
        <v>205</v>
      </c>
      <c r="G753" s="1">
        <v>1148847</v>
      </c>
      <c r="H753" s="1" t="s">
        <v>70</v>
      </c>
    </row>
    <row r="754" spans="1:8" x14ac:dyDescent="0.3">
      <c r="A754" s="1" t="s">
        <v>745</v>
      </c>
      <c r="B754" s="1" t="s">
        <v>746</v>
      </c>
      <c r="C754" s="1">
        <v>2014</v>
      </c>
      <c r="D754" s="1">
        <v>40815</v>
      </c>
      <c r="E754" s="1">
        <v>275</v>
      </c>
      <c r="F754" s="1">
        <v>576</v>
      </c>
      <c r="G754" s="1">
        <v>4739174</v>
      </c>
      <c r="H754" s="1" t="s">
        <v>70</v>
      </c>
    </row>
    <row r="755" spans="1:8" x14ac:dyDescent="0.3">
      <c r="A755" s="1" t="s">
        <v>747</v>
      </c>
      <c r="B755" s="1" t="s">
        <v>748</v>
      </c>
      <c r="C755" s="1">
        <v>2014</v>
      </c>
      <c r="D755" s="1">
        <v>27883</v>
      </c>
      <c r="E755" s="1">
        <v>116</v>
      </c>
      <c r="F755" s="1">
        <v>280</v>
      </c>
      <c r="G755" s="1">
        <v>3787437</v>
      </c>
      <c r="H755" s="1" t="s">
        <v>70</v>
      </c>
    </row>
    <row r="756" spans="1:8" x14ac:dyDescent="0.3">
      <c r="A756" s="1" t="s">
        <v>749</v>
      </c>
      <c r="B756" s="1" t="s">
        <v>750</v>
      </c>
      <c r="C756" s="1">
        <v>2014</v>
      </c>
      <c r="D756" s="1">
        <v>16412</v>
      </c>
      <c r="E756" s="1">
        <v>40</v>
      </c>
      <c r="F756" s="1">
        <v>115</v>
      </c>
      <c r="G756" s="1">
        <v>1810188</v>
      </c>
      <c r="H756" s="1" t="s">
        <v>70</v>
      </c>
    </row>
    <row r="757" spans="1:8" x14ac:dyDescent="0.3">
      <c r="A757" s="1" t="s">
        <v>751</v>
      </c>
      <c r="B757" s="1" t="s">
        <v>752</v>
      </c>
      <c r="C757" s="1">
        <v>2014</v>
      </c>
      <c r="D757" s="1">
        <v>18656</v>
      </c>
      <c r="E757" s="1">
        <v>69</v>
      </c>
      <c r="F757" s="1">
        <v>130</v>
      </c>
      <c r="G757" s="1">
        <v>1944827</v>
      </c>
      <c r="H757" s="1" t="s">
        <v>70</v>
      </c>
    </row>
    <row r="758" spans="1:8" x14ac:dyDescent="0.3">
      <c r="A758" s="1" t="s">
        <v>753</v>
      </c>
      <c r="B758" s="1" t="s">
        <v>754</v>
      </c>
      <c r="C758" s="1">
        <v>2014</v>
      </c>
      <c r="D758" s="1">
        <v>12730</v>
      </c>
      <c r="E758" s="1">
        <v>32</v>
      </c>
      <c r="F758" s="1">
        <v>101</v>
      </c>
      <c r="G758" s="1">
        <v>1023383</v>
      </c>
      <c r="H758" s="1" t="s">
        <v>70</v>
      </c>
    </row>
    <row r="759" spans="1:8" x14ac:dyDescent="0.3">
      <c r="A759" s="1" t="s">
        <v>755</v>
      </c>
      <c r="B759" s="1" t="s">
        <v>756</v>
      </c>
      <c r="C759" s="1">
        <v>2014</v>
      </c>
      <c r="D759" s="1">
        <v>44848</v>
      </c>
      <c r="E759" s="1">
        <v>663</v>
      </c>
      <c r="F759" s="1">
        <v>453</v>
      </c>
      <c r="G759" s="1">
        <v>4996153</v>
      </c>
      <c r="H759" s="1" t="s">
        <v>70</v>
      </c>
    </row>
    <row r="760" spans="1:8" x14ac:dyDescent="0.3">
      <c r="A760" s="1" t="s">
        <v>757</v>
      </c>
      <c r="B760" s="1" t="s">
        <v>758</v>
      </c>
      <c r="C760" s="1">
        <v>2014</v>
      </c>
      <c r="D760" s="1">
        <v>171201</v>
      </c>
      <c r="E760" s="1">
        <v>1404</v>
      </c>
      <c r="F760" s="1">
        <v>3011</v>
      </c>
      <c r="G760" s="1">
        <v>14521858</v>
      </c>
      <c r="H760" s="1" t="s">
        <v>70</v>
      </c>
    </row>
    <row r="761" spans="1:8" x14ac:dyDescent="0.3">
      <c r="A761" s="1" t="s">
        <v>759</v>
      </c>
      <c r="B761" s="1" t="s">
        <v>760</v>
      </c>
      <c r="C761" s="1">
        <v>2014</v>
      </c>
      <c r="D761" s="1">
        <v>20180</v>
      </c>
      <c r="E761" s="1">
        <v>153</v>
      </c>
      <c r="F761" s="1">
        <v>218</v>
      </c>
      <c r="G761" s="1">
        <v>1096781</v>
      </c>
      <c r="H761" s="1" t="s">
        <v>70</v>
      </c>
    </row>
    <row r="762" spans="1:8" x14ac:dyDescent="0.3">
      <c r="A762" s="2" t="s">
        <v>10</v>
      </c>
      <c r="B762" s="2" t="s">
        <v>11</v>
      </c>
      <c r="C762" s="1">
        <v>2015</v>
      </c>
      <c r="D762" s="2">
        <v>31018</v>
      </c>
      <c r="E762" s="2">
        <v>264</v>
      </c>
      <c r="F762" s="2">
        <v>310</v>
      </c>
      <c r="G762" s="2">
        <v>1770129</v>
      </c>
      <c r="H762" s="1">
        <v>30</v>
      </c>
    </row>
    <row r="763" spans="1:8" x14ac:dyDescent="0.3">
      <c r="A763" s="1" t="s">
        <v>12</v>
      </c>
      <c r="B763" s="1" t="s">
        <v>13</v>
      </c>
      <c r="C763" s="1">
        <v>2015</v>
      </c>
      <c r="D763" s="1">
        <v>39502</v>
      </c>
      <c r="E763" s="1">
        <v>63</v>
      </c>
      <c r="F763" s="1">
        <v>330</v>
      </c>
      <c r="G763" s="1">
        <v>2795949</v>
      </c>
      <c r="H763" s="1">
        <v>0</v>
      </c>
    </row>
    <row r="764" spans="1:8" x14ac:dyDescent="0.3">
      <c r="A764" s="1" t="s">
        <v>14</v>
      </c>
      <c r="B764" s="1" t="s">
        <v>15</v>
      </c>
      <c r="C764" s="1">
        <v>2015</v>
      </c>
      <c r="D764" s="1">
        <v>32122</v>
      </c>
      <c r="E764" s="1">
        <v>228</v>
      </c>
      <c r="F764" s="1">
        <v>391</v>
      </c>
      <c r="G764" s="1">
        <v>2220931</v>
      </c>
      <c r="H764" s="1">
        <v>58</v>
      </c>
    </row>
    <row r="765" spans="1:8" x14ac:dyDescent="0.3">
      <c r="A765" s="1" t="s">
        <v>16</v>
      </c>
      <c r="B765" s="1" t="s">
        <v>17</v>
      </c>
      <c r="C765" s="1">
        <v>2015</v>
      </c>
      <c r="D765" s="1">
        <v>11796</v>
      </c>
      <c r="E765" s="1">
        <v>58</v>
      </c>
      <c r="F765" s="1">
        <v>13</v>
      </c>
      <c r="G765" s="1">
        <v>945128</v>
      </c>
      <c r="H765" s="1">
        <v>0</v>
      </c>
    </row>
    <row r="766" spans="1:8" x14ac:dyDescent="0.3">
      <c r="A766" s="1" t="s">
        <v>18</v>
      </c>
      <c r="B766" s="1" t="s">
        <v>19</v>
      </c>
      <c r="C766" s="1">
        <v>2015</v>
      </c>
      <c r="D766" s="1">
        <v>17817</v>
      </c>
      <c r="E766" s="1">
        <v>76</v>
      </c>
      <c r="F766" s="1">
        <v>89</v>
      </c>
      <c r="G766" s="1">
        <v>911763</v>
      </c>
      <c r="H766" s="1">
        <v>39</v>
      </c>
    </row>
    <row r="767" spans="1:8" x14ac:dyDescent="0.3">
      <c r="A767" s="1" t="s">
        <v>20</v>
      </c>
      <c r="B767" s="1" t="s">
        <v>21</v>
      </c>
      <c r="C767" s="1">
        <v>2015</v>
      </c>
      <c r="D767" s="1">
        <v>24734</v>
      </c>
      <c r="E767" s="1">
        <v>419</v>
      </c>
      <c r="F767" s="1">
        <v>333</v>
      </c>
      <c r="G767" s="1">
        <v>1183125</v>
      </c>
      <c r="H767" s="1">
        <v>8</v>
      </c>
    </row>
    <row r="768" spans="1:8" x14ac:dyDescent="0.3">
      <c r="A768" s="1" t="s">
        <v>22</v>
      </c>
      <c r="B768" s="1" t="s">
        <v>23</v>
      </c>
      <c r="C768" s="1">
        <v>2015</v>
      </c>
      <c r="D768" s="1">
        <v>16718</v>
      </c>
      <c r="E768" s="1">
        <v>50</v>
      </c>
      <c r="F768" s="1">
        <v>125</v>
      </c>
      <c r="G768" s="1">
        <v>1247130</v>
      </c>
      <c r="H768" s="1">
        <v>0</v>
      </c>
    </row>
    <row r="769" spans="1:8" x14ac:dyDescent="0.3">
      <c r="A769" s="1" t="s">
        <v>24</v>
      </c>
      <c r="B769" s="1" t="s">
        <v>25</v>
      </c>
      <c r="C769" s="1">
        <v>2015</v>
      </c>
      <c r="D769" s="1">
        <v>63765</v>
      </c>
      <c r="E769" s="1">
        <v>218</v>
      </c>
      <c r="F769" s="1">
        <v>493</v>
      </c>
      <c r="G769" s="1">
        <v>4887851</v>
      </c>
      <c r="H769" s="1">
        <v>756</v>
      </c>
    </row>
    <row r="770" spans="1:8" x14ac:dyDescent="0.3">
      <c r="A770" s="1" t="s">
        <v>26</v>
      </c>
      <c r="B770" s="1" t="s">
        <v>27</v>
      </c>
      <c r="C770" s="1">
        <v>2015</v>
      </c>
      <c r="D770" s="1">
        <v>17988</v>
      </c>
      <c r="E770" s="1">
        <v>188</v>
      </c>
      <c r="F770" s="1">
        <v>95</v>
      </c>
      <c r="G770" s="1">
        <v>793552</v>
      </c>
      <c r="H770" s="1">
        <v>22</v>
      </c>
    </row>
    <row r="771" spans="1:8" x14ac:dyDescent="0.3">
      <c r="A771" s="1" t="s">
        <v>28</v>
      </c>
      <c r="B771" s="1" t="s">
        <v>29</v>
      </c>
      <c r="C771" s="1">
        <v>2015</v>
      </c>
      <c r="D771" s="1">
        <v>20119</v>
      </c>
      <c r="E771" s="1">
        <v>108</v>
      </c>
      <c r="F771" s="1">
        <v>163</v>
      </c>
      <c r="G771" s="1">
        <v>1214265</v>
      </c>
      <c r="H771" s="1">
        <v>15</v>
      </c>
    </row>
    <row r="772" spans="1:8" x14ac:dyDescent="0.3">
      <c r="A772" s="1" t="s">
        <v>30</v>
      </c>
      <c r="B772" s="1" t="s">
        <v>31</v>
      </c>
      <c r="C772" s="1">
        <v>2015</v>
      </c>
      <c r="D772" s="1">
        <v>39860</v>
      </c>
      <c r="E772" s="1">
        <v>388</v>
      </c>
      <c r="F772" s="1">
        <v>453</v>
      </c>
      <c r="G772" s="1">
        <v>1811491</v>
      </c>
      <c r="H772" s="1">
        <v>22</v>
      </c>
    </row>
    <row r="773" spans="1:8" x14ac:dyDescent="0.3">
      <c r="A773" s="1" t="s">
        <v>32</v>
      </c>
      <c r="B773" s="1" t="s">
        <v>33</v>
      </c>
      <c r="C773" s="1">
        <v>2015</v>
      </c>
      <c r="D773" s="1">
        <v>16686</v>
      </c>
      <c r="E773" s="1">
        <v>56</v>
      </c>
      <c r="F773" s="1">
        <v>44</v>
      </c>
      <c r="G773" s="1">
        <v>834095</v>
      </c>
      <c r="H773" s="1">
        <v>12</v>
      </c>
    </row>
    <row r="774" spans="1:8" x14ac:dyDescent="0.3">
      <c r="A774" s="1" t="s">
        <v>34</v>
      </c>
      <c r="B774" s="1" t="s">
        <v>35</v>
      </c>
      <c r="C774" s="1">
        <v>2015</v>
      </c>
      <c r="D774" s="1">
        <v>11426</v>
      </c>
      <c r="E774" s="1">
        <v>115</v>
      </c>
      <c r="F774" s="1">
        <v>82</v>
      </c>
      <c r="G774" s="1">
        <v>270409</v>
      </c>
      <c r="H774" s="1">
        <v>0</v>
      </c>
    </row>
    <row r="775" spans="1:8" x14ac:dyDescent="0.3">
      <c r="A775" s="1" t="s">
        <v>36</v>
      </c>
      <c r="B775" s="1" t="s">
        <v>37</v>
      </c>
      <c r="C775" s="1">
        <v>2015</v>
      </c>
      <c r="D775" s="1">
        <v>35242</v>
      </c>
      <c r="E775" s="1">
        <v>396</v>
      </c>
      <c r="F775" s="1">
        <v>273</v>
      </c>
      <c r="G775" s="1">
        <v>2065096</v>
      </c>
      <c r="H775" s="1">
        <v>348</v>
      </c>
    </row>
    <row r="776" spans="1:8" x14ac:dyDescent="0.3">
      <c r="A776" s="1" t="s">
        <v>38</v>
      </c>
      <c r="B776" s="1" t="s">
        <v>39</v>
      </c>
      <c r="C776" s="1">
        <v>2015</v>
      </c>
      <c r="D776" s="1">
        <v>26932</v>
      </c>
      <c r="E776" s="1">
        <v>504</v>
      </c>
      <c r="F776" s="1">
        <v>278</v>
      </c>
      <c r="G776" s="1">
        <v>1205569</v>
      </c>
      <c r="H776" s="1">
        <v>16</v>
      </c>
    </row>
    <row r="777" spans="1:8" x14ac:dyDescent="0.3">
      <c r="A777" s="1" t="s">
        <v>40</v>
      </c>
      <c r="B777" s="1" t="s">
        <v>41</v>
      </c>
      <c r="C777" s="1">
        <v>2015</v>
      </c>
      <c r="D777" s="1">
        <v>21194</v>
      </c>
      <c r="E777" s="1">
        <v>192</v>
      </c>
      <c r="F777" s="1">
        <v>205</v>
      </c>
      <c r="G777" s="1">
        <v>1288489</v>
      </c>
      <c r="H777" s="1">
        <v>0</v>
      </c>
    </row>
    <row r="778" spans="1:8" x14ac:dyDescent="0.3">
      <c r="A778" s="1" t="s">
        <v>42</v>
      </c>
      <c r="B778" s="1" t="s">
        <v>43</v>
      </c>
      <c r="C778" s="1">
        <v>2015</v>
      </c>
      <c r="D778" s="1">
        <v>15048</v>
      </c>
      <c r="E778" s="1">
        <v>172</v>
      </c>
      <c r="F778" s="1">
        <v>113</v>
      </c>
      <c r="G778" s="1">
        <v>767173</v>
      </c>
      <c r="H778" s="1">
        <v>26</v>
      </c>
    </row>
    <row r="779" spans="1:8" x14ac:dyDescent="0.3">
      <c r="A779" s="1" t="s">
        <v>44</v>
      </c>
      <c r="B779" s="1" t="s">
        <v>45</v>
      </c>
      <c r="C779" s="1">
        <v>2015</v>
      </c>
      <c r="D779" s="1">
        <v>17330</v>
      </c>
      <c r="E779" s="1">
        <v>368</v>
      </c>
      <c r="F779" s="1">
        <v>81</v>
      </c>
      <c r="G779" s="1">
        <v>263729</v>
      </c>
      <c r="H779" s="1">
        <v>6</v>
      </c>
    </row>
    <row r="780" spans="1:8" x14ac:dyDescent="0.3">
      <c r="A780" s="1" t="s">
        <v>46</v>
      </c>
      <c r="B780" s="1" t="s">
        <v>47</v>
      </c>
      <c r="C780" s="1">
        <v>2015</v>
      </c>
      <c r="D780" s="1">
        <v>59565</v>
      </c>
      <c r="E780" s="1">
        <v>262</v>
      </c>
      <c r="F780" s="1">
        <v>764</v>
      </c>
      <c r="G780" s="1">
        <v>1480200</v>
      </c>
      <c r="H780" s="1">
        <v>54</v>
      </c>
    </row>
    <row r="781" spans="1:8" x14ac:dyDescent="0.3">
      <c r="A781" s="1" t="s">
        <v>48</v>
      </c>
      <c r="B781" s="1" t="s">
        <v>49</v>
      </c>
      <c r="C781" s="1">
        <v>2015</v>
      </c>
      <c r="D781" s="1">
        <v>26595</v>
      </c>
      <c r="E781" s="1">
        <v>339</v>
      </c>
      <c r="F781" s="1">
        <v>259</v>
      </c>
      <c r="G781" s="1">
        <v>909600</v>
      </c>
      <c r="H781" s="1">
        <v>22</v>
      </c>
    </row>
    <row r="782" spans="1:8" x14ac:dyDescent="0.3">
      <c r="A782" s="1" t="s">
        <v>50</v>
      </c>
      <c r="B782" s="1" t="s">
        <v>51</v>
      </c>
      <c r="C782" s="1">
        <v>2015</v>
      </c>
      <c r="D782" s="1">
        <v>22133</v>
      </c>
      <c r="E782" s="1">
        <v>60</v>
      </c>
      <c r="F782" s="1">
        <v>234</v>
      </c>
      <c r="G782" s="1">
        <v>1706669</v>
      </c>
      <c r="H782" s="1">
        <v>86</v>
      </c>
    </row>
    <row r="783" spans="1:8" x14ac:dyDescent="0.3">
      <c r="A783" s="1" t="s">
        <v>52</v>
      </c>
      <c r="B783" s="1" t="s">
        <v>53</v>
      </c>
      <c r="C783" s="1">
        <v>2015</v>
      </c>
      <c r="D783" s="1">
        <v>16880</v>
      </c>
      <c r="E783" s="1">
        <v>123</v>
      </c>
      <c r="F783" s="1">
        <v>216</v>
      </c>
      <c r="G783" s="1">
        <v>875823</v>
      </c>
      <c r="H783" s="1">
        <v>36</v>
      </c>
    </row>
    <row r="784" spans="1:8" x14ac:dyDescent="0.3">
      <c r="A784" s="1" t="s">
        <v>54</v>
      </c>
      <c r="B784" s="1" t="s">
        <v>55</v>
      </c>
      <c r="C784" s="1">
        <v>2015</v>
      </c>
      <c r="D784" s="1">
        <v>48680</v>
      </c>
      <c r="E784" s="1">
        <v>1995</v>
      </c>
      <c r="F784" s="1">
        <v>901</v>
      </c>
      <c r="G784" s="1">
        <v>565692</v>
      </c>
      <c r="H784" s="1">
        <v>7</v>
      </c>
    </row>
    <row r="785" spans="1:8" x14ac:dyDescent="0.3">
      <c r="A785" s="1" t="s">
        <v>56</v>
      </c>
      <c r="B785" s="1" t="s">
        <v>57</v>
      </c>
      <c r="C785" s="1">
        <v>2015</v>
      </c>
      <c r="D785" s="1">
        <v>23835</v>
      </c>
      <c r="E785" s="1">
        <v>122</v>
      </c>
      <c r="F785" s="1">
        <v>101</v>
      </c>
      <c r="G785" s="1">
        <v>1160038</v>
      </c>
      <c r="H785" s="1">
        <v>26</v>
      </c>
    </row>
    <row r="786" spans="1:8" x14ac:dyDescent="0.3">
      <c r="A786" s="1" t="s">
        <v>58</v>
      </c>
      <c r="B786" s="1" t="s">
        <v>59</v>
      </c>
      <c r="C786" s="1">
        <v>2015</v>
      </c>
      <c r="D786" s="1">
        <v>33972</v>
      </c>
      <c r="E786" s="1">
        <v>123</v>
      </c>
      <c r="F786" s="1">
        <v>33</v>
      </c>
      <c r="G786" s="1">
        <v>1552369</v>
      </c>
      <c r="H786" s="1">
        <v>110</v>
      </c>
    </row>
    <row r="787" spans="1:8" x14ac:dyDescent="0.3">
      <c r="A787" s="1" t="s">
        <v>60</v>
      </c>
      <c r="B787" s="1" t="s">
        <v>61</v>
      </c>
      <c r="C787" s="1">
        <v>2015</v>
      </c>
      <c r="D787" s="1">
        <v>15582</v>
      </c>
      <c r="E787" s="1">
        <v>70</v>
      </c>
      <c r="F787" s="1">
        <v>88</v>
      </c>
      <c r="G787" s="1">
        <v>1144622</v>
      </c>
      <c r="H787" s="1">
        <v>78</v>
      </c>
    </row>
    <row r="788" spans="1:8" x14ac:dyDescent="0.3">
      <c r="A788" s="1" t="s">
        <v>62</v>
      </c>
      <c r="B788" s="1" t="s">
        <v>63</v>
      </c>
      <c r="C788" s="1">
        <v>2015</v>
      </c>
      <c r="D788" s="1">
        <v>35077</v>
      </c>
      <c r="E788" s="1">
        <v>145</v>
      </c>
      <c r="F788" s="1">
        <v>676</v>
      </c>
      <c r="G788" s="1">
        <v>2213280</v>
      </c>
      <c r="H788" s="1">
        <v>301</v>
      </c>
    </row>
    <row r="789" spans="1:8" x14ac:dyDescent="0.3">
      <c r="A789" s="1" t="s">
        <v>64</v>
      </c>
      <c r="B789" s="1" t="s">
        <v>65</v>
      </c>
      <c r="C789" s="1">
        <v>2015</v>
      </c>
      <c r="D789" s="1">
        <v>41838</v>
      </c>
      <c r="E789" s="1">
        <v>230</v>
      </c>
      <c r="F789" s="1">
        <v>575</v>
      </c>
      <c r="G789" s="1">
        <v>4051223</v>
      </c>
      <c r="H789" s="1">
        <v>38</v>
      </c>
    </row>
    <row r="790" spans="1:8" x14ac:dyDescent="0.3">
      <c r="A790" s="1" t="s">
        <v>66</v>
      </c>
      <c r="B790" s="1" t="s">
        <v>67</v>
      </c>
      <c r="C790" s="1">
        <v>2015</v>
      </c>
      <c r="D790" s="1">
        <v>302639</v>
      </c>
      <c r="E790" s="1">
        <v>6671</v>
      </c>
      <c r="F790" s="1">
        <v>10190</v>
      </c>
      <c r="G790" s="1">
        <v>11146002</v>
      </c>
      <c r="H790" s="1">
        <v>231</v>
      </c>
    </row>
    <row r="791" spans="1:8" x14ac:dyDescent="0.3">
      <c r="A791" s="1" t="s">
        <v>68</v>
      </c>
      <c r="B791" s="1" t="s">
        <v>69</v>
      </c>
      <c r="C791" s="1">
        <v>2015</v>
      </c>
      <c r="D791" s="1">
        <v>50551</v>
      </c>
      <c r="E791" s="1">
        <v>32</v>
      </c>
      <c r="F791" s="1">
        <v>615</v>
      </c>
      <c r="G791" s="1">
        <v>4879024</v>
      </c>
      <c r="H791" s="1">
        <v>181</v>
      </c>
    </row>
    <row r="792" spans="1:8" x14ac:dyDescent="0.3">
      <c r="A792" s="1" t="s">
        <v>71</v>
      </c>
      <c r="B792" s="1" t="s">
        <v>72</v>
      </c>
      <c r="C792" s="1">
        <v>2015</v>
      </c>
      <c r="D792" s="1">
        <v>19506</v>
      </c>
      <c r="E792" s="1">
        <v>178</v>
      </c>
      <c r="F792" s="1">
        <v>96</v>
      </c>
      <c r="G792" s="1">
        <v>1096030</v>
      </c>
      <c r="H792" s="1">
        <v>0</v>
      </c>
    </row>
    <row r="793" spans="1:8" x14ac:dyDescent="0.3">
      <c r="A793" s="1" t="s">
        <v>73</v>
      </c>
      <c r="B793" s="1" t="s">
        <v>74</v>
      </c>
      <c r="C793" s="1">
        <v>2015</v>
      </c>
      <c r="D793" s="1">
        <v>25334</v>
      </c>
      <c r="E793" s="1">
        <v>479</v>
      </c>
      <c r="F793" s="1">
        <v>274</v>
      </c>
      <c r="G793" s="1">
        <v>1705539</v>
      </c>
      <c r="H793" s="1">
        <v>8</v>
      </c>
    </row>
    <row r="794" spans="1:8" x14ac:dyDescent="0.3">
      <c r="A794" s="1" t="s">
        <v>75</v>
      </c>
      <c r="B794" s="1" t="s">
        <v>76</v>
      </c>
      <c r="C794" s="1">
        <v>2015</v>
      </c>
      <c r="D794" s="1">
        <v>35455</v>
      </c>
      <c r="E794" s="1">
        <v>836</v>
      </c>
      <c r="F794" s="1">
        <v>216</v>
      </c>
      <c r="G794" s="1">
        <v>2294731</v>
      </c>
      <c r="H794" s="1">
        <v>36</v>
      </c>
    </row>
    <row r="795" spans="1:8" x14ac:dyDescent="0.3">
      <c r="A795" s="1" t="s">
        <v>77</v>
      </c>
      <c r="B795" s="1" t="s">
        <v>78</v>
      </c>
      <c r="C795" s="1">
        <v>2015</v>
      </c>
      <c r="D795" s="1">
        <v>16330</v>
      </c>
      <c r="E795" s="1">
        <v>123</v>
      </c>
      <c r="F795" s="1">
        <v>100</v>
      </c>
      <c r="G795" s="1">
        <v>1468803</v>
      </c>
      <c r="H795" s="1">
        <v>4</v>
      </c>
    </row>
    <row r="796" spans="1:8" x14ac:dyDescent="0.3">
      <c r="A796" s="1" t="s">
        <v>79</v>
      </c>
      <c r="B796" s="1" t="s">
        <v>80</v>
      </c>
      <c r="C796" s="1">
        <v>2015</v>
      </c>
      <c r="D796" s="1">
        <v>14117</v>
      </c>
      <c r="E796" s="1">
        <v>113</v>
      </c>
      <c r="F796" s="1">
        <v>72</v>
      </c>
      <c r="G796" s="1">
        <v>1586630</v>
      </c>
      <c r="H796" s="1">
        <v>8</v>
      </c>
    </row>
    <row r="797" spans="1:8" x14ac:dyDescent="0.3">
      <c r="A797" s="1" t="s">
        <v>81</v>
      </c>
      <c r="B797" s="1" t="s">
        <v>82</v>
      </c>
      <c r="C797" s="1">
        <v>2015</v>
      </c>
      <c r="D797" s="1">
        <v>11924</v>
      </c>
      <c r="E797" s="1">
        <v>89</v>
      </c>
      <c r="F797" s="1">
        <v>31</v>
      </c>
      <c r="G797" s="1">
        <v>903566</v>
      </c>
      <c r="H797" s="1">
        <v>17</v>
      </c>
    </row>
    <row r="798" spans="1:8" x14ac:dyDescent="0.3">
      <c r="A798" s="1" t="s">
        <v>83</v>
      </c>
      <c r="B798" s="1" t="s">
        <v>84</v>
      </c>
      <c r="C798" s="1">
        <v>2015</v>
      </c>
      <c r="D798" s="1">
        <v>57250</v>
      </c>
      <c r="E798" s="1">
        <v>387</v>
      </c>
      <c r="F798" s="1">
        <v>622</v>
      </c>
      <c r="G798" s="1">
        <v>7705747</v>
      </c>
      <c r="H798" s="1">
        <v>71</v>
      </c>
    </row>
    <row r="799" spans="1:8" x14ac:dyDescent="0.3">
      <c r="A799" s="1" t="s">
        <v>85</v>
      </c>
      <c r="B799" s="1" t="s">
        <v>86</v>
      </c>
      <c r="C799" s="1">
        <v>2015</v>
      </c>
      <c r="D799" s="1">
        <v>19668</v>
      </c>
      <c r="E799" s="1">
        <v>170</v>
      </c>
      <c r="F799" s="1">
        <v>51</v>
      </c>
      <c r="G799" s="1">
        <v>1094714</v>
      </c>
      <c r="H799" s="1">
        <v>42</v>
      </c>
    </row>
    <row r="800" spans="1:8" x14ac:dyDescent="0.3">
      <c r="A800" s="1" t="s">
        <v>87</v>
      </c>
      <c r="B800" s="1" t="s">
        <v>88</v>
      </c>
      <c r="C800" s="1">
        <v>2015</v>
      </c>
      <c r="D800" s="1">
        <v>14235</v>
      </c>
      <c r="E800" s="1">
        <v>101</v>
      </c>
      <c r="F800" s="1">
        <v>58</v>
      </c>
      <c r="G800" s="1">
        <v>1247952</v>
      </c>
      <c r="H800" s="1">
        <v>16</v>
      </c>
    </row>
    <row r="801" spans="1:8" x14ac:dyDescent="0.3">
      <c r="A801" s="1" t="s">
        <v>89</v>
      </c>
      <c r="B801" s="1" t="s">
        <v>90</v>
      </c>
      <c r="C801" s="1">
        <v>2015</v>
      </c>
      <c r="D801" s="1">
        <v>25683</v>
      </c>
      <c r="E801" s="1">
        <v>232</v>
      </c>
      <c r="F801" s="1">
        <v>128</v>
      </c>
      <c r="G801" s="1">
        <v>3655930</v>
      </c>
      <c r="H801" s="1">
        <v>37</v>
      </c>
    </row>
    <row r="802" spans="1:8" x14ac:dyDescent="0.3">
      <c r="A802" s="1" t="s">
        <v>91</v>
      </c>
      <c r="B802" s="1" t="s">
        <v>92</v>
      </c>
      <c r="C802" s="1">
        <v>2015</v>
      </c>
      <c r="D802" s="1">
        <v>12251</v>
      </c>
      <c r="E802" s="1">
        <v>110</v>
      </c>
      <c r="F802" s="1">
        <v>21</v>
      </c>
      <c r="G802" s="1">
        <v>620651</v>
      </c>
      <c r="H802" s="1">
        <v>0</v>
      </c>
    </row>
    <row r="803" spans="1:8" x14ac:dyDescent="0.3">
      <c r="A803" s="1" t="s">
        <v>93</v>
      </c>
      <c r="B803" s="1" t="s">
        <v>94</v>
      </c>
      <c r="C803" s="1">
        <v>2015</v>
      </c>
      <c r="D803" s="1">
        <v>13773</v>
      </c>
      <c r="E803" s="1">
        <v>87</v>
      </c>
      <c r="F803" s="1">
        <v>55</v>
      </c>
      <c r="G803" s="1">
        <v>1302323</v>
      </c>
      <c r="H803" s="1">
        <v>39</v>
      </c>
    </row>
    <row r="804" spans="1:8" x14ac:dyDescent="0.3">
      <c r="A804" s="1" t="s">
        <v>95</v>
      </c>
      <c r="B804" s="1" t="s">
        <v>96</v>
      </c>
      <c r="C804" s="1">
        <v>2015</v>
      </c>
      <c r="D804" s="1">
        <v>12097</v>
      </c>
      <c r="E804" s="1">
        <v>92</v>
      </c>
      <c r="F804" s="1">
        <v>55</v>
      </c>
      <c r="G804" s="1">
        <v>1204900</v>
      </c>
      <c r="H804" s="1">
        <v>20</v>
      </c>
    </row>
    <row r="805" spans="1:8" x14ac:dyDescent="0.3">
      <c r="A805" s="1" t="s">
        <v>97</v>
      </c>
      <c r="B805" s="1" t="s">
        <v>98</v>
      </c>
      <c r="C805" s="1">
        <v>2015</v>
      </c>
      <c r="D805" s="1">
        <v>31014</v>
      </c>
      <c r="E805" s="1">
        <v>160</v>
      </c>
      <c r="F805" s="1">
        <v>203</v>
      </c>
      <c r="G805" s="1">
        <v>2206409</v>
      </c>
      <c r="H805" s="1">
        <v>30</v>
      </c>
    </row>
    <row r="806" spans="1:8" x14ac:dyDescent="0.3">
      <c r="A806" s="1" t="s">
        <v>99</v>
      </c>
      <c r="B806" s="1" t="s">
        <v>100</v>
      </c>
      <c r="C806" s="1">
        <v>2015</v>
      </c>
      <c r="D806" s="1">
        <v>30334</v>
      </c>
      <c r="E806" s="1">
        <v>611</v>
      </c>
      <c r="F806" s="1">
        <v>127</v>
      </c>
      <c r="G806" s="1">
        <v>2094295</v>
      </c>
      <c r="H806" s="1">
        <v>12</v>
      </c>
    </row>
    <row r="807" spans="1:8" x14ac:dyDescent="0.3">
      <c r="A807" s="1" t="s">
        <v>101</v>
      </c>
      <c r="B807" s="1" t="s">
        <v>102</v>
      </c>
      <c r="C807" s="1">
        <v>2015</v>
      </c>
      <c r="D807" s="1">
        <v>14318</v>
      </c>
      <c r="E807" s="1">
        <v>117</v>
      </c>
      <c r="F807" s="1">
        <v>30</v>
      </c>
      <c r="G807" s="1">
        <v>1261302</v>
      </c>
      <c r="H807" s="1">
        <v>0</v>
      </c>
    </row>
    <row r="808" spans="1:8" x14ac:dyDescent="0.3">
      <c r="A808" s="1" t="s">
        <v>103</v>
      </c>
      <c r="B808" s="1" t="s">
        <v>104</v>
      </c>
      <c r="C808" s="1">
        <v>2015</v>
      </c>
      <c r="D808" s="1">
        <v>11273</v>
      </c>
      <c r="E808" s="1">
        <v>42</v>
      </c>
      <c r="F808" s="1">
        <v>58</v>
      </c>
      <c r="G808" s="1">
        <v>1397923</v>
      </c>
      <c r="H808" s="1">
        <v>10</v>
      </c>
    </row>
    <row r="809" spans="1:8" x14ac:dyDescent="0.3">
      <c r="A809" s="1" t="s">
        <v>105</v>
      </c>
      <c r="B809" s="1" t="s">
        <v>106</v>
      </c>
      <c r="C809" s="1">
        <v>2015</v>
      </c>
      <c r="D809" s="1">
        <v>26630</v>
      </c>
      <c r="E809" s="1">
        <v>223</v>
      </c>
      <c r="F809" s="1">
        <v>68</v>
      </c>
      <c r="G809" s="1">
        <v>805386</v>
      </c>
      <c r="H809" s="1">
        <v>6</v>
      </c>
    </row>
    <row r="810" spans="1:8" x14ac:dyDescent="0.3">
      <c r="A810" s="1" t="s">
        <v>107</v>
      </c>
      <c r="B810" s="1" t="s">
        <v>108</v>
      </c>
      <c r="C810" s="1">
        <v>2015</v>
      </c>
      <c r="D810" s="1">
        <v>21320</v>
      </c>
      <c r="E810" s="1">
        <v>189</v>
      </c>
      <c r="F810" s="1">
        <v>112</v>
      </c>
      <c r="G810" s="1">
        <v>2374516</v>
      </c>
      <c r="H810" s="1">
        <v>1</v>
      </c>
    </row>
    <row r="811" spans="1:8" x14ac:dyDescent="0.3">
      <c r="A811" s="1" t="s">
        <v>109</v>
      </c>
      <c r="B811" s="1" t="s">
        <v>110</v>
      </c>
      <c r="C811" s="1">
        <v>2015</v>
      </c>
      <c r="D811" s="1">
        <v>148055</v>
      </c>
      <c r="E811" s="1">
        <v>940</v>
      </c>
      <c r="F811" s="1">
        <v>2677</v>
      </c>
      <c r="G811" s="1">
        <v>19478565</v>
      </c>
      <c r="H811" s="1">
        <v>425</v>
      </c>
    </row>
    <row r="812" spans="1:8" x14ac:dyDescent="0.3">
      <c r="A812" s="1" t="s">
        <v>111</v>
      </c>
      <c r="B812" s="1" t="s">
        <v>112</v>
      </c>
      <c r="C812" s="1">
        <v>2015</v>
      </c>
      <c r="D812" s="1">
        <v>38517</v>
      </c>
      <c r="E812" s="1">
        <v>148</v>
      </c>
      <c r="F812" s="1">
        <v>448</v>
      </c>
      <c r="G812" s="1">
        <v>7897434</v>
      </c>
      <c r="H812" s="1">
        <v>0</v>
      </c>
    </row>
    <row r="813" spans="1:8" x14ac:dyDescent="0.3">
      <c r="A813" s="1" t="s">
        <v>113</v>
      </c>
      <c r="B813" s="1" t="s">
        <v>114</v>
      </c>
      <c r="C813" s="1">
        <v>2015</v>
      </c>
      <c r="D813" s="1">
        <v>87679</v>
      </c>
      <c r="E813" s="1">
        <v>1109</v>
      </c>
      <c r="F813" s="1">
        <v>648</v>
      </c>
      <c r="G813" s="1">
        <v>7088717</v>
      </c>
      <c r="H813" s="1">
        <v>4</v>
      </c>
    </row>
    <row r="814" spans="1:8" x14ac:dyDescent="0.3">
      <c r="A814" s="1" t="s">
        <v>115</v>
      </c>
      <c r="B814" s="1" t="s">
        <v>116</v>
      </c>
      <c r="C814" s="1">
        <v>2015</v>
      </c>
      <c r="D814" s="1">
        <v>45984</v>
      </c>
      <c r="E814" s="1">
        <v>178</v>
      </c>
      <c r="F814" s="1">
        <v>466</v>
      </c>
      <c r="G814" s="1">
        <v>3897174</v>
      </c>
      <c r="H814" s="1">
        <v>0</v>
      </c>
    </row>
    <row r="815" spans="1:8" x14ac:dyDescent="0.3">
      <c r="A815" s="1" t="s">
        <v>117</v>
      </c>
      <c r="B815" s="1" t="s">
        <v>118</v>
      </c>
      <c r="C815" s="1">
        <v>2015</v>
      </c>
      <c r="D815" s="1">
        <v>38950</v>
      </c>
      <c r="E815" s="1">
        <v>309</v>
      </c>
      <c r="F815" s="1">
        <v>11</v>
      </c>
      <c r="G815" s="1">
        <v>1268568</v>
      </c>
      <c r="H815" s="1">
        <v>15</v>
      </c>
    </row>
    <row r="816" spans="1:8" x14ac:dyDescent="0.3">
      <c r="A816" s="1" t="s">
        <v>119</v>
      </c>
      <c r="B816" s="1" t="s">
        <v>120</v>
      </c>
      <c r="C816" s="1">
        <v>2015</v>
      </c>
      <c r="D816" s="1">
        <v>31199</v>
      </c>
      <c r="E816" s="1">
        <v>246</v>
      </c>
      <c r="F816" s="1">
        <v>37</v>
      </c>
      <c r="G816" s="1">
        <v>918256</v>
      </c>
      <c r="H816" s="1">
        <v>2</v>
      </c>
    </row>
    <row r="817" spans="1:8" x14ac:dyDescent="0.3">
      <c r="A817" s="1" t="s">
        <v>121</v>
      </c>
      <c r="B817" s="1" t="s">
        <v>122</v>
      </c>
      <c r="C817" s="1">
        <v>2015</v>
      </c>
      <c r="D817" s="1">
        <v>28351</v>
      </c>
      <c r="E817" s="1">
        <v>184</v>
      </c>
      <c r="F817" s="1">
        <v>20</v>
      </c>
      <c r="G817" s="1">
        <v>576332</v>
      </c>
      <c r="H817" s="1">
        <v>2</v>
      </c>
    </row>
    <row r="818" spans="1:8" x14ac:dyDescent="0.3">
      <c r="A818" s="1" t="s">
        <v>123</v>
      </c>
      <c r="B818" s="1" t="s">
        <v>124</v>
      </c>
      <c r="C818" s="1">
        <v>2015</v>
      </c>
      <c r="D818" s="1">
        <v>22821</v>
      </c>
      <c r="E818" s="1">
        <v>63</v>
      </c>
      <c r="F818" s="1">
        <v>76</v>
      </c>
      <c r="G818" s="1">
        <v>1121635</v>
      </c>
      <c r="H818" s="1">
        <v>54</v>
      </c>
    </row>
    <row r="819" spans="1:8" x14ac:dyDescent="0.3">
      <c r="A819" s="1" t="s">
        <v>125</v>
      </c>
      <c r="B819" s="1" t="s">
        <v>126</v>
      </c>
      <c r="C819" s="1">
        <v>2015</v>
      </c>
      <c r="D819" s="1">
        <v>13437</v>
      </c>
      <c r="E819" s="1">
        <v>53</v>
      </c>
      <c r="F819" s="1">
        <v>24</v>
      </c>
      <c r="G819" s="1">
        <v>188770</v>
      </c>
      <c r="H819" s="1">
        <v>0</v>
      </c>
    </row>
    <row r="820" spans="1:8" x14ac:dyDescent="0.3">
      <c r="A820" s="1" t="s">
        <v>127</v>
      </c>
      <c r="B820" s="1" t="s">
        <v>128</v>
      </c>
      <c r="C820" s="1">
        <v>2015</v>
      </c>
      <c r="D820" s="1">
        <v>24596</v>
      </c>
      <c r="E820" s="1">
        <v>111</v>
      </c>
      <c r="F820" s="1">
        <v>56</v>
      </c>
      <c r="G820" s="1">
        <v>681552</v>
      </c>
      <c r="H820" s="1">
        <v>0</v>
      </c>
    </row>
    <row r="821" spans="1:8" x14ac:dyDescent="0.3">
      <c r="A821" s="1" t="s">
        <v>129</v>
      </c>
      <c r="B821" s="1" t="s">
        <v>130</v>
      </c>
      <c r="C821" s="1">
        <v>2015</v>
      </c>
      <c r="D821" s="1">
        <v>31690</v>
      </c>
      <c r="E821" s="1">
        <v>174</v>
      </c>
      <c r="F821" s="1">
        <v>69</v>
      </c>
      <c r="G821" s="1">
        <v>1093184</v>
      </c>
      <c r="H821" s="1">
        <v>92</v>
      </c>
    </row>
    <row r="822" spans="1:8" x14ac:dyDescent="0.3">
      <c r="A822" s="1" t="s">
        <v>131</v>
      </c>
      <c r="B822" s="1" t="s">
        <v>132</v>
      </c>
      <c r="C822" s="1">
        <v>2015</v>
      </c>
      <c r="D822" s="1">
        <v>30196</v>
      </c>
      <c r="E822" s="1">
        <v>216</v>
      </c>
      <c r="F822" s="1">
        <v>85</v>
      </c>
      <c r="G822" s="1">
        <v>588832</v>
      </c>
      <c r="H822" s="1">
        <v>0</v>
      </c>
    </row>
    <row r="823" spans="1:8" x14ac:dyDescent="0.3">
      <c r="A823" s="1" t="s">
        <v>133</v>
      </c>
      <c r="B823" s="1" t="s">
        <v>134</v>
      </c>
      <c r="C823" s="1">
        <v>2015</v>
      </c>
      <c r="D823" s="1">
        <v>49065</v>
      </c>
      <c r="E823" s="1">
        <v>847</v>
      </c>
      <c r="F823" s="1">
        <v>94</v>
      </c>
      <c r="G823" s="1">
        <v>701752</v>
      </c>
      <c r="H823" s="1">
        <v>14</v>
      </c>
    </row>
    <row r="824" spans="1:8" x14ac:dyDescent="0.3">
      <c r="A824" s="1" t="s">
        <v>135</v>
      </c>
      <c r="B824" s="1" t="s">
        <v>136</v>
      </c>
      <c r="C824" s="1">
        <v>2015</v>
      </c>
      <c r="D824" s="1">
        <v>18457</v>
      </c>
      <c r="E824" s="1">
        <v>207</v>
      </c>
      <c r="F824" s="1">
        <v>32</v>
      </c>
      <c r="G824" s="1">
        <v>491012</v>
      </c>
      <c r="H824" s="1">
        <v>0</v>
      </c>
    </row>
    <row r="825" spans="1:8" x14ac:dyDescent="0.3">
      <c r="A825" s="1" t="s">
        <v>137</v>
      </c>
      <c r="B825" s="1" t="s">
        <v>138</v>
      </c>
      <c r="C825" s="1">
        <v>2015</v>
      </c>
      <c r="D825" s="1">
        <v>33062</v>
      </c>
      <c r="E825" s="1">
        <v>230</v>
      </c>
      <c r="F825" s="1">
        <v>51</v>
      </c>
      <c r="G825" s="1">
        <v>955316</v>
      </c>
      <c r="H825" s="1">
        <v>0</v>
      </c>
    </row>
    <row r="826" spans="1:8" x14ac:dyDescent="0.3">
      <c r="A826" s="1" t="s">
        <v>139</v>
      </c>
      <c r="B826" s="1" t="s">
        <v>140</v>
      </c>
      <c r="C826" s="1">
        <v>2015</v>
      </c>
      <c r="D826" s="1">
        <v>20741</v>
      </c>
      <c r="E826" s="1">
        <v>114</v>
      </c>
      <c r="F826" s="1">
        <v>64</v>
      </c>
      <c r="G826" s="1">
        <v>1504005</v>
      </c>
      <c r="H826" s="1">
        <v>7</v>
      </c>
    </row>
    <row r="827" spans="1:8" x14ac:dyDescent="0.3">
      <c r="A827" s="1" t="s">
        <v>141</v>
      </c>
      <c r="B827" s="1" t="s">
        <v>142</v>
      </c>
      <c r="C827" s="1">
        <v>2015</v>
      </c>
      <c r="D827" s="1">
        <v>12974</v>
      </c>
      <c r="E827" s="1">
        <v>73</v>
      </c>
      <c r="F827" s="1">
        <v>49</v>
      </c>
      <c r="G827" s="1">
        <v>435335</v>
      </c>
      <c r="H827" s="1">
        <v>4</v>
      </c>
    </row>
    <row r="828" spans="1:8" x14ac:dyDescent="0.3">
      <c r="A828" s="1" t="s">
        <v>143</v>
      </c>
      <c r="B828" s="1" t="s">
        <v>144</v>
      </c>
      <c r="C828" s="1">
        <v>2015</v>
      </c>
      <c r="D828" s="1">
        <v>42293</v>
      </c>
      <c r="E828" s="1">
        <v>288</v>
      </c>
      <c r="F828" s="1">
        <v>272</v>
      </c>
      <c r="G828" s="1">
        <v>1506176</v>
      </c>
      <c r="H828" s="1">
        <v>42</v>
      </c>
    </row>
    <row r="829" spans="1:8" x14ac:dyDescent="0.3">
      <c r="A829" s="1" t="s">
        <v>145</v>
      </c>
      <c r="B829" s="1" t="s">
        <v>146</v>
      </c>
      <c r="C829" s="1">
        <v>2015</v>
      </c>
      <c r="D829" s="1">
        <v>19631</v>
      </c>
      <c r="E829" s="1">
        <v>118</v>
      </c>
      <c r="F829" s="1">
        <v>106</v>
      </c>
      <c r="G829" s="1">
        <v>746387</v>
      </c>
      <c r="H829" s="1">
        <v>62</v>
      </c>
    </row>
    <row r="830" spans="1:8" x14ac:dyDescent="0.3">
      <c r="A830" s="1" t="s">
        <v>147</v>
      </c>
      <c r="B830" s="1" t="s">
        <v>148</v>
      </c>
      <c r="C830" s="1">
        <v>2015</v>
      </c>
      <c r="D830" s="1">
        <v>20108</v>
      </c>
      <c r="E830" s="1">
        <v>79</v>
      </c>
      <c r="F830" s="1">
        <v>66</v>
      </c>
      <c r="G830" s="1">
        <v>555194</v>
      </c>
      <c r="H830" s="1">
        <v>3</v>
      </c>
    </row>
    <row r="831" spans="1:8" x14ac:dyDescent="0.3">
      <c r="A831" s="1" t="s">
        <v>149</v>
      </c>
      <c r="B831" s="1" t="s">
        <v>47</v>
      </c>
      <c r="C831" s="1">
        <v>2015</v>
      </c>
      <c r="D831" s="1">
        <v>26641</v>
      </c>
      <c r="E831" s="1">
        <v>168</v>
      </c>
      <c r="F831" s="1">
        <v>64</v>
      </c>
      <c r="G831" s="1">
        <v>1142741</v>
      </c>
      <c r="H831" s="1">
        <v>2</v>
      </c>
    </row>
    <row r="832" spans="1:8" x14ac:dyDescent="0.3">
      <c r="A832" s="1" t="s">
        <v>150</v>
      </c>
      <c r="B832" s="1" t="s">
        <v>151</v>
      </c>
      <c r="C832" s="1">
        <v>2015</v>
      </c>
      <c r="D832" s="1">
        <v>28043</v>
      </c>
      <c r="E832" s="1">
        <v>89</v>
      </c>
      <c r="F832" s="1">
        <v>74</v>
      </c>
      <c r="G832" s="1">
        <v>1039105</v>
      </c>
      <c r="H832" s="1">
        <v>38</v>
      </c>
    </row>
    <row r="833" spans="1:8" x14ac:dyDescent="0.3">
      <c r="A833" s="1" t="s">
        <v>152</v>
      </c>
      <c r="B833" s="1" t="s">
        <v>153</v>
      </c>
      <c r="C833" s="1">
        <v>2015</v>
      </c>
      <c r="D833" s="1">
        <v>14199</v>
      </c>
      <c r="E833" s="1">
        <v>89</v>
      </c>
      <c r="F833" s="1">
        <v>65</v>
      </c>
      <c r="G833" s="1">
        <v>959798</v>
      </c>
      <c r="H833" s="1">
        <v>6</v>
      </c>
    </row>
    <row r="834" spans="1:8" x14ac:dyDescent="0.3">
      <c r="A834" s="1" t="s">
        <v>154</v>
      </c>
      <c r="B834" s="1" t="s">
        <v>155</v>
      </c>
      <c r="C834" s="1">
        <v>2015</v>
      </c>
      <c r="D834" s="1">
        <v>36425</v>
      </c>
      <c r="E834" s="1">
        <v>171</v>
      </c>
      <c r="F834" s="1">
        <v>14</v>
      </c>
      <c r="G834" s="1">
        <v>289468</v>
      </c>
      <c r="H834" s="1">
        <v>0</v>
      </c>
    </row>
    <row r="835" spans="1:8" x14ac:dyDescent="0.3">
      <c r="A835" s="1" t="s">
        <v>156</v>
      </c>
      <c r="B835" s="1" t="s">
        <v>157</v>
      </c>
      <c r="C835" s="1">
        <v>2015</v>
      </c>
      <c r="D835" s="1">
        <v>21804</v>
      </c>
      <c r="E835" s="1">
        <v>307</v>
      </c>
      <c r="F835" s="1">
        <v>118</v>
      </c>
      <c r="G835" s="1">
        <v>2178049</v>
      </c>
      <c r="H835" s="1">
        <v>24</v>
      </c>
    </row>
    <row r="836" spans="1:8" x14ac:dyDescent="0.3">
      <c r="A836" s="1" t="s">
        <v>158</v>
      </c>
      <c r="B836" s="1" t="s">
        <v>159</v>
      </c>
      <c r="C836" s="1">
        <v>2015</v>
      </c>
      <c r="D836" s="1">
        <v>25546</v>
      </c>
      <c r="E836" s="1">
        <v>33</v>
      </c>
      <c r="F836" s="1">
        <v>218</v>
      </c>
      <c r="G836" s="1">
        <v>1847196</v>
      </c>
      <c r="H836" s="1">
        <v>249</v>
      </c>
    </row>
    <row r="837" spans="1:8" x14ac:dyDescent="0.3">
      <c r="A837" s="1" t="s">
        <v>160</v>
      </c>
      <c r="B837" s="1" t="s">
        <v>161</v>
      </c>
      <c r="C837" s="1">
        <v>2015</v>
      </c>
      <c r="D837" s="1">
        <v>147314</v>
      </c>
      <c r="E837" s="1">
        <v>1836</v>
      </c>
      <c r="F837" s="1">
        <v>2466</v>
      </c>
      <c r="G837" s="1">
        <v>11229864</v>
      </c>
      <c r="H837" s="1">
        <v>78</v>
      </c>
    </row>
    <row r="838" spans="1:8" x14ac:dyDescent="0.3">
      <c r="A838" s="1" t="s">
        <v>162</v>
      </c>
      <c r="B838" s="1" t="s">
        <v>163</v>
      </c>
      <c r="C838" s="1">
        <v>2015</v>
      </c>
      <c r="D838" s="1">
        <v>23968</v>
      </c>
      <c r="E838" s="1">
        <v>224</v>
      </c>
      <c r="F838" s="1">
        <v>310</v>
      </c>
      <c r="G838" s="1">
        <v>3631374</v>
      </c>
      <c r="H838" s="1">
        <v>203</v>
      </c>
    </row>
    <row r="839" spans="1:8" x14ac:dyDescent="0.3">
      <c r="A839" s="1" t="s">
        <v>164</v>
      </c>
      <c r="B839" s="1" t="s">
        <v>165</v>
      </c>
      <c r="C839" s="1">
        <v>2015</v>
      </c>
      <c r="D839" s="1">
        <v>22139</v>
      </c>
      <c r="E839" s="1">
        <v>334</v>
      </c>
      <c r="F839" s="1">
        <v>181</v>
      </c>
      <c r="G839" s="1">
        <v>868262</v>
      </c>
      <c r="H839" s="1">
        <v>10</v>
      </c>
    </row>
    <row r="840" spans="1:8" x14ac:dyDescent="0.3">
      <c r="A840" s="1" t="s">
        <v>166</v>
      </c>
      <c r="B840" s="1" t="s">
        <v>167</v>
      </c>
      <c r="C840" s="1">
        <v>2015</v>
      </c>
      <c r="D840" s="1">
        <v>19150</v>
      </c>
      <c r="E840" s="1">
        <v>98</v>
      </c>
      <c r="F840" s="1">
        <v>108</v>
      </c>
      <c r="G840" s="1">
        <v>1454440</v>
      </c>
      <c r="H840" s="1">
        <v>6</v>
      </c>
    </row>
    <row r="841" spans="1:8" x14ac:dyDescent="0.3">
      <c r="A841" s="1" t="s">
        <v>168</v>
      </c>
      <c r="B841" s="1" t="s">
        <v>169</v>
      </c>
      <c r="C841" s="1">
        <v>2015</v>
      </c>
      <c r="D841" s="1">
        <v>20304</v>
      </c>
      <c r="E841" s="1">
        <v>90</v>
      </c>
      <c r="F841" s="1">
        <v>186</v>
      </c>
      <c r="G841" s="1">
        <v>1668855</v>
      </c>
      <c r="H841" s="1">
        <v>18</v>
      </c>
    </row>
    <row r="842" spans="1:8" x14ac:dyDescent="0.3">
      <c r="A842" s="1" t="s">
        <v>170</v>
      </c>
      <c r="B842" s="1" t="s">
        <v>171</v>
      </c>
      <c r="C842" s="1">
        <v>2015</v>
      </c>
      <c r="D842" s="1">
        <v>30259</v>
      </c>
      <c r="E842" s="1">
        <v>208</v>
      </c>
      <c r="F842" s="1">
        <v>211</v>
      </c>
      <c r="G842" s="1">
        <v>2508414</v>
      </c>
      <c r="H842" s="1">
        <v>18</v>
      </c>
    </row>
    <row r="843" spans="1:8" x14ac:dyDescent="0.3">
      <c r="A843" s="1" t="s">
        <v>172</v>
      </c>
      <c r="B843" s="1" t="s">
        <v>173</v>
      </c>
      <c r="C843" s="1">
        <v>2015</v>
      </c>
      <c r="D843" s="1">
        <v>16293</v>
      </c>
      <c r="E843" s="1">
        <v>166</v>
      </c>
      <c r="F843" s="1">
        <v>270</v>
      </c>
      <c r="G843" s="1">
        <v>872323</v>
      </c>
      <c r="H843" s="1">
        <v>4</v>
      </c>
    </row>
    <row r="844" spans="1:8" x14ac:dyDescent="0.3">
      <c r="A844" s="1" t="s">
        <v>174</v>
      </c>
      <c r="B844" s="1" t="s">
        <v>175</v>
      </c>
      <c r="C844" s="1">
        <v>2015</v>
      </c>
      <c r="D844" s="1">
        <v>16617</v>
      </c>
      <c r="E844" s="1">
        <v>104</v>
      </c>
      <c r="F844" s="1">
        <v>133</v>
      </c>
      <c r="G844" s="1">
        <v>1060349</v>
      </c>
      <c r="H844" s="1">
        <v>5</v>
      </c>
    </row>
    <row r="845" spans="1:8" x14ac:dyDescent="0.3">
      <c r="A845" s="1" t="s">
        <v>176</v>
      </c>
      <c r="B845" s="1" t="s">
        <v>177</v>
      </c>
      <c r="C845" s="1">
        <v>2015</v>
      </c>
      <c r="D845" s="1">
        <v>12190</v>
      </c>
      <c r="E845" s="1">
        <v>97</v>
      </c>
      <c r="F845" s="1">
        <v>91</v>
      </c>
      <c r="G845" s="1">
        <v>1006605</v>
      </c>
      <c r="H845" s="1">
        <v>23</v>
      </c>
    </row>
    <row r="846" spans="1:8" x14ac:dyDescent="0.3">
      <c r="A846" s="1" t="s">
        <v>178</v>
      </c>
      <c r="B846" s="1" t="s">
        <v>179</v>
      </c>
      <c r="C846" s="1">
        <v>2015</v>
      </c>
      <c r="D846" s="1">
        <v>19408</v>
      </c>
      <c r="E846" s="1">
        <v>142</v>
      </c>
      <c r="F846" s="1">
        <v>231</v>
      </c>
      <c r="G846" s="1">
        <v>708910</v>
      </c>
      <c r="H846" s="1">
        <v>1</v>
      </c>
    </row>
    <row r="847" spans="1:8" x14ac:dyDescent="0.3">
      <c r="A847" s="1" t="s">
        <v>180</v>
      </c>
      <c r="B847" s="1" t="s">
        <v>181</v>
      </c>
      <c r="C847" s="1">
        <v>2015</v>
      </c>
      <c r="D847" s="1">
        <v>24385</v>
      </c>
      <c r="E847" s="1">
        <v>257</v>
      </c>
      <c r="F847" s="1">
        <v>145</v>
      </c>
      <c r="G847" s="1">
        <v>1255052</v>
      </c>
      <c r="H847" s="1">
        <v>46</v>
      </c>
    </row>
    <row r="848" spans="1:8" x14ac:dyDescent="0.3">
      <c r="A848" s="1" t="s">
        <v>182</v>
      </c>
      <c r="B848" s="1" t="s">
        <v>183</v>
      </c>
      <c r="C848" s="1">
        <v>2015</v>
      </c>
      <c r="D848" s="1">
        <v>29340</v>
      </c>
      <c r="E848" s="1">
        <v>111</v>
      </c>
      <c r="F848" s="1">
        <v>94</v>
      </c>
      <c r="G848" s="1">
        <v>2765845</v>
      </c>
      <c r="H848" s="1">
        <v>0</v>
      </c>
    </row>
    <row r="849" spans="1:8" x14ac:dyDescent="0.3">
      <c r="A849" s="1" t="s">
        <v>184</v>
      </c>
      <c r="B849" s="1" t="s">
        <v>185</v>
      </c>
      <c r="C849" s="1">
        <v>2015</v>
      </c>
      <c r="D849" s="1">
        <v>34056</v>
      </c>
      <c r="E849" s="1">
        <v>196</v>
      </c>
      <c r="F849" s="1">
        <v>379</v>
      </c>
      <c r="G849" s="1">
        <v>2554893</v>
      </c>
      <c r="H849" s="1">
        <v>8</v>
      </c>
    </row>
    <row r="850" spans="1:8" x14ac:dyDescent="0.3">
      <c r="A850" s="1" t="s">
        <v>186</v>
      </c>
      <c r="B850" s="1" t="s">
        <v>187</v>
      </c>
      <c r="C850" s="1">
        <v>2015</v>
      </c>
      <c r="D850" s="1">
        <v>12456</v>
      </c>
      <c r="E850" s="1">
        <v>139</v>
      </c>
      <c r="F850" s="1">
        <v>47</v>
      </c>
      <c r="G850" s="1">
        <v>464662</v>
      </c>
      <c r="H850" s="1">
        <v>3</v>
      </c>
    </row>
    <row r="851" spans="1:8" x14ac:dyDescent="0.3">
      <c r="A851" s="1" t="s">
        <v>188</v>
      </c>
      <c r="B851" s="1" t="s">
        <v>189</v>
      </c>
      <c r="C851" s="1">
        <v>2015</v>
      </c>
      <c r="D851" s="1">
        <v>51501</v>
      </c>
      <c r="E851" s="1">
        <v>555</v>
      </c>
      <c r="F851" s="1">
        <v>1081</v>
      </c>
      <c r="G851" s="1">
        <v>3841581</v>
      </c>
      <c r="H851" s="1">
        <v>2217</v>
      </c>
    </row>
    <row r="852" spans="1:8" x14ac:dyDescent="0.3">
      <c r="A852" s="1" t="s">
        <v>190</v>
      </c>
      <c r="B852" s="1" t="s">
        <v>191</v>
      </c>
      <c r="C852" s="1">
        <v>2015</v>
      </c>
      <c r="D852" s="1">
        <v>57575</v>
      </c>
      <c r="E852" s="1">
        <v>736</v>
      </c>
      <c r="F852" s="1">
        <v>779</v>
      </c>
      <c r="G852" s="1">
        <v>4735844</v>
      </c>
      <c r="H852" s="1">
        <v>22</v>
      </c>
    </row>
    <row r="853" spans="1:8" x14ac:dyDescent="0.3">
      <c r="A853" s="1" t="s">
        <v>192</v>
      </c>
      <c r="B853" s="1" t="s">
        <v>193</v>
      </c>
      <c r="C853" s="1">
        <v>2015</v>
      </c>
      <c r="D853" s="1">
        <v>40337</v>
      </c>
      <c r="E853" s="1">
        <v>362</v>
      </c>
      <c r="F853" s="1">
        <v>311</v>
      </c>
      <c r="G853" s="1">
        <v>2268343</v>
      </c>
      <c r="H853" s="1">
        <v>69</v>
      </c>
    </row>
    <row r="854" spans="1:8" x14ac:dyDescent="0.3">
      <c r="A854" s="1" t="s">
        <v>194</v>
      </c>
      <c r="B854" s="1" t="s">
        <v>195</v>
      </c>
      <c r="C854" s="1">
        <v>2015</v>
      </c>
      <c r="D854" s="1">
        <v>37688</v>
      </c>
      <c r="E854" s="1">
        <v>182</v>
      </c>
      <c r="F854" s="1">
        <v>24</v>
      </c>
      <c r="G854" s="1">
        <v>4103352</v>
      </c>
      <c r="H854" s="1">
        <v>85</v>
      </c>
    </row>
    <row r="855" spans="1:8" x14ac:dyDescent="0.3">
      <c r="A855" s="1" t="s">
        <v>196</v>
      </c>
      <c r="B855" s="1" t="s">
        <v>197</v>
      </c>
      <c r="C855" s="1">
        <v>2015</v>
      </c>
      <c r="D855" s="1">
        <v>19188</v>
      </c>
      <c r="E855" s="1">
        <v>156</v>
      </c>
      <c r="F855" s="1">
        <v>59</v>
      </c>
      <c r="G855" s="1">
        <v>1152936</v>
      </c>
      <c r="H855" s="1">
        <v>51</v>
      </c>
    </row>
    <row r="856" spans="1:8" x14ac:dyDescent="0.3">
      <c r="A856" s="1" t="s">
        <v>198</v>
      </c>
      <c r="B856" s="1" t="s">
        <v>199</v>
      </c>
      <c r="C856" s="1">
        <v>2015</v>
      </c>
      <c r="D856" s="1">
        <v>17272</v>
      </c>
      <c r="E856" s="1">
        <v>57</v>
      </c>
      <c r="F856" s="1">
        <v>37</v>
      </c>
      <c r="G856" s="1">
        <v>650866</v>
      </c>
      <c r="H856" s="1">
        <v>56</v>
      </c>
    </row>
    <row r="857" spans="1:8" x14ac:dyDescent="0.3">
      <c r="A857" s="1" t="s">
        <v>200</v>
      </c>
      <c r="B857" s="1" t="s">
        <v>201</v>
      </c>
      <c r="C857" s="1">
        <v>2015</v>
      </c>
      <c r="D857" s="1">
        <v>27528</v>
      </c>
      <c r="E857" s="1">
        <v>145</v>
      </c>
      <c r="F857" s="1">
        <v>70</v>
      </c>
      <c r="G857" s="1">
        <v>1069213</v>
      </c>
      <c r="H857" s="1">
        <v>38</v>
      </c>
    </row>
    <row r="858" spans="1:8" x14ac:dyDescent="0.3">
      <c r="A858" s="1" t="s">
        <v>202</v>
      </c>
      <c r="B858" s="1" t="s">
        <v>203</v>
      </c>
      <c r="C858" s="1">
        <v>2015</v>
      </c>
      <c r="D858" s="1">
        <v>24013</v>
      </c>
      <c r="E858" s="1">
        <v>263</v>
      </c>
      <c r="F858" s="1">
        <v>39</v>
      </c>
      <c r="G858" s="1">
        <v>540892</v>
      </c>
      <c r="H858" s="1">
        <v>168</v>
      </c>
    </row>
    <row r="859" spans="1:8" x14ac:dyDescent="0.3">
      <c r="A859" s="1" t="s">
        <v>204</v>
      </c>
      <c r="B859" s="1" t="s">
        <v>205</v>
      </c>
      <c r="C859" s="1">
        <v>2015</v>
      </c>
      <c r="D859" s="1">
        <v>26049</v>
      </c>
      <c r="E859" s="1">
        <v>175</v>
      </c>
      <c r="F859" s="1">
        <v>53</v>
      </c>
      <c r="G859" s="1">
        <v>447637</v>
      </c>
      <c r="H859" s="1">
        <v>2</v>
      </c>
    </row>
    <row r="860" spans="1:8" x14ac:dyDescent="0.3">
      <c r="A860" s="1" t="s">
        <v>206</v>
      </c>
      <c r="B860" s="1" t="s">
        <v>207</v>
      </c>
      <c r="C860" s="1">
        <v>2015</v>
      </c>
      <c r="D860" s="1">
        <v>50544</v>
      </c>
      <c r="E860" s="1">
        <v>425</v>
      </c>
      <c r="F860" s="1">
        <v>199</v>
      </c>
      <c r="G860" s="1">
        <v>1693254</v>
      </c>
      <c r="H860" s="1">
        <v>67</v>
      </c>
    </row>
    <row r="861" spans="1:8" x14ac:dyDescent="0.3">
      <c r="A861" s="1" t="s">
        <v>208</v>
      </c>
      <c r="B861" s="1" t="s">
        <v>209</v>
      </c>
      <c r="C861" s="1">
        <v>2015</v>
      </c>
      <c r="D861" s="1">
        <v>16870</v>
      </c>
      <c r="E861" s="1">
        <v>94</v>
      </c>
      <c r="F861" s="1">
        <v>24</v>
      </c>
      <c r="G861" s="1">
        <v>241123</v>
      </c>
      <c r="H861" s="1">
        <v>42</v>
      </c>
    </row>
    <row r="862" spans="1:8" x14ac:dyDescent="0.3">
      <c r="A862" s="1" t="s">
        <v>210</v>
      </c>
      <c r="B862" s="1" t="s">
        <v>211</v>
      </c>
      <c r="C862" s="1">
        <v>2015</v>
      </c>
      <c r="D862" s="1">
        <v>29969</v>
      </c>
      <c r="E862" s="1">
        <v>296</v>
      </c>
      <c r="F862" s="1">
        <v>9</v>
      </c>
      <c r="G862" s="1">
        <v>522389</v>
      </c>
      <c r="H862" s="1">
        <v>3</v>
      </c>
    </row>
    <row r="863" spans="1:8" x14ac:dyDescent="0.3">
      <c r="A863" s="1" t="s">
        <v>212</v>
      </c>
      <c r="B863" s="1" t="s">
        <v>213</v>
      </c>
      <c r="C863" s="1">
        <v>2015</v>
      </c>
      <c r="D863" s="1">
        <v>15427</v>
      </c>
      <c r="E863" s="1">
        <v>182</v>
      </c>
      <c r="F863" s="1">
        <v>91</v>
      </c>
      <c r="G863" s="1">
        <v>536727</v>
      </c>
      <c r="H863" s="1">
        <v>2</v>
      </c>
    </row>
    <row r="864" spans="1:8" x14ac:dyDescent="0.3">
      <c r="A864" s="1" t="s">
        <v>214</v>
      </c>
      <c r="B864" s="1" t="s">
        <v>215</v>
      </c>
      <c r="C864" s="1">
        <v>2015</v>
      </c>
      <c r="D864" s="1">
        <v>42942</v>
      </c>
      <c r="E864" s="1">
        <v>269</v>
      </c>
      <c r="F864" s="1">
        <v>62</v>
      </c>
      <c r="G864" s="1">
        <v>1297369</v>
      </c>
      <c r="H864" s="1">
        <v>8</v>
      </c>
    </row>
    <row r="865" spans="1:8" x14ac:dyDescent="0.3">
      <c r="A865" s="1" t="s">
        <v>216</v>
      </c>
      <c r="B865" s="1" t="s">
        <v>217</v>
      </c>
      <c r="C865" s="1">
        <v>2015</v>
      </c>
      <c r="D865" s="1">
        <v>16423</v>
      </c>
      <c r="E865" s="1">
        <v>146</v>
      </c>
      <c r="F865" s="1">
        <v>49</v>
      </c>
      <c r="G865" s="1">
        <v>748956</v>
      </c>
      <c r="H865" s="1">
        <v>27</v>
      </c>
    </row>
    <row r="866" spans="1:8" x14ac:dyDescent="0.3">
      <c r="A866" s="1" t="s">
        <v>218</v>
      </c>
      <c r="B866" s="1" t="s">
        <v>219</v>
      </c>
      <c r="C866" s="1">
        <v>2015</v>
      </c>
      <c r="D866" s="1">
        <v>39288</v>
      </c>
      <c r="E866" s="1">
        <v>232</v>
      </c>
      <c r="F866" s="1">
        <v>152</v>
      </c>
      <c r="G866" s="1">
        <v>1858774</v>
      </c>
      <c r="H866" s="1">
        <v>56</v>
      </c>
    </row>
    <row r="867" spans="1:8" x14ac:dyDescent="0.3">
      <c r="A867" s="1" t="s">
        <v>220</v>
      </c>
      <c r="B867" s="1" t="s">
        <v>221</v>
      </c>
      <c r="C867" s="1">
        <v>2015</v>
      </c>
      <c r="D867" s="1">
        <v>12237</v>
      </c>
      <c r="E867" s="1">
        <v>122</v>
      </c>
      <c r="F867" s="1">
        <v>7</v>
      </c>
      <c r="G867" s="1">
        <v>7383</v>
      </c>
      <c r="H867" s="1">
        <v>2</v>
      </c>
    </row>
    <row r="868" spans="1:8" x14ac:dyDescent="0.3">
      <c r="A868" s="1" t="s">
        <v>222</v>
      </c>
      <c r="B868" s="1" t="s">
        <v>151</v>
      </c>
      <c r="C868" s="1">
        <v>2015</v>
      </c>
      <c r="D868" s="1">
        <v>45468</v>
      </c>
      <c r="E868" s="1">
        <v>217</v>
      </c>
      <c r="F868" s="1">
        <v>194</v>
      </c>
      <c r="G868" s="1">
        <v>2879711</v>
      </c>
      <c r="H868" s="1">
        <v>73</v>
      </c>
    </row>
    <row r="869" spans="1:8" x14ac:dyDescent="0.3">
      <c r="A869" s="1" t="s">
        <v>223</v>
      </c>
      <c r="B869" s="1" t="s">
        <v>224</v>
      </c>
      <c r="C869" s="1">
        <v>2015</v>
      </c>
      <c r="D869" s="1">
        <v>25280</v>
      </c>
      <c r="E869" s="1">
        <v>181</v>
      </c>
      <c r="F869" s="1">
        <v>29</v>
      </c>
      <c r="G869" s="1">
        <v>1014988</v>
      </c>
      <c r="H869" s="1">
        <v>0</v>
      </c>
    </row>
    <row r="870" spans="1:8" x14ac:dyDescent="0.3">
      <c r="A870" s="1" t="s">
        <v>225</v>
      </c>
      <c r="B870" s="1" t="s">
        <v>226</v>
      </c>
      <c r="C870" s="1">
        <v>2015</v>
      </c>
      <c r="D870" s="1">
        <v>13375</v>
      </c>
      <c r="E870" s="1">
        <v>155</v>
      </c>
      <c r="F870" s="1">
        <v>59</v>
      </c>
      <c r="G870" s="1">
        <v>354681</v>
      </c>
      <c r="H870" s="1">
        <v>0</v>
      </c>
    </row>
    <row r="871" spans="1:8" x14ac:dyDescent="0.3">
      <c r="A871" s="1" t="s">
        <v>227</v>
      </c>
      <c r="B871" s="1" t="s">
        <v>228</v>
      </c>
      <c r="C871" s="1">
        <v>2015</v>
      </c>
      <c r="D871" s="1">
        <v>24369</v>
      </c>
      <c r="E871" s="1">
        <v>143</v>
      </c>
      <c r="F871" s="1">
        <v>88</v>
      </c>
      <c r="G871" s="1">
        <v>1686954</v>
      </c>
      <c r="H871" s="1">
        <v>183</v>
      </c>
    </row>
    <row r="872" spans="1:8" x14ac:dyDescent="0.3">
      <c r="A872" s="1" t="s">
        <v>229</v>
      </c>
      <c r="B872" s="1" t="s">
        <v>230</v>
      </c>
      <c r="C872" s="1">
        <v>2015</v>
      </c>
      <c r="D872" s="1">
        <v>65390</v>
      </c>
      <c r="E872" s="1">
        <v>673</v>
      </c>
      <c r="F872" s="1">
        <v>341</v>
      </c>
      <c r="G872" s="1">
        <v>3025474</v>
      </c>
      <c r="H872" s="1">
        <v>403</v>
      </c>
    </row>
    <row r="873" spans="1:8" x14ac:dyDescent="0.3">
      <c r="A873" s="1" t="s">
        <v>231</v>
      </c>
      <c r="B873" s="1" t="s">
        <v>232</v>
      </c>
      <c r="C873" s="1">
        <v>2015</v>
      </c>
      <c r="D873" s="1">
        <v>11329</v>
      </c>
      <c r="E873" s="1">
        <v>128</v>
      </c>
      <c r="F873" s="1">
        <v>36</v>
      </c>
      <c r="G873" s="1">
        <v>320145</v>
      </c>
      <c r="H873" s="1">
        <v>0</v>
      </c>
    </row>
    <row r="874" spans="1:8" x14ac:dyDescent="0.3">
      <c r="A874" s="1" t="s">
        <v>233</v>
      </c>
      <c r="B874" s="1" t="s">
        <v>234</v>
      </c>
      <c r="C874" s="1">
        <v>2015</v>
      </c>
      <c r="D874" s="1">
        <v>352040</v>
      </c>
      <c r="E874" s="1">
        <v>2252</v>
      </c>
      <c r="F874" s="1">
        <v>4830</v>
      </c>
      <c r="G874" s="1">
        <v>30162075</v>
      </c>
      <c r="H874" s="1">
        <v>774</v>
      </c>
    </row>
    <row r="875" spans="1:8" x14ac:dyDescent="0.3">
      <c r="A875" s="1" t="s">
        <v>235</v>
      </c>
      <c r="B875" s="1" t="s">
        <v>236</v>
      </c>
      <c r="C875" s="1">
        <v>2015</v>
      </c>
      <c r="D875" s="1">
        <v>31364</v>
      </c>
      <c r="E875" s="1">
        <v>235</v>
      </c>
      <c r="F875" s="1">
        <v>242</v>
      </c>
      <c r="G875" s="1">
        <v>5023032</v>
      </c>
      <c r="H875" s="1">
        <v>2</v>
      </c>
    </row>
    <row r="876" spans="1:8" x14ac:dyDescent="0.3">
      <c r="A876" s="1" t="s">
        <v>237</v>
      </c>
      <c r="B876" s="1" t="s">
        <v>238</v>
      </c>
      <c r="C876" s="1">
        <v>2015</v>
      </c>
      <c r="D876" s="1">
        <v>19543</v>
      </c>
      <c r="E876" s="1">
        <v>60</v>
      </c>
      <c r="F876" s="1">
        <v>202</v>
      </c>
      <c r="G876" s="1">
        <v>432482</v>
      </c>
      <c r="H876" s="1">
        <v>98</v>
      </c>
    </row>
    <row r="877" spans="1:8" x14ac:dyDescent="0.3">
      <c r="A877" s="1" t="s">
        <v>239</v>
      </c>
      <c r="B877" s="1" t="s">
        <v>240</v>
      </c>
      <c r="C877" s="1">
        <v>2015</v>
      </c>
      <c r="D877" s="1">
        <v>31400</v>
      </c>
      <c r="E877" s="1">
        <v>328</v>
      </c>
      <c r="F877" s="1">
        <v>142</v>
      </c>
      <c r="G877" s="1">
        <v>584303</v>
      </c>
      <c r="H877" s="1">
        <v>4</v>
      </c>
    </row>
    <row r="878" spans="1:8" x14ac:dyDescent="0.3">
      <c r="A878" s="1" t="s">
        <v>241</v>
      </c>
      <c r="B878" s="1" t="s">
        <v>242</v>
      </c>
      <c r="C878" s="1">
        <v>2015</v>
      </c>
      <c r="D878" s="1">
        <v>27161</v>
      </c>
      <c r="E878" s="1">
        <v>234</v>
      </c>
      <c r="F878" s="1">
        <v>40</v>
      </c>
      <c r="G878" s="1">
        <v>340341</v>
      </c>
      <c r="H878" s="1">
        <v>26</v>
      </c>
    </row>
    <row r="879" spans="1:8" x14ac:dyDescent="0.3">
      <c r="A879" s="1" t="s">
        <v>243</v>
      </c>
      <c r="B879" s="1" t="s">
        <v>244</v>
      </c>
      <c r="C879" s="1">
        <v>2015</v>
      </c>
      <c r="D879" s="1">
        <v>43944</v>
      </c>
      <c r="E879" s="1">
        <v>204</v>
      </c>
      <c r="F879" s="1">
        <v>211</v>
      </c>
      <c r="G879" s="1">
        <v>4681290</v>
      </c>
      <c r="H879" s="1">
        <v>182</v>
      </c>
    </row>
    <row r="880" spans="1:8" x14ac:dyDescent="0.3">
      <c r="A880" s="1" t="s">
        <v>245</v>
      </c>
      <c r="B880" s="1" t="s">
        <v>246</v>
      </c>
      <c r="C880" s="1">
        <v>2015</v>
      </c>
      <c r="D880" s="1">
        <v>16506</v>
      </c>
      <c r="E880" s="1">
        <v>130</v>
      </c>
      <c r="F880" s="1">
        <v>9</v>
      </c>
      <c r="G880" s="1">
        <v>251978</v>
      </c>
      <c r="H880" s="1">
        <v>0</v>
      </c>
    </row>
    <row r="881" spans="1:8" x14ac:dyDescent="0.3">
      <c r="A881" s="1" t="s">
        <v>247</v>
      </c>
      <c r="B881" s="1" t="s">
        <v>248</v>
      </c>
      <c r="C881" s="1">
        <v>2015</v>
      </c>
      <c r="D881" s="1">
        <v>31558</v>
      </c>
      <c r="E881" s="1">
        <v>273</v>
      </c>
      <c r="F881" s="1">
        <v>71</v>
      </c>
      <c r="G881" s="1">
        <v>1187334</v>
      </c>
      <c r="H881" s="1">
        <v>11</v>
      </c>
    </row>
    <row r="882" spans="1:8" x14ac:dyDescent="0.3">
      <c r="A882" s="1" t="s">
        <v>249</v>
      </c>
      <c r="B882" s="1" t="s">
        <v>250</v>
      </c>
      <c r="C882" s="1">
        <v>2015</v>
      </c>
      <c r="D882" s="1">
        <v>83818</v>
      </c>
      <c r="E882" s="1">
        <v>1311</v>
      </c>
      <c r="F882" s="1">
        <v>240</v>
      </c>
      <c r="G882" s="1">
        <v>1120324</v>
      </c>
      <c r="H882" s="1">
        <v>50</v>
      </c>
    </row>
    <row r="883" spans="1:8" x14ac:dyDescent="0.3">
      <c r="A883" s="1" t="s">
        <v>251</v>
      </c>
      <c r="B883" s="1" t="s">
        <v>252</v>
      </c>
      <c r="C883" s="1">
        <v>2015</v>
      </c>
      <c r="D883" s="1">
        <v>33635</v>
      </c>
      <c r="E883" s="1">
        <v>440</v>
      </c>
      <c r="F883" s="1">
        <v>46</v>
      </c>
      <c r="G883" s="1">
        <v>470026</v>
      </c>
      <c r="H883" s="1">
        <v>1</v>
      </c>
    </row>
    <row r="884" spans="1:8" x14ac:dyDescent="0.3">
      <c r="A884" s="1" t="s">
        <v>253</v>
      </c>
      <c r="B884" s="1" t="s">
        <v>254</v>
      </c>
      <c r="C884" s="1">
        <v>2015</v>
      </c>
      <c r="D884" s="1">
        <v>17104</v>
      </c>
      <c r="E884" s="1">
        <v>86</v>
      </c>
      <c r="F884" s="1">
        <v>34</v>
      </c>
      <c r="G884" s="1">
        <v>322030</v>
      </c>
      <c r="H884" s="1">
        <v>7</v>
      </c>
    </row>
    <row r="885" spans="1:8" x14ac:dyDescent="0.3">
      <c r="A885" s="1" t="s">
        <v>255</v>
      </c>
      <c r="B885" s="1" t="s">
        <v>256</v>
      </c>
      <c r="C885" s="1">
        <v>2015</v>
      </c>
      <c r="D885" s="1">
        <v>33809</v>
      </c>
      <c r="E885" s="1">
        <v>443</v>
      </c>
      <c r="F885" s="1">
        <v>47</v>
      </c>
      <c r="G885" s="1">
        <v>223415</v>
      </c>
      <c r="H885" s="1">
        <v>0</v>
      </c>
    </row>
    <row r="886" spans="1:8" x14ac:dyDescent="0.3">
      <c r="A886" s="1" t="s">
        <v>257</v>
      </c>
      <c r="B886" s="1" t="s">
        <v>258</v>
      </c>
      <c r="C886" s="1">
        <v>2015</v>
      </c>
      <c r="D886" s="1">
        <v>52986</v>
      </c>
      <c r="E886" s="1">
        <v>522</v>
      </c>
      <c r="F886" s="1">
        <v>175</v>
      </c>
      <c r="G886" s="1">
        <v>938618</v>
      </c>
      <c r="H886" s="1">
        <v>2</v>
      </c>
    </row>
    <row r="887" spans="1:8" x14ac:dyDescent="0.3">
      <c r="A887" s="1" t="s">
        <v>259</v>
      </c>
      <c r="B887" s="1" t="s">
        <v>260</v>
      </c>
      <c r="C887" s="1">
        <v>2015</v>
      </c>
      <c r="D887" s="1">
        <v>52526</v>
      </c>
      <c r="E887" s="1">
        <v>543</v>
      </c>
      <c r="F887" s="1">
        <v>89</v>
      </c>
      <c r="G887" s="1">
        <v>1112605</v>
      </c>
      <c r="H887" s="1">
        <v>6</v>
      </c>
    </row>
    <row r="888" spans="1:8" x14ac:dyDescent="0.3">
      <c r="A888" s="1" t="s">
        <v>261</v>
      </c>
      <c r="B888" s="1" t="s">
        <v>262</v>
      </c>
      <c r="C888" s="1">
        <v>2015</v>
      </c>
      <c r="D888" s="1">
        <v>37807</v>
      </c>
      <c r="E888" s="1">
        <v>186</v>
      </c>
      <c r="F888" s="1">
        <v>193</v>
      </c>
      <c r="G888" s="1">
        <v>1538872</v>
      </c>
      <c r="H888" s="1">
        <v>80</v>
      </c>
    </row>
    <row r="889" spans="1:8" x14ac:dyDescent="0.3">
      <c r="A889" s="1" t="s">
        <v>263</v>
      </c>
      <c r="B889" s="1" t="s">
        <v>264</v>
      </c>
      <c r="C889" s="1">
        <v>2015</v>
      </c>
      <c r="D889" s="1">
        <v>50894</v>
      </c>
      <c r="E889" s="1">
        <v>374</v>
      </c>
      <c r="F889" s="1">
        <v>283</v>
      </c>
      <c r="G889" s="1">
        <v>3036922</v>
      </c>
      <c r="H889" s="1">
        <v>37</v>
      </c>
    </row>
    <row r="890" spans="1:8" x14ac:dyDescent="0.3">
      <c r="A890" s="1" t="s">
        <v>265</v>
      </c>
      <c r="B890" s="1" t="s">
        <v>266</v>
      </c>
      <c r="C890" s="1">
        <v>2015</v>
      </c>
      <c r="D890" s="1">
        <v>12963</v>
      </c>
      <c r="E890" s="1">
        <v>83</v>
      </c>
      <c r="F890" s="1">
        <v>15</v>
      </c>
      <c r="G890" s="1">
        <v>414889</v>
      </c>
      <c r="H890" s="1">
        <v>0</v>
      </c>
    </row>
    <row r="891" spans="1:8" x14ac:dyDescent="0.3">
      <c r="A891" s="1" t="s">
        <v>267</v>
      </c>
      <c r="B891" s="1" t="s">
        <v>268</v>
      </c>
      <c r="C891" s="1">
        <v>2015</v>
      </c>
      <c r="D891" s="1">
        <v>24865</v>
      </c>
      <c r="E891" s="1">
        <v>272</v>
      </c>
      <c r="F891" s="1">
        <v>45</v>
      </c>
      <c r="G891" s="1">
        <v>208194</v>
      </c>
      <c r="H891" s="1">
        <v>3</v>
      </c>
    </row>
    <row r="892" spans="1:8" x14ac:dyDescent="0.3">
      <c r="A892" s="1" t="s">
        <v>269</v>
      </c>
      <c r="B892" s="1" t="s">
        <v>270</v>
      </c>
      <c r="C892" s="1">
        <v>2015</v>
      </c>
      <c r="D892" s="1">
        <v>53725</v>
      </c>
      <c r="E892" s="1">
        <v>685</v>
      </c>
      <c r="F892" s="1">
        <v>0</v>
      </c>
      <c r="G892" s="1">
        <v>408470</v>
      </c>
      <c r="H892" s="1">
        <v>50</v>
      </c>
    </row>
    <row r="893" spans="1:8" x14ac:dyDescent="0.3">
      <c r="A893" s="1" t="s">
        <v>271</v>
      </c>
      <c r="B893" s="1" t="s">
        <v>272</v>
      </c>
      <c r="C893" s="1">
        <v>2015</v>
      </c>
      <c r="D893" s="1">
        <v>24441</v>
      </c>
      <c r="E893" s="1">
        <v>258</v>
      </c>
      <c r="F893" s="1">
        <v>103</v>
      </c>
      <c r="G893" s="1">
        <v>413829</v>
      </c>
      <c r="H893" s="1">
        <v>6</v>
      </c>
    </row>
    <row r="894" spans="1:8" x14ac:dyDescent="0.3">
      <c r="A894" s="1" t="s">
        <v>273</v>
      </c>
      <c r="B894" s="1" t="s">
        <v>274</v>
      </c>
      <c r="C894" s="1">
        <v>2015</v>
      </c>
      <c r="D894" s="1">
        <v>46454</v>
      </c>
      <c r="E894" s="1">
        <v>578</v>
      </c>
      <c r="F894" s="1">
        <v>116</v>
      </c>
      <c r="G894" s="1">
        <v>1466048</v>
      </c>
      <c r="H894" s="1">
        <v>6</v>
      </c>
    </row>
    <row r="895" spans="1:8" x14ac:dyDescent="0.3">
      <c r="A895" s="1" t="s">
        <v>275</v>
      </c>
      <c r="B895" s="1" t="s">
        <v>276</v>
      </c>
      <c r="C895" s="1">
        <v>2015</v>
      </c>
      <c r="D895" s="1">
        <v>37457</v>
      </c>
      <c r="E895" s="1">
        <v>749</v>
      </c>
      <c r="F895" s="1">
        <v>323</v>
      </c>
      <c r="G895" s="1">
        <v>261905</v>
      </c>
      <c r="H895" s="1">
        <v>0</v>
      </c>
    </row>
    <row r="896" spans="1:8" x14ac:dyDescent="0.3">
      <c r="A896" s="1" t="s">
        <v>277</v>
      </c>
      <c r="B896" s="1" t="s">
        <v>278</v>
      </c>
      <c r="C896" s="1">
        <v>2015</v>
      </c>
      <c r="D896" s="1">
        <v>359944</v>
      </c>
      <c r="E896" s="1">
        <v>6455</v>
      </c>
      <c r="F896" s="1">
        <v>11090</v>
      </c>
      <c r="G896" s="1">
        <v>19960659</v>
      </c>
      <c r="H896" s="1">
        <v>238</v>
      </c>
    </row>
    <row r="897" spans="1:8" x14ac:dyDescent="0.3">
      <c r="A897" s="1" t="s">
        <v>279</v>
      </c>
      <c r="B897" s="1" t="s">
        <v>280</v>
      </c>
      <c r="C897" s="1">
        <v>2015</v>
      </c>
      <c r="D897" s="1">
        <v>29763</v>
      </c>
      <c r="E897" s="1">
        <v>164</v>
      </c>
      <c r="F897" s="1">
        <v>276</v>
      </c>
      <c r="G897" s="1">
        <v>3068580</v>
      </c>
      <c r="H897" s="1">
        <v>0</v>
      </c>
    </row>
    <row r="898" spans="1:8" x14ac:dyDescent="0.3">
      <c r="A898" s="1" t="s">
        <v>281</v>
      </c>
      <c r="B898" s="1" t="s">
        <v>282</v>
      </c>
      <c r="C898" s="1">
        <v>2015</v>
      </c>
      <c r="D898" s="1">
        <v>43154</v>
      </c>
      <c r="E898" s="1">
        <v>282</v>
      </c>
      <c r="F898" s="1">
        <v>282</v>
      </c>
      <c r="G898" s="1">
        <v>6534742</v>
      </c>
      <c r="H898" s="1">
        <v>181</v>
      </c>
    </row>
    <row r="899" spans="1:8" x14ac:dyDescent="0.3">
      <c r="A899" s="1" t="s">
        <v>283</v>
      </c>
      <c r="B899" s="1" t="s">
        <v>284</v>
      </c>
      <c r="C899" s="1">
        <v>2015</v>
      </c>
      <c r="D899" s="1">
        <v>11745</v>
      </c>
      <c r="E899" s="1">
        <v>93</v>
      </c>
      <c r="F899" s="1">
        <v>12</v>
      </c>
      <c r="G899" s="1">
        <v>130990</v>
      </c>
      <c r="H899" s="1">
        <v>29</v>
      </c>
    </row>
    <row r="900" spans="1:8" x14ac:dyDescent="0.3">
      <c r="A900" s="1" t="s">
        <v>285</v>
      </c>
      <c r="B900" s="1" t="s">
        <v>286</v>
      </c>
      <c r="C900" s="1">
        <v>2015</v>
      </c>
      <c r="D900" s="1">
        <v>30998</v>
      </c>
      <c r="E900" s="1">
        <v>308</v>
      </c>
      <c r="F900" s="1">
        <v>253</v>
      </c>
      <c r="G900" s="1">
        <v>3049423</v>
      </c>
      <c r="H900" s="1">
        <v>8</v>
      </c>
    </row>
    <row r="901" spans="1:8" x14ac:dyDescent="0.3">
      <c r="A901" s="1" t="s">
        <v>287</v>
      </c>
      <c r="B901" s="1" t="s">
        <v>288</v>
      </c>
      <c r="C901" s="1">
        <v>2015</v>
      </c>
      <c r="D901" s="1">
        <v>34429</v>
      </c>
      <c r="E901" s="1">
        <v>354</v>
      </c>
      <c r="F901" s="1">
        <v>4</v>
      </c>
      <c r="G901" s="1">
        <v>465297</v>
      </c>
      <c r="H901" s="1">
        <v>4</v>
      </c>
    </row>
    <row r="902" spans="1:8" x14ac:dyDescent="0.3">
      <c r="A902" s="1" t="s">
        <v>289</v>
      </c>
      <c r="B902" s="1" t="s">
        <v>290</v>
      </c>
      <c r="C902" s="1">
        <v>2015</v>
      </c>
      <c r="D902" s="1">
        <v>16100</v>
      </c>
      <c r="E902" s="1">
        <v>122</v>
      </c>
      <c r="F902" s="1">
        <v>42</v>
      </c>
      <c r="G902" s="1">
        <v>929384</v>
      </c>
      <c r="H902" s="1">
        <v>0</v>
      </c>
    </row>
    <row r="903" spans="1:8" x14ac:dyDescent="0.3">
      <c r="A903" s="1" t="s">
        <v>291</v>
      </c>
      <c r="B903" s="1" t="s">
        <v>292</v>
      </c>
      <c r="C903" s="1">
        <v>2015</v>
      </c>
      <c r="D903" s="1">
        <v>34620</v>
      </c>
      <c r="E903" s="1">
        <v>636</v>
      </c>
      <c r="F903" s="1">
        <v>117</v>
      </c>
      <c r="G903" s="1">
        <v>1118614</v>
      </c>
      <c r="H903" s="1">
        <v>16</v>
      </c>
    </row>
    <row r="904" spans="1:8" x14ac:dyDescent="0.3">
      <c r="A904" s="1" t="s">
        <v>293</v>
      </c>
      <c r="B904" s="1" t="s">
        <v>294</v>
      </c>
      <c r="C904" s="1">
        <v>2015</v>
      </c>
      <c r="D904" s="1">
        <v>36136</v>
      </c>
      <c r="E904" s="1">
        <v>417</v>
      </c>
      <c r="F904" s="1">
        <v>20</v>
      </c>
      <c r="G904" s="1">
        <v>750383</v>
      </c>
      <c r="H904" s="1">
        <v>8</v>
      </c>
    </row>
    <row r="905" spans="1:8" x14ac:dyDescent="0.3">
      <c r="A905" s="1" t="s">
        <v>295</v>
      </c>
      <c r="B905" s="1" t="s">
        <v>296</v>
      </c>
      <c r="C905" s="1">
        <v>2015</v>
      </c>
      <c r="D905" s="1">
        <v>21953</v>
      </c>
      <c r="E905" s="1">
        <v>198</v>
      </c>
      <c r="F905" s="1">
        <v>102</v>
      </c>
      <c r="G905" s="1">
        <v>571462</v>
      </c>
      <c r="H905" s="1">
        <v>4</v>
      </c>
    </row>
    <row r="906" spans="1:8" x14ac:dyDescent="0.3">
      <c r="A906" s="1" t="s">
        <v>297</v>
      </c>
      <c r="B906" s="1" t="s">
        <v>298</v>
      </c>
      <c r="C906" s="1">
        <v>2015</v>
      </c>
      <c r="D906" s="1">
        <v>43216</v>
      </c>
      <c r="E906" s="1">
        <v>757</v>
      </c>
      <c r="F906" s="1">
        <v>303</v>
      </c>
      <c r="G906" s="1">
        <v>1226211</v>
      </c>
      <c r="H906" s="1">
        <v>0</v>
      </c>
    </row>
    <row r="907" spans="1:8" x14ac:dyDescent="0.3">
      <c r="A907" s="1" t="s">
        <v>299</v>
      </c>
      <c r="B907" s="1" t="s">
        <v>300</v>
      </c>
      <c r="C907" s="1">
        <v>2015</v>
      </c>
      <c r="D907" s="1">
        <v>13198</v>
      </c>
      <c r="E907" s="1">
        <v>96</v>
      </c>
      <c r="F907" s="1">
        <v>0</v>
      </c>
      <c r="G907" s="1">
        <v>145130</v>
      </c>
      <c r="H907" s="1">
        <v>19</v>
      </c>
    </row>
    <row r="908" spans="1:8" x14ac:dyDescent="0.3">
      <c r="A908" s="1" t="s">
        <v>301</v>
      </c>
      <c r="B908" s="1" t="s">
        <v>302</v>
      </c>
      <c r="C908" s="1">
        <v>2015</v>
      </c>
      <c r="D908" s="1">
        <v>11466</v>
      </c>
      <c r="E908" s="1">
        <v>135</v>
      </c>
      <c r="F908" s="1">
        <v>48</v>
      </c>
      <c r="G908" s="1">
        <v>282316</v>
      </c>
      <c r="H908" s="1">
        <v>5</v>
      </c>
    </row>
    <row r="909" spans="1:8" x14ac:dyDescent="0.3">
      <c r="A909" s="1" t="s">
        <v>303</v>
      </c>
      <c r="B909" s="1" t="s">
        <v>304</v>
      </c>
      <c r="C909" s="1">
        <v>2015</v>
      </c>
      <c r="D909" s="1">
        <v>15071</v>
      </c>
      <c r="E909" s="1">
        <v>110</v>
      </c>
      <c r="F909" s="1">
        <v>0</v>
      </c>
      <c r="G909" s="1">
        <v>697109</v>
      </c>
      <c r="H909" s="1">
        <v>0</v>
      </c>
    </row>
    <row r="910" spans="1:8" x14ac:dyDescent="0.3">
      <c r="A910" s="1" t="s">
        <v>305</v>
      </c>
      <c r="B910" s="1" t="s">
        <v>306</v>
      </c>
      <c r="C910" s="1">
        <v>2015</v>
      </c>
      <c r="D910" s="1">
        <v>54714</v>
      </c>
      <c r="E910" s="1">
        <v>744</v>
      </c>
      <c r="F910" s="1">
        <v>416</v>
      </c>
      <c r="G910" s="1">
        <v>1080935</v>
      </c>
      <c r="H910" s="1">
        <v>40</v>
      </c>
    </row>
    <row r="911" spans="1:8" x14ac:dyDescent="0.3">
      <c r="A911" s="1" t="s">
        <v>307</v>
      </c>
      <c r="B911" s="1" t="s">
        <v>308</v>
      </c>
      <c r="C911" s="1">
        <v>2015</v>
      </c>
      <c r="D911" s="1">
        <v>24880</v>
      </c>
      <c r="E911" s="1">
        <v>332</v>
      </c>
      <c r="F911" s="1">
        <v>237</v>
      </c>
      <c r="G911" s="1">
        <v>1041787</v>
      </c>
      <c r="H911" s="1">
        <v>4</v>
      </c>
    </row>
    <row r="912" spans="1:8" x14ac:dyDescent="0.3">
      <c r="A912" s="1" t="s">
        <v>309</v>
      </c>
      <c r="B912" s="1" t="s">
        <v>310</v>
      </c>
      <c r="C912" s="1">
        <v>2015</v>
      </c>
      <c r="D912" s="1">
        <v>29236</v>
      </c>
      <c r="E912" s="1">
        <v>620</v>
      </c>
      <c r="F912" s="1">
        <v>416</v>
      </c>
      <c r="G912" s="1">
        <v>1086640</v>
      </c>
      <c r="H912" s="1">
        <v>24</v>
      </c>
    </row>
    <row r="913" spans="1:8" x14ac:dyDescent="0.3">
      <c r="A913" s="1" t="s">
        <v>311</v>
      </c>
      <c r="B913" s="1" t="s">
        <v>312</v>
      </c>
      <c r="C913" s="1">
        <v>2015</v>
      </c>
      <c r="D913" s="1">
        <v>24266</v>
      </c>
      <c r="E913" s="1">
        <v>362</v>
      </c>
      <c r="F913" s="1">
        <v>3</v>
      </c>
      <c r="G913" s="1">
        <v>253266</v>
      </c>
      <c r="H913" s="1">
        <v>3</v>
      </c>
    </row>
    <row r="914" spans="1:8" x14ac:dyDescent="0.3">
      <c r="A914" s="1" t="s">
        <v>313</v>
      </c>
      <c r="B914" s="1" t="s">
        <v>314</v>
      </c>
      <c r="C914" s="1">
        <v>2015</v>
      </c>
      <c r="D914" s="1">
        <v>24502</v>
      </c>
      <c r="E914" s="1">
        <v>106</v>
      </c>
      <c r="F914" s="1">
        <v>66</v>
      </c>
      <c r="G914" s="1">
        <v>921460</v>
      </c>
      <c r="H914" s="1">
        <v>12</v>
      </c>
    </row>
    <row r="915" spans="1:8" x14ac:dyDescent="0.3">
      <c r="A915" s="1" t="s">
        <v>315</v>
      </c>
      <c r="B915" s="1" t="s">
        <v>316</v>
      </c>
      <c r="C915" s="1">
        <v>2015</v>
      </c>
      <c r="D915" s="1">
        <v>46166</v>
      </c>
      <c r="E915" s="1">
        <v>447</v>
      </c>
      <c r="F915" s="1">
        <v>168</v>
      </c>
      <c r="G915" s="1">
        <v>1136786</v>
      </c>
      <c r="H915" s="1">
        <v>315</v>
      </c>
    </row>
    <row r="916" spans="1:8" x14ac:dyDescent="0.3">
      <c r="A916" s="1" t="s">
        <v>317</v>
      </c>
      <c r="B916" s="1" t="s">
        <v>318</v>
      </c>
      <c r="C916" s="1">
        <v>2015</v>
      </c>
      <c r="D916" s="1">
        <v>72946</v>
      </c>
      <c r="E916" s="1">
        <v>1587</v>
      </c>
      <c r="F916" s="1">
        <v>734</v>
      </c>
      <c r="G916" s="1">
        <v>1632455</v>
      </c>
      <c r="H916" s="1">
        <v>38</v>
      </c>
    </row>
    <row r="917" spans="1:8" x14ac:dyDescent="0.3">
      <c r="A917" s="1" t="s">
        <v>319</v>
      </c>
      <c r="B917" s="1" t="s">
        <v>320</v>
      </c>
      <c r="C917" s="1">
        <v>2015</v>
      </c>
      <c r="D917" s="1">
        <v>34463</v>
      </c>
      <c r="E917" s="1">
        <v>455</v>
      </c>
      <c r="F917" s="1">
        <v>34</v>
      </c>
      <c r="G917" s="1">
        <v>519629</v>
      </c>
      <c r="H917" s="1">
        <v>0</v>
      </c>
    </row>
    <row r="918" spans="1:8" x14ac:dyDescent="0.3">
      <c r="A918" s="1" t="s">
        <v>321</v>
      </c>
      <c r="B918" s="1" t="s">
        <v>322</v>
      </c>
      <c r="C918" s="1">
        <v>2015</v>
      </c>
      <c r="D918" s="1">
        <v>29884</v>
      </c>
      <c r="E918" s="1">
        <v>273</v>
      </c>
      <c r="F918" s="1">
        <v>136</v>
      </c>
      <c r="G918" s="1">
        <v>1206568</v>
      </c>
      <c r="H918" s="1">
        <v>1</v>
      </c>
    </row>
    <row r="919" spans="1:8" x14ac:dyDescent="0.3">
      <c r="A919" s="1" t="s">
        <v>323</v>
      </c>
      <c r="B919" s="1" t="s">
        <v>324</v>
      </c>
      <c r="C919" s="1">
        <v>2015</v>
      </c>
      <c r="D919" s="1">
        <v>61188</v>
      </c>
      <c r="E919" s="1">
        <v>400</v>
      </c>
      <c r="F919" s="1">
        <v>665</v>
      </c>
      <c r="G919" s="1">
        <v>1961032</v>
      </c>
      <c r="H919" s="1">
        <v>113</v>
      </c>
    </row>
    <row r="920" spans="1:8" x14ac:dyDescent="0.3">
      <c r="A920" s="1" t="s">
        <v>325</v>
      </c>
      <c r="B920" s="1" t="s">
        <v>326</v>
      </c>
      <c r="C920" s="1">
        <v>2015</v>
      </c>
      <c r="D920" s="1">
        <v>15997</v>
      </c>
      <c r="E920" s="1">
        <v>132</v>
      </c>
      <c r="F920" s="1">
        <v>90</v>
      </c>
      <c r="G920" s="1">
        <v>643530</v>
      </c>
      <c r="H920" s="1">
        <v>3</v>
      </c>
    </row>
    <row r="921" spans="1:8" x14ac:dyDescent="0.3">
      <c r="A921" s="1" t="s">
        <v>327</v>
      </c>
      <c r="B921" s="1" t="s">
        <v>328</v>
      </c>
      <c r="C921" s="1">
        <v>2015</v>
      </c>
      <c r="D921" s="1">
        <v>14658</v>
      </c>
      <c r="E921" s="1">
        <v>75</v>
      </c>
      <c r="F921" s="1">
        <v>8</v>
      </c>
      <c r="G921" s="1">
        <v>78921</v>
      </c>
      <c r="H921" s="1">
        <v>6</v>
      </c>
    </row>
    <row r="922" spans="1:8" x14ac:dyDescent="0.3">
      <c r="A922" s="1" t="s">
        <v>329</v>
      </c>
      <c r="B922" s="1" t="s">
        <v>330</v>
      </c>
      <c r="C922" s="1">
        <v>2015</v>
      </c>
      <c r="D922" s="1">
        <v>18204</v>
      </c>
      <c r="E922" s="1">
        <v>199</v>
      </c>
      <c r="F922" s="1">
        <v>111</v>
      </c>
      <c r="G922" s="1">
        <v>1421811</v>
      </c>
      <c r="H922" s="1">
        <v>3</v>
      </c>
    </row>
    <row r="923" spans="1:8" x14ac:dyDescent="0.3">
      <c r="A923" s="1" t="s">
        <v>331</v>
      </c>
      <c r="B923" s="1" t="s">
        <v>332</v>
      </c>
      <c r="C923" s="1">
        <v>2015</v>
      </c>
      <c r="D923" s="1">
        <v>45063</v>
      </c>
      <c r="E923" s="1">
        <v>570</v>
      </c>
      <c r="F923" s="1">
        <v>51</v>
      </c>
      <c r="G923" s="1">
        <v>939523</v>
      </c>
      <c r="H923" s="1">
        <v>2</v>
      </c>
    </row>
    <row r="924" spans="1:8" x14ac:dyDescent="0.3">
      <c r="A924" s="1" t="s">
        <v>333</v>
      </c>
      <c r="B924" s="1" t="s">
        <v>334</v>
      </c>
      <c r="C924" s="1">
        <v>2015</v>
      </c>
      <c r="D924" s="1">
        <v>25990</v>
      </c>
      <c r="E924" s="1">
        <v>198</v>
      </c>
      <c r="F924" s="1">
        <v>8</v>
      </c>
      <c r="G924" s="1">
        <v>90418</v>
      </c>
      <c r="H924" s="1">
        <v>3</v>
      </c>
    </row>
    <row r="925" spans="1:8" x14ac:dyDescent="0.3">
      <c r="A925" s="1" t="s">
        <v>335</v>
      </c>
      <c r="B925" s="1" t="s">
        <v>336</v>
      </c>
      <c r="C925" s="1">
        <v>2015</v>
      </c>
      <c r="D925" s="1">
        <v>16634</v>
      </c>
      <c r="E925" s="1">
        <v>95</v>
      </c>
      <c r="F925" s="1">
        <v>51</v>
      </c>
      <c r="G925" s="1">
        <v>1434204</v>
      </c>
      <c r="H925" s="1">
        <v>24</v>
      </c>
    </row>
    <row r="926" spans="1:8" x14ac:dyDescent="0.3">
      <c r="A926" s="1" t="s">
        <v>337</v>
      </c>
      <c r="B926" s="1" t="s">
        <v>338</v>
      </c>
      <c r="C926" s="1">
        <v>2015</v>
      </c>
      <c r="D926" s="1">
        <v>29130</v>
      </c>
      <c r="E926" s="1">
        <v>180</v>
      </c>
      <c r="F926" s="1">
        <v>108</v>
      </c>
      <c r="G926" s="1">
        <v>1345128</v>
      </c>
      <c r="H926" s="1">
        <v>4</v>
      </c>
    </row>
    <row r="927" spans="1:8" x14ac:dyDescent="0.3">
      <c r="A927" s="1" t="s">
        <v>339</v>
      </c>
      <c r="B927" s="1" t="s">
        <v>340</v>
      </c>
      <c r="C927" s="1">
        <v>2015</v>
      </c>
      <c r="D927" s="1">
        <v>20899</v>
      </c>
      <c r="E927" s="1">
        <v>90</v>
      </c>
      <c r="F927" s="1">
        <v>114</v>
      </c>
      <c r="G927" s="1">
        <v>330222</v>
      </c>
      <c r="H927" s="1">
        <v>21</v>
      </c>
    </row>
    <row r="928" spans="1:8" x14ac:dyDescent="0.3">
      <c r="A928" s="1" t="s">
        <v>341</v>
      </c>
      <c r="B928" s="1" t="s">
        <v>342</v>
      </c>
      <c r="C928" s="1">
        <v>2015</v>
      </c>
      <c r="D928" s="1">
        <v>13079</v>
      </c>
      <c r="E928" s="1">
        <v>117</v>
      </c>
      <c r="F928" s="1">
        <v>18</v>
      </c>
      <c r="G928" s="1">
        <v>380799</v>
      </c>
      <c r="H928" s="1">
        <v>20</v>
      </c>
    </row>
    <row r="929" spans="1:8" x14ac:dyDescent="0.3">
      <c r="A929" s="1" t="s">
        <v>343</v>
      </c>
      <c r="B929" s="1" t="s">
        <v>344</v>
      </c>
      <c r="C929" s="1">
        <v>2015</v>
      </c>
      <c r="D929" s="1">
        <v>43230</v>
      </c>
      <c r="E929" s="1">
        <v>962</v>
      </c>
      <c r="F929" s="1">
        <v>550</v>
      </c>
      <c r="G929" s="1">
        <v>318905</v>
      </c>
      <c r="H929" s="1">
        <v>34</v>
      </c>
    </row>
    <row r="930" spans="1:8" x14ac:dyDescent="0.3">
      <c r="A930" s="1" t="s">
        <v>345</v>
      </c>
      <c r="B930" s="1" t="s">
        <v>346</v>
      </c>
      <c r="C930" s="1">
        <v>2015</v>
      </c>
      <c r="D930" s="1">
        <v>24388</v>
      </c>
      <c r="E930" s="1">
        <v>178</v>
      </c>
      <c r="F930" s="1">
        <v>27</v>
      </c>
      <c r="G930" s="1">
        <v>1090125</v>
      </c>
      <c r="H930" s="1">
        <v>62</v>
      </c>
    </row>
    <row r="931" spans="1:8" x14ac:dyDescent="0.3">
      <c r="A931" s="1" t="s">
        <v>347</v>
      </c>
      <c r="B931" s="1" t="s">
        <v>348</v>
      </c>
      <c r="C931" s="1">
        <v>2015</v>
      </c>
      <c r="D931" s="1">
        <v>81273</v>
      </c>
      <c r="E931" s="1">
        <v>2250</v>
      </c>
      <c r="F931" s="1">
        <v>1132</v>
      </c>
      <c r="G931" s="1">
        <v>2331106</v>
      </c>
      <c r="H931" s="1">
        <v>174</v>
      </c>
    </row>
    <row r="932" spans="1:8" x14ac:dyDescent="0.3">
      <c r="A932" s="1" t="s">
        <v>349</v>
      </c>
      <c r="B932" s="1" t="s">
        <v>350</v>
      </c>
      <c r="C932" s="1">
        <v>2015</v>
      </c>
      <c r="D932" s="1">
        <v>22868</v>
      </c>
      <c r="E932" s="1">
        <v>241</v>
      </c>
      <c r="F932" s="1">
        <v>58</v>
      </c>
      <c r="G932" s="1">
        <v>451259</v>
      </c>
      <c r="H932" s="1">
        <v>0</v>
      </c>
    </row>
    <row r="933" spans="1:8" x14ac:dyDescent="0.3">
      <c r="A933" s="1" t="s">
        <v>351</v>
      </c>
      <c r="B933" s="1" t="s">
        <v>352</v>
      </c>
      <c r="C933" s="1">
        <v>2015</v>
      </c>
      <c r="D933" s="1">
        <v>12164</v>
      </c>
      <c r="E933" s="1">
        <v>108</v>
      </c>
      <c r="F933" s="1">
        <v>7</v>
      </c>
      <c r="G933" s="1">
        <v>118263</v>
      </c>
      <c r="H933" s="1">
        <v>0</v>
      </c>
    </row>
    <row r="934" spans="1:8" x14ac:dyDescent="0.3">
      <c r="A934" s="1" t="s">
        <v>353</v>
      </c>
      <c r="B934" s="1" t="s">
        <v>354</v>
      </c>
      <c r="C934" s="1">
        <v>2015</v>
      </c>
      <c r="D934" s="1">
        <v>12006</v>
      </c>
      <c r="E934" s="1">
        <v>37</v>
      </c>
      <c r="F934" s="1">
        <v>29</v>
      </c>
      <c r="G934" s="1">
        <v>586706</v>
      </c>
      <c r="H934" s="1">
        <v>0</v>
      </c>
    </row>
    <row r="935" spans="1:8" x14ac:dyDescent="0.3">
      <c r="A935" s="1" t="s">
        <v>355</v>
      </c>
      <c r="B935" s="1" t="s">
        <v>356</v>
      </c>
      <c r="C935" s="1">
        <v>2015</v>
      </c>
      <c r="D935" s="1">
        <v>30456</v>
      </c>
      <c r="E935" s="1">
        <v>244</v>
      </c>
      <c r="F935" s="1">
        <v>164</v>
      </c>
      <c r="G935" s="1">
        <v>2764435</v>
      </c>
      <c r="H935" s="1">
        <v>191</v>
      </c>
    </row>
    <row r="936" spans="1:8" x14ac:dyDescent="0.3">
      <c r="A936" s="1" t="s">
        <v>357</v>
      </c>
      <c r="B936" s="1" t="s">
        <v>358</v>
      </c>
      <c r="C936" s="1">
        <v>2015</v>
      </c>
      <c r="D936" s="1">
        <v>19003</v>
      </c>
      <c r="E936" s="1">
        <v>235</v>
      </c>
      <c r="F936" s="1">
        <v>137</v>
      </c>
      <c r="G936" s="1">
        <v>2376357</v>
      </c>
      <c r="H936" s="1">
        <v>0</v>
      </c>
    </row>
    <row r="937" spans="1:8" x14ac:dyDescent="0.3">
      <c r="A937" s="1" t="s">
        <v>359</v>
      </c>
      <c r="B937" s="1" t="s">
        <v>360</v>
      </c>
      <c r="C937" s="1">
        <v>2015</v>
      </c>
      <c r="D937" s="1">
        <v>50302</v>
      </c>
      <c r="E937" s="1">
        <v>231</v>
      </c>
      <c r="F937" s="1">
        <v>599</v>
      </c>
      <c r="G937" s="1">
        <v>7015275</v>
      </c>
      <c r="H937" s="1">
        <v>2</v>
      </c>
    </row>
    <row r="938" spans="1:8" x14ac:dyDescent="0.3">
      <c r="A938" s="1" t="s">
        <v>361</v>
      </c>
      <c r="B938" s="1" t="s">
        <v>362</v>
      </c>
      <c r="C938" s="1">
        <v>2015</v>
      </c>
      <c r="D938" s="1">
        <v>82580</v>
      </c>
      <c r="E938" s="1">
        <v>545</v>
      </c>
      <c r="F938" s="1">
        <v>396</v>
      </c>
      <c r="G938" s="1">
        <v>10348911</v>
      </c>
      <c r="H938" s="1">
        <v>16</v>
      </c>
    </row>
    <row r="939" spans="1:8" x14ac:dyDescent="0.3">
      <c r="A939" s="1" t="s">
        <v>363</v>
      </c>
      <c r="B939" s="1" t="s">
        <v>364</v>
      </c>
      <c r="C939" s="1">
        <v>2015</v>
      </c>
      <c r="D939" s="1">
        <v>31825</v>
      </c>
      <c r="E939" s="1">
        <v>682</v>
      </c>
      <c r="F939" s="1">
        <v>676</v>
      </c>
      <c r="G939" s="1">
        <v>2620759</v>
      </c>
      <c r="H939" s="1">
        <v>0</v>
      </c>
    </row>
    <row r="940" spans="1:8" x14ac:dyDescent="0.3">
      <c r="A940" s="1" t="s">
        <v>365</v>
      </c>
      <c r="B940" s="1" t="s">
        <v>366</v>
      </c>
      <c r="C940" s="1">
        <v>2015</v>
      </c>
      <c r="D940" s="1">
        <v>912867</v>
      </c>
      <c r="E940" s="1">
        <v>13306</v>
      </c>
      <c r="F940" s="1">
        <v>21912</v>
      </c>
      <c r="G940" s="1">
        <v>38322853</v>
      </c>
      <c r="H940" s="1">
        <v>2951</v>
      </c>
    </row>
    <row r="941" spans="1:8" x14ac:dyDescent="0.3">
      <c r="A941" s="1" t="s">
        <v>367</v>
      </c>
      <c r="B941" s="1" t="s">
        <v>242</v>
      </c>
      <c r="C941" s="1">
        <v>2015</v>
      </c>
      <c r="D941" s="1">
        <v>32322</v>
      </c>
      <c r="E941" s="1">
        <v>231</v>
      </c>
      <c r="F941" s="1">
        <v>313</v>
      </c>
      <c r="G941" s="1">
        <v>1923161</v>
      </c>
      <c r="H941" s="1">
        <v>18</v>
      </c>
    </row>
    <row r="942" spans="1:8" x14ac:dyDescent="0.3">
      <c r="A942" s="1" t="s">
        <v>368</v>
      </c>
      <c r="B942" s="1" t="s">
        <v>369</v>
      </c>
      <c r="C942" s="1">
        <v>2015</v>
      </c>
      <c r="D942" s="1">
        <v>17133</v>
      </c>
      <c r="E942" s="1">
        <v>30</v>
      </c>
      <c r="F942" s="1">
        <v>95</v>
      </c>
      <c r="G942" s="1">
        <v>848213</v>
      </c>
      <c r="H942" s="1">
        <v>4</v>
      </c>
    </row>
    <row r="943" spans="1:8" x14ac:dyDescent="0.3">
      <c r="A943" s="1" t="s">
        <v>370</v>
      </c>
      <c r="B943" s="1" t="s">
        <v>371</v>
      </c>
      <c r="C943" s="1">
        <v>2015</v>
      </c>
      <c r="D943" s="1">
        <v>35995</v>
      </c>
      <c r="E943" s="1">
        <v>100</v>
      </c>
      <c r="F943" s="1">
        <v>255</v>
      </c>
      <c r="G943" s="1">
        <v>2631941</v>
      </c>
      <c r="H943" s="1">
        <v>99</v>
      </c>
    </row>
    <row r="944" spans="1:8" x14ac:dyDescent="0.3">
      <c r="A944" s="1" t="s">
        <v>372</v>
      </c>
      <c r="B944" s="1" t="s">
        <v>373</v>
      </c>
      <c r="C944" s="1">
        <v>2015</v>
      </c>
      <c r="D944" s="1">
        <v>22773</v>
      </c>
      <c r="E944" s="1">
        <v>85</v>
      </c>
      <c r="F944" s="1">
        <v>185</v>
      </c>
      <c r="G944" s="1">
        <v>1190274</v>
      </c>
      <c r="H944" s="1">
        <v>0</v>
      </c>
    </row>
    <row r="945" spans="1:8" x14ac:dyDescent="0.3">
      <c r="A945" s="1" t="s">
        <v>374</v>
      </c>
      <c r="B945" s="1" t="s">
        <v>375</v>
      </c>
      <c r="C945" s="1">
        <v>2015</v>
      </c>
      <c r="D945" s="1">
        <v>21040</v>
      </c>
      <c r="E945" s="1">
        <v>57</v>
      </c>
      <c r="F945" s="1">
        <v>123</v>
      </c>
      <c r="G945" s="1">
        <v>819148</v>
      </c>
      <c r="H945" s="1">
        <v>4</v>
      </c>
    </row>
    <row r="946" spans="1:8" x14ac:dyDescent="0.3">
      <c r="A946" s="1" t="s">
        <v>376</v>
      </c>
      <c r="B946" s="1" t="s">
        <v>377</v>
      </c>
      <c r="C946" s="1">
        <v>2015</v>
      </c>
      <c r="D946" s="1">
        <v>14962</v>
      </c>
      <c r="E946" s="1">
        <v>156</v>
      </c>
      <c r="F946" s="1">
        <v>163</v>
      </c>
      <c r="G946" s="1">
        <v>555761</v>
      </c>
      <c r="H946" s="1">
        <v>0</v>
      </c>
    </row>
    <row r="947" spans="1:8" x14ac:dyDescent="0.3">
      <c r="A947" s="1" t="s">
        <v>378</v>
      </c>
      <c r="B947" s="1" t="s">
        <v>379</v>
      </c>
      <c r="C947" s="1">
        <v>2015</v>
      </c>
      <c r="D947" s="1">
        <v>48633</v>
      </c>
      <c r="E947" s="1">
        <v>188</v>
      </c>
      <c r="F947" s="1">
        <v>304</v>
      </c>
      <c r="G947" s="1">
        <v>2143878</v>
      </c>
      <c r="H947" s="1">
        <v>261</v>
      </c>
    </row>
    <row r="948" spans="1:8" x14ac:dyDescent="0.3">
      <c r="A948" s="1" t="s">
        <v>380</v>
      </c>
      <c r="B948" s="1" t="s">
        <v>381</v>
      </c>
      <c r="C948" s="1">
        <v>2015</v>
      </c>
      <c r="D948" s="1">
        <v>20844</v>
      </c>
      <c r="E948" s="1">
        <v>108</v>
      </c>
      <c r="F948" s="1">
        <v>48</v>
      </c>
      <c r="G948" s="1">
        <v>559417</v>
      </c>
      <c r="H948" s="1">
        <v>9</v>
      </c>
    </row>
    <row r="949" spans="1:8" x14ac:dyDescent="0.3">
      <c r="A949" s="1" t="s">
        <v>382</v>
      </c>
      <c r="B949" s="1" t="s">
        <v>140</v>
      </c>
      <c r="C949" s="1">
        <v>2015</v>
      </c>
      <c r="D949" s="1">
        <v>42014</v>
      </c>
      <c r="E949" s="1">
        <v>320</v>
      </c>
      <c r="F949" s="1">
        <v>88</v>
      </c>
      <c r="G949" s="1">
        <v>877623</v>
      </c>
      <c r="H949" s="1">
        <v>19</v>
      </c>
    </row>
    <row r="950" spans="1:8" x14ac:dyDescent="0.3">
      <c r="A950" s="1" t="s">
        <v>383</v>
      </c>
      <c r="B950" s="1" t="s">
        <v>384</v>
      </c>
      <c r="C950" s="1">
        <v>2015</v>
      </c>
      <c r="D950" s="1">
        <v>20233</v>
      </c>
      <c r="E950" s="1">
        <v>48</v>
      </c>
      <c r="F950" s="1">
        <v>90</v>
      </c>
      <c r="G950" s="1">
        <v>1581081</v>
      </c>
      <c r="H950" s="1">
        <v>50</v>
      </c>
    </row>
    <row r="951" spans="1:8" x14ac:dyDescent="0.3">
      <c r="A951" s="1" t="s">
        <v>385</v>
      </c>
      <c r="B951" s="1" t="s">
        <v>386</v>
      </c>
      <c r="C951" s="1">
        <v>2015</v>
      </c>
      <c r="D951" s="1">
        <v>24179</v>
      </c>
      <c r="E951" s="1">
        <v>72</v>
      </c>
      <c r="F951" s="1">
        <v>100</v>
      </c>
      <c r="G951" s="1">
        <v>1375411</v>
      </c>
      <c r="H951" s="1">
        <v>45</v>
      </c>
    </row>
    <row r="952" spans="1:8" x14ac:dyDescent="0.3">
      <c r="A952" s="1" t="s">
        <v>387</v>
      </c>
      <c r="B952" s="1" t="s">
        <v>388</v>
      </c>
      <c r="C952" s="1">
        <v>2015</v>
      </c>
      <c r="D952" s="1">
        <v>51651</v>
      </c>
      <c r="E952" s="1">
        <v>328</v>
      </c>
      <c r="F952" s="1">
        <v>841</v>
      </c>
      <c r="G952" s="1">
        <v>2080329</v>
      </c>
      <c r="H952" s="1">
        <v>23</v>
      </c>
    </row>
    <row r="953" spans="1:8" x14ac:dyDescent="0.3">
      <c r="A953" s="1" t="s">
        <v>389</v>
      </c>
      <c r="B953" s="1" t="s">
        <v>390</v>
      </c>
      <c r="C953" s="1">
        <v>2015</v>
      </c>
      <c r="D953" s="1">
        <v>6768</v>
      </c>
      <c r="E953" s="1">
        <v>49</v>
      </c>
      <c r="F953" s="1">
        <v>41</v>
      </c>
      <c r="G953" s="1">
        <v>1082818</v>
      </c>
      <c r="H953" s="1">
        <v>4</v>
      </c>
    </row>
    <row r="954" spans="1:8" x14ac:dyDescent="0.3">
      <c r="A954" s="1" t="s">
        <v>391</v>
      </c>
      <c r="B954" s="1" t="s">
        <v>392</v>
      </c>
      <c r="C954" s="1">
        <v>2015</v>
      </c>
      <c r="D954" s="1">
        <v>18370</v>
      </c>
      <c r="E954" s="1">
        <v>195</v>
      </c>
      <c r="F954" s="1">
        <v>24</v>
      </c>
      <c r="G954" s="1">
        <v>127100</v>
      </c>
      <c r="H954" s="1">
        <v>0</v>
      </c>
    </row>
    <row r="955" spans="1:8" x14ac:dyDescent="0.3">
      <c r="A955" s="1" t="s">
        <v>393</v>
      </c>
      <c r="B955" s="1" t="s">
        <v>394</v>
      </c>
      <c r="C955" s="1">
        <v>2015</v>
      </c>
      <c r="D955" s="1">
        <v>37394</v>
      </c>
      <c r="E955" s="1">
        <v>392</v>
      </c>
      <c r="F955" s="1">
        <v>118</v>
      </c>
      <c r="G955" s="1">
        <v>1708265</v>
      </c>
      <c r="H955" s="1">
        <v>107</v>
      </c>
    </row>
    <row r="956" spans="1:8" x14ac:dyDescent="0.3">
      <c r="A956" s="1" t="s">
        <v>395</v>
      </c>
      <c r="B956" s="1" t="s">
        <v>396</v>
      </c>
      <c r="C956" s="1">
        <v>2015</v>
      </c>
      <c r="D956" s="1">
        <v>35374</v>
      </c>
      <c r="E956" s="1">
        <v>279</v>
      </c>
      <c r="F956" s="1">
        <v>138</v>
      </c>
      <c r="G956" s="1">
        <v>1933819</v>
      </c>
      <c r="H956" s="1">
        <v>6</v>
      </c>
    </row>
    <row r="957" spans="1:8" x14ac:dyDescent="0.3">
      <c r="A957" s="1" t="s">
        <v>397</v>
      </c>
      <c r="B957" s="1" t="s">
        <v>398</v>
      </c>
      <c r="C957" s="1">
        <v>2015</v>
      </c>
      <c r="D957" s="1">
        <v>33103</v>
      </c>
      <c r="E957" s="1">
        <v>208</v>
      </c>
      <c r="F957" s="1">
        <v>70</v>
      </c>
      <c r="G957" s="1">
        <v>2252504</v>
      </c>
      <c r="H957" s="1">
        <v>3</v>
      </c>
    </row>
    <row r="958" spans="1:8" x14ac:dyDescent="0.3">
      <c r="A958" s="1" t="s">
        <v>399</v>
      </c>
      <c r="B958" s="1" t="s">
        <v>400</v>
      </c>
      <c r="C958" s="1">
        <v>2015</v>
      </c>
      <c r="D958" s="1">
        <v>16597</v>
      </c>
      <c r="E958" s="1">
        <v>133</v>
      </c>
      <c r="F958" s="1">
        <v>4</v>
      </c>
      <c r="G958" s="1">
        <v>250155</v>
      </c>
      <c r="H958" s="1">
        <v>1</v>
      </c>
    </row>
    <row r="959" spans="1:8" x14ac:dyDescent="0.3">
      <c r="A959" s="1" t="s">
        <v>401</v>
      </c>
      <c r="B959" s="1" t="s">
        <v>167</v>
      </c>
      <c r="C959" s="1">
        <v>2015</v>
      </c>
      <c r="D959" s="1">
        <v>31152</v>
      </c>
      <c r="E959" s="1">
        <v>279</v>
      </c>
      <c r="F959" s="1">
        <v>24</v>
      </c>
      <c r="G959" s="1">
        <v>261485</v>
      </c>
      <c r="H959" s="1">
        <v>5</v>
      </c>
    </row>
    <row r="960" spans="1:8" x14ac:dyDescent="0.3">
      <c r="A960" s="1" t="s">
        <v>402</v>
      </c>
      <c r="B960" s="1" t="s">
        <v>403</v>
      </c>
      <c r="C960" s="1">
        <v>2015</v>
      </c>
      <c r="D960" s="1">
        <v>19597</v>
      </c>
      <c r="E960" s="1">
        <v>145</v>
      </c>
      <c r="F960" s="1">
        <v>42</v>
      </c>
      <c r="G960" s="1">
        <v>728628</v>
      </c>
      <c r="H960" s="1">
        <v>0</v>
      </c>
    </row>
    <row r="961" spans="1:8" x14ac:dyDescent="0.3">
      <c r="A961" s="1" t="s">
        <v>404</v>
      </c>
      <c r="B961" s="1" t="s">
        <v>405</v>
      </c>
      <c r="C961" s="1">
        <v>2015</v>
      </c>
      <c r="D961" s="1">
        <v>16599</v>
      </c>
      <c r="E961" s="1">
        <v>96</v>
      </c>
      <c r="F961" s="1">
        <v>32</v>
      </c>
      <c r="G961" s="1">
        <v>587471</v>
      </c>
      <c r="H961" s="1">
        <v>6</v>
      </c>
    </row>
    <row r="962" spans="1:8" x14ac:dyDescent="0.3">
      <c r="A962" s="1" t="s">
        <v>406</v>
      </c>
      <c r="B962" s="1" t="s">
        <v>407</v>
      </c>
      <c r="C962" s="1">
        <v>2015</v>
      </c>
      <c r="D962" s="1">
        <v>23247</v>
      </c>
      <c r="E962" s="1">
        <v>201</v>
      </c>
      <c r="F962" s="1">
        <v>34</v>
      </c>
      <c r="G962" s="1">
        <v>431368</v>
      </c>
      <c r="H962" s="1">
        <v>0</v>
      </c>
    </row>
    <row r="963" spans="1:8" x14ac:dyDescent="0.3">
      <c r="A963" s="1" t="s">
        <v>408</v>
      </c>
      <c r="B963" s="1" t="s">
        <v>409</v>
      </c>
      <c r="C963" s="1">
        <v>2015</v>
      </c>
      <c r="D963" s="1">
        <v>40676</v>
      </c>
      <c r="E963" s="1">
        <v>453</v>
      </c>
      <c r="F963" s="1">
        <v>131</v>
      </c>
      <c r="G963" s="1">
        <v>1281023</v>
      </c>
      <c r="H963" s="1">
        <v>149</v>
      </c>
    </row>
    <row r="964" spans="1:8" x14ac:dyDescent="0.3">
      <c r="A964" s="1" t="s">
        <v>410</v>
      </c>
      <c r="B964" s="1" t="s">
        <v>411</v>
      </c>
      <c r="C964" s="1">
        <v>2015</v>
      </c>
      <c r="D964" s="1">
        <v>19645</v>
      </c>
      <c r="E964" s="1">
        <v>154</v>
      </c>
      <c r="F964" s="1">
        <v>21</v>
      </c>
      <c r="G964" s="1">
        <v>472792</v>
      </c>
      <c r="H964" s="1">
        <v>0</v>
      </c>
    </row>
    <row r="965" spans="1:8" x14ac:dyDescent="0.3">
      <c r="A965" s="1" t="s">
        <v>412</v>
      </c>
      <c r="B965" s="1" t="s">
        <v>413</v>
      </c>
      <c r="C965" s="1">
        <v>2015</v>
      </c>
      <c r="D965" s="1">
        <v>20090</v>
      </c>
      <c r="E965" s="1">
        <v>304</v>
      </c>
      <c r="F965" s="1">
        <v>38</v>
      </c>
      <c r="G965" s="1">
        <v>206224</v>
      </c>
      <c r="H965" s="1">
        <v>0</v>
      </c>
    </row>
    <row r="966" spans="1:8" x14ac:dyDescent="0.3">
      <c r="A966" s="1" t="s">
        <v>414</v>
      </c>
      <c r="B966" s="1" t="s">
        <v>415</v>
      </c>
      <c r="C966" s="1">
        <v>2015</v>
      </c>
      <c r="D966" s="1">
        <v>23383</v>
      </c>
      <c r="E966" s="1">
        <v>191</v>
      </c>
      <c r="F966" s="1">
        <v>25</v>
      </c>
      <c r="G966" s="1">
        <v>428796</v>
      </c>
      <c r="H966" s="1">
        <v>2</v>
      </c>
    </row>
    <row r="967" spans="1:8" x14ac:dyDescent="0.3">
      <c r="A967" s="1" t="s">
        <v>416</v>
      </c>
      <c r="B967" s="1" t="s">
        <v>417</v>
      </c>
      <c r="C967" s="1">
        <v>2015</v>
      </c>
      <c r="D967" s="1">
        <v>20216</v>
      </c>
      <c r="E967" s="1">
        <v>237</v>
      </c>
      <c r="F967" s="1">
        <v>55</v>
      </c>
      <c r="G967" s="1">
        <v>171055</v>
      </c>
      <c r="H967" s="1">
        <v>0</v>
      </c>
    </row>
    <row r="968" spans="1:8" x14ac:dyDescent="0.3">
      <c r="A968" s="1" t="s">
        <v>418</v>
      </c>
      <c r="B968" s="1" t="s">
        <v>419</v>
      </c>
      <c r="C968" s="1">
        <v>2015</v>
      </c>
      <c r="D968" s="1">
        <v>47804</v>
      </c>
      <c r="E968" s="1">
        <v>621</v>
      </c>
      <c r="F968" s="1">
        <v>86</v>
      </c>
      <c r="G968" s="1">
        <v>294114</v>
      </c>
      <c r="H968" s="1">
        <v>24</v>
      </c>
    </row>
    <row r="969" spans="1:8" x14ac:dyDescent="0.3">
      <c r="A969" s="1" t="s">
        <v>420</v>
      </c>
      <c r="B969" s="1" t="s">
        <v>421</v>
      </c>
      <c r="C969" s="1">
        <v>2015</v>
      </c>
      <c r="D969" s="1">
        <v>28640</v>
      </c>
      <c r="E969" s="1">
        <v>180</v>
      </c>
      <c r="F969" s="1">
        <v>47</v>
      </c>
      <c r="G969" s="1">
        <v>2213591</v>
      </c>
      <c r="H969" s="1">
        <v>59</v>
      </c>
    </row>
    <row r="970" spans="1:8" x14ac:dyDescent="0.3">
      <c r="A970" s="1" t="s">
        <v>422</v>
      </c>
      <c r="B970" s="1" t="s">
        <v>423</v>
      </c>
      <c r="C970" s="1">
        <v>2015</v>
      </c>
      <c r="D970" s="1">
        <v>35680</v>
      </c>
      <c r="E970" s="1">
        <v>285</v>
      </c>
      <c r="F970" s="1">
        <v>259</v>
      </c>
      <c r="G970" s="1">
        <v>945972</v>
      </c>
      <c r="H970" s="1">
        <v>1</v>
      </c>
    </row>
    <row r="971" spans="1:8" x14ac:dyDescent="0.3">
      <c r="A971" s="1" t="s">
        <v>424</v>
      </c>
      <c r="B971" s="1" t="s">
        <v>425</v>
      </c>
      <c r="C971" s="1">
        <v>2015</v>
      </c>
      <c r="D971" s="1">
        <v>17201</v>
      </c>
      <c r="E971" s="1">
        <v>149</v>
      </c>
      <c r="F971" s="1">
        <v>23</v>
      </c>
      <c r="G971" s="1">
        <v>248797</v>
      </c>
      <c r="H971" s="1">
        <v>17</v>
      </c>
    </row>
    <row r="972" spans="1:8" x14ac:dyDescent="0.3">
      <c r="A972" s="1" t="s">
        <v>426</v>
      </c>
      <c r="B972" s="1" t="s">
        <v>427</v>
      </c>
      <c r="C972" s="1">
        <v>2015</v>
      </c>
      <c r="D972" s="1">
        <v>15750</v>
      </c>
      <c r="E972" s="1">
        <v>127</v>
      </c>
      <c r="F972" s="1">
        <v>55</v>
      </c>
      <c r="G972" s="1">
        <v>626605</v>
      </c>
      <c r="H972" s="1">
        <v>0</v>
      </c>
    </row>
    <row r="973" spans="1:8" x14ac:dyDescent="0.3">
      <c r="A973" s="1" t="s">
        <v>428</v>
      </c>
      <c r="B973" s="1" t="s">
        <v>429</v>
      </c>
      <c r="C973" s="1">
        <v>2015</v>
      </c>
      <c r="D973" s="1">
        <v>7842</v>
      </c>
      <c r="E973" s="1">
        <v>75</v>
      </c>
      <c r="F973" s="1">
        <v>24</v>
      </c>
      <c r="G973" s="1">
        <v>235243</v>
      </c>
      <c r="H973" s="1">
        <v>1</v>
      </c>
    </row>
    <row r="974" spans="1:8" x14ac:dyDescent="0.3">
      <c r="A974" s="1" t="s">
        <v>430</v>
      </c>
      <c r="B974" s="1" t="s">
        <v>431</v>
      </c>
      <c r="C974" s="1">
        <v>2015</v>
      </c>
      <c r="D974" s="1">
        <v>17475</v>
      </c>
      <c r="E974" s="1">
        <v>225</v>
      </c>
      <c r="F974" s="1">
        <v>136</v>
      </c>
      <c r="G974" s="1">
        <v>827186</v>
      </c>
      <c r="H974" s="1">
        <v>1</v>
      </c>
    </row>
    <row r="975" spans="1:8" x14ac:dyDescent="0.3">
      <c r="A975" s="1" t="s">
        <v>432</v>
      </c>
      <c r="B975" s="1" t="s">
        <v>433</v>
      </c>
      <c r="C975" s="1">
        <v>2015</v>
      </c>
      <c r="D975" s="1">
        <v>24726</v>
      </c>
      <c r="E975" s="1">
        <v>128</v>
      </c>
      <c r="F975" s="1">
        <v>203</v>
      </c>
      <c r="G975" s="1">
        <v>5532683</v>
      </c>
      <c r="H975" s="1">
        <v>0</v>
      </c>
    </row>
    <row r="976" spans="1:8" x14ac:dyDescent="0.3">
      <c r="A976" s="1" t="s">
        <v>434</v>
      </c>
      <c r="B976" s="1" t="s">
        <v>435</v>
      </c>
      <c r="C976" s="1">
        <v>2015</v>
      </c>
      <c r="D976" s="1">
        <v>73740</v>
      </c>
      <c r="E976" s="1">
        <v>2392</v>
      </c>
      <c r="F976" s="1">
        <v>1915</v>
      </c>
      <c r="G976" s="1">
        <v>5735647</v>
      </c>
      <c r="H976" s="1">
        <v>100</v>
      </c>
    </row>
    <row r="977" spans="1:8" x14ac:dyDescent="0.3">
      <c r="A977" s="1" t="s">
        <v>436</v>
      </c>
      <c r="B977" s="1" t="s">
        <v>437</v>
      </c>
      <c r="C977" s="1">
        <v>2015</v>
      </c>
      <c r="D977" s="1">
        <v>17404</v>
      </c>
      <c r="E977" s="1">
        <v>142</v>
      </c>
      <c r="F977" s="1">
        <v>102</v>
      </c>
      <c r="G977" s="1">
        <v>1740523</v>
      </c>
      <c r="H977" s="1">
        <v>0</v>
      </c>
    </row>
    <row r="978" spans="1:8" x14ac:dyDescent="0.3">
      <c r="A978" s="1" t="s">
        <v>438</v>
      </c>
      <c r="B978" s="1" t="s">
        <v>439</v>
      </c>
      <c r="C978" s="1">
        <v>2015</v>
      </c>
      <c r="D978" s="1">
        <v>19802</v>
      </c>
      <c r="E978" s="1">
        <v>174</v>
      </c>
      <c r="F978" s="1">
        <v>126</v>
      </c>
      <c r="G978" s="1">
        <v>691598</v>
      </c>
      <c r="H978" s="1">
        <v>16</v>
      </c>
    </row>
    <row r="979" spans="1:8" x14ac:dyDescent="0.3">
      <c r="A979" s="1" t="s">
        <v>440</v>
      </c>
      <c r="B979" s="1" t="s">
        <v>441</v>
      </c>
      <c r="C979" s="1">
        <v>2015</v>
      </c>
      <c r="D979" s="1">
        <v>53185</v>
      </c>
      <c r="E979" s="1">
        <v>932</v>
      </c>
      <c r="F979" s="1">
        <v>209</v>
      </c>
      <c r="G979" s="1">
        <v>2453636</v>
      </c>
      <c r="H979" s="1">
        <v>14</v>
      </c>
    </row>
    <row r="980" spans="1:8" x14ac:dyDescent="0.3">
      <c r="A980" s="1" t="s">
        <v>442</v>
      </c>
      <c r="B980" s="1" t="s">
        <v>443</v>
      </c>
      <c r="C980" s="1">
        <v>2015</v>
      </c>
      <c r="D980" s="1">
        <v>23538</v>
      </c>
      <c r="E980" s="1">
        <v>105</v>
      </c>
      <c r="F980" s="1">
        <v>0</v>
      </c>
      <c r="G980" s="1">
        <v>967534</v>
      </c>
      <c r="H980" s="1">
        <v>20</v>
      </c>
    </row>
    <row r="981" spans="1:8" x14ac:dyDescent="0.3">
      <c r="A981" s="1" t="s">
        <v>444</v>
      </c>
      <c r="B981" s="1" t="s">
        <v>445</v>
      </c>
      <c r="C981" s="1">
        <v>2015</v>
      </c>
      <c r="D981" s="1">
        <v>15277</v>
      </c>
      <c r="E981" s="1">
        <v>68</v>
      </c>
      <c r="F981" s="1">
        <v>60</v>
      </c>
      <c r="G981" s="1">
        <v>1027416</v>
      </c>
      <c r="H981" s="1">
        <v>20</v>
      </c>
    </row>
    <row r="982" spans="1:8" x14ac:dyDescent="0.3">
      <c r="A982" s="1" t="s">
        <v>446</v>
      </c>
      <c r="B982" s="1" t="s">
        <v>447</v>
      </c>
      <c r="C982" s="1">
        <v>2015</v>
      </c>
      <c r="D982" s="1">
        <v>21833</v>
      </c>
      <c r="E982" s="1">
        <v>88</v>
      </c>
      <c r="F982" s="1">
        <v>44</v>
      </c>
      <c r="G982" s="1">
        <v>1368795</v>
      </c>
      <c r="H982" s="1">
        <v>47</v>
      </c>
    </row>
    <row r="983" spans="1:8" x14ac:dyDescent="0.3">
      <c r="A983" s="1" t="s">
        <v>448</v>
      </c>
      <c r="B983" s="1" t="s">
        <v>449</v>
      </c>
      <c r="C983" s="1">
        <v>2015</v>
      </c>
      <c r="D983" s="1">
        <v>10672</v>
      </c>
      <c r="E983" s="1">
        <v>53</v>
      </c>
      <c r="F983" s="1">
        <v>25</v>
      </c>
      <c r="G983" s="1">
        <v>518111</v>
      </c>
      <c r="H983" s="1">
        <v>0</v>
      </c>
    </row>
    <row r="984" spans="1:8" x14ac:dyDescent="0.3">
      <c r="A984" s="1" t="s">
        <v>450</v>
      </c>
      <c r="B984" s="1" t="s">
        <v>451</v>
      </c>
      <c r="C984" s="1">
        <v>2015</v>
      </c>
      <c r="D984" s="1">
        <v>14868</v>
      </c>
      <c r="E984" s="1">
        <v>130</v>
      </c>
      <c r="F984" s="1">
        <v>0</v>
      </c>
      <c r="G984" s="1">
        <v>183258</v>
      </c>
      <c r="H984" s="1">
        <v>4</v>
      </c>
    </row>
    <row r="985" spans="1:8" x14ac:dyDescent="0.3">
      <c r="A985" s="1" t="s">
        <v>452</v>
      </c>
      <c r="B985" s="1" t="s">
        <v>453</v>
      </c>
      <c r="C985" s="1">
        <v>2015</v>
      </c>
      <c r="D985" s="1">
        <v>13519</v>
      </c>
      <c r="E985" s="1">
        <v>49</v>
      </c>
      <c r="F985" s="1">
        <v>12</v>
      </c>
      <c r="G985" s="1">
        <v>603673</v>
      </c>
      <c r="H985" s="1">
        <v>0</v>
      </c>
    </row>
    <row r="986" spans="1:8" x14ac:dyDescent="0.3">
      <c r="A986" s="1" t="s">
        <v>454</v>
      </c>
      <c r="B986" s="1" t="s">
        <v>455</v>
      </c>
      <c r="C986" s="1">
        <v>2015</v>
      </c>
      <c r="D986" s="1">
        <v>7033</v>
      </c>
      <c r="E986" s="1">
        <v>32</v>
      </c>
      <c r="F986" s="1">
        <v>11</v>
      </c>
      <c r="G986" s="1">
        <v>239892</v>
      </c>
      <c r="H986" s="1">
        <v>0</v>
      </c>
    </row>
    <row r="987" spans="1:8" x14ac:dyDescent="0.3">
      <c r="A987" s="1" t="s">
        <v>456</v>
      </c>
      <c r="B987" s="1" t="s">
        <v>457</v>
      </c>
      <c r="C987" s="1">
        <v>2015</v>
      </c>
      <c r="D987" s="1">
        <v>17975</v>
      </c>
      <c r="E987" s="1">
        <v>73</v>
      </c>
      <c r="F987" s="1">
        <v>5</v>
      </c>
      <c r="G987" s="1">
        <v>319854</v>
      </c>
      <c r="H987" s="1">
        <v>12</v>
      </c>
    </row>
    <row r="988" spans="1:8" x14ac:dyDescent="0.3">
      <c r="A988" s="1" t="s">
        <v>458</v>
      </c>
      <c r="B988" s="1" t="s">
        <v>459</v>
      </c>
      <c r="C988" s="1">
        <v>2015</v>
      </c>
      <c r="D988" s="1">
        <v>25368</v>
      </c>
      <c r="E988" s="1">
        <v>157</v>
      </c>
      <c r="F988" s="1">
        <v>60</v>
      </c>
      <c r="G988" s="1">
        <v>1343397</v>
      </c>
      <c r="H988" s="1">
        <v>26</v>
      </c>
    </row>
    <row r="989" spans="1:8" x14ac:dyDescent="0.3">
      <c r="A989" s="1" t="s">
        <v>460</v>
      </c>
      <c r="B989" s="1" t="s">
        <v>461</v>
      </c>
      <c r="C989" s="1">
        <v>2015</v>
      </c>
      <c r="D989" s="1">
        <v>11119</v>
      </c>
      <c r="E989" s="1">
        <v>130</v>
      </c>
      <c r="F989" s="1">
        <v>22</v>
      </c>
      <c r="G989" s="1">
        <v>319754</v>
      </c>
      <c r="H989" s="1">
        <v>0</v>
      </c>
    </row>
    <row r="990" spans="1:8" x14ac:dyDescent="0.3">
      <c r="A990" s="1" t="s">
        <v>462</v>
      </c>
      <c r="B990" s="1" t="s">
        <v>463</v>
      </c>
      <c r="C990" s="1">
        <v>2015</v>
      </c>
      <c r="D990" s="1">
        <v>17811</v>
      </c>
      <c r="E990" s="1">
        <v>108</v>
      </c>
      <c r="F990" s="1">
        <v>6</v>
      </c>
      <c r="G990" s="1">
        <v>333845</v>
      </c>
      <c r="H990" s="1">
        <v>8</v>
      </c>
    </row>
    <row r="991" spans="1:8" x14ac:dyDescent="0.3">
      <c r="A991" s="1" t="s">
        <v>464</v>
      </c>
      <c r="B991" s="1" t="s">
        <v>465</v>
      </c>
      <c r="C991" s="1">
        <v>2015</v>
      </c>
      <c r="D991" s="1">
        <v>14303</v>
      </c>
      <c r="E991" s="1">
        <v>114</v>
      </c>
      <c r="F991" s="1">
        <v>120</v>
      </c>
      <c r="G991" s="1">
        <v>607658</v>
      </c>
      <c r="H991" s="1">
        <v>0</v>
      </c>
    </row>
    <row r="992" spans="1:8" x14ac:dyDescent="0.3">
      <c r="A992" s="1" t="s">
        <v>466</v>
      </c>
      <c r="B992" s="1" t="s">
        <v>467</v>
      </c>
      <c r="C992" s="1">
        <v>2015</v>
      </c>
      <c r="D992" s="1">
        <v>126357</v>
      </c>
      <c r="E992" s="1">
        <v>2088</v>
      </c>
      <c r="F992" s="1">
        <v>2448</v>
      </c>
      <c r="G992" s="1">
        <v>14283670</v>
      </c>
      <c r="H992" s="1">
        <v>6</v>
      </c>
    </row>
    <row r="993" spans="1:8" x14ac:dyDescent="0.3">
      <c r="A993" s="1" t="s">
        <v>468</v>
      </c>
      <c r="B993" s="1" t="s">
        <v>469</v>
      </c>
      <c r="C993" s="1">
        <v>2015</v>
      </c>
      <c r="D993" s="1">
        <v>23063</v>
      </c>
      <c r="E993" s="1">
        <v>182</v>
      </c>
      <c r="F993" s="1">
        <v>233</v>
      </c>
      <c r="G993" s="1">
        <v>2592289</v>
      </c>
      <c r="H993" s="1">
        <v>4</v>
      </c>
    </row>
    <row r="994" spans="1:8" x14ac:dyDescent="0.3">
      <c r="A994" s="1" t="s">
        <v>470</v>
      </c>
      <c r="B994" s="1" t="s">
        <v>471</v>
      </c>
      <c r="C994" s="1">
        <v>2015</v>
      </c>
      <c r="D994" s="1">
        <v>25106</v>
      </c>
      <c r="E994" s="1">
        <v>279</v>
      </c>
      <c r="F994" s="1">
        <v>222</v>
      </c>
      <c r="G994" s="1">
        <v>3044461</v>
      </c>
      <c r="H994" s="1">
        <v>0</v>
      </c>
    </row>
    <row r="995" spans="1:8" x14ac:dyDescent="0.3">
      <c r="A995" s="1" t="s">
        <v>472</v>
      </c>
      <c r="B995" s="1" t="s">
        <v>473</v>
      </c>
      <c r="C995" s="1">
        <v>2015</v>
      </c>
      <c r="D995" s="1">
        <v>22423</v>
      </c>
      <c r="E995" s="1">
        <v>262</v>
      </c>
      <c r="F995" s="1">
        <v>152</v>
      </c>
      <c r="G995" s="1">
        <v>988252</v>
      </c>
      <c r="H995" s="1">
        <v>6</v>
      </c>
    </row>
    <row r="996" spans="1:8" x14ac:dyDescent="0.3">
      <c r="A996" s="1" t="s">
        <v>474</v>
      </c>
      <c r="B996" s="1" t="s">
        <v>475</v>
      </c>
      <c r="C996" s="1">
        <v>2015</v>
      </c>
      <c r="D996" s="1">
        <v>28778</v>
      </c>
      <c r="E996" s="1">
        <v>315</v>
      </c>
      <c r="F996" s="1">
        <v>144</v>
      </c>
      <c r="G996" s="1">
        <v>2762183</v>
      </c>
      <c r="H996" s="1">
        <v>15</v>
      </c>
    </row>
    <row r="997" spans="1:8" x14ac:dyDescent="0.3">
      <c r="A997" s="1" t="s">
        <v>476</v>
      </c>
      <c r="B997" s="1" t="s">
        <v>477</v>
      </c>
      <c r="C997" s="1">
        <v>2015</v>
      </c>
      <c r="D997" s="1">
        <v>17797</v>
      </c>
      <c r="E997" s="1">
        <v>98</v>
      </c>
      <c r="F997" s="1">
        <v>152</v>
      </c>
      <c r="G997" s="1">
        <v>2253494</v>
      </c>
      <c r="H997" s="1">
        <v>10</v>
      </c>
    </row>
    <row r="998" spans="1:8" x14ac:dyDescent="0.3">
      <c r="A998" s="1" t="s">
        <v>478</v>
      </c>
      <c r="B998" s="1" t="s">
        <v>479</v>
      </c>
      <c r="C998" s="1">
        <v>2015</v>
      </c>
      <c r="D998" s="1">
        <v>35811</v>
      </c>
      <c r="E998" s="1">
        <v>1229</v>
      </c>
      <c r="F998" s="1">
        <v>607</v>
      </c>
      <c r="G998" s="1">
        <v>1791500</v>
      </c>
      <c r="H998" s="1">
        <v>38</v>
      </c>
    </row>
    <row r="999" spans="1:8" x14ac:dyDescent="0.3">
      <c r="A999" s="1" t="s">
        <v>480</v>
      </c>
      <c r="B999" s="1" t="s">
        <v>481</v>
      </c>
      <c r="C999" s="1">
        <v>2015</v>
      </c>
      <c r="D999" s="1">
        <v>34062</v>
      </c>
      <c r="E999" s="1">
        <v>843</v>
      </c>
      <c r="F999" s="1">
        <v>265</v>
      </c>
      <c r="G999" s="1">
        <v>2482844</v>
      </c>
      <c r="H999" s="1">
        <v>8</v>
      </c>
    </row>
    <row r="1000" spans="1:8" x14ac:dyDescent="0.3">
      <c r="A1000" s="1" t="s">
        <v>482</v>
      </c>
      <c r="B1000" s="1" t="s">
        <v>483</v>
      </c>
      <c r="C1000" s="1">
        <v>2015</v>
      </c>
      <c r="D1000" s="1">
        <v>20943</v>
      </c>
      <c r="E1000" s="1">
        <v>280</v>
      </c>
      <c r="F1000" s="1">
        <v>130</v>
      </c>
      <c r="G1000" s="1">
        <v>2008541</v>
      </c>
      <c r="H1000" s="1">
        <v>105</v>
      </c>
    </row>
    <row r="1001" spans="1:8" x14ac:dyDescent="0.3">
      <c r="A1001" s="1" t="s">
        <v>484</v>
      </c>
      <c r="B1001" s="1" t="s">
        <v>485</v>
      </c>
      <c r="C1001" s="1">
        <v>2015</v>
      </c>
      <c r="D1001" s="1">
        <v>25630</v>
      </c>
      <c r="E1001" s="1">
        <v>137</v>
      </c>
      <c r="F1001" s="1">
        <v>203</v>
      </c>
      <c r="G1001" s="1">
        <v>2106829</v>
      </c>
      <c r="H1001" s="1">
        <v>77</v>
      </c>
    </row>
    <row r="1002" spans="1:8" x14ac:dyDescent="0.3">
      <c r="A1002" s="1" t="s">
        <v>486</v>
      </c>
      <c r="B1002" s="1" t="s">
        <v>487</v>
      </c>
      <c r="C1002" s="1">
        <v>2015</v>
      </c>
      <c r="D1002" s="1">
        <v>21668</v>
      </c>
      <c r="E1002" s="1">
        <v>205</v>
      </c>
      <c r="F1002" s="1">
        <v>345</v>
      </c>
      <c r="G1002" s="1">
        <v>1635367</v>
      </c>
      <c r="H1002" s="1">
        <v>9</v>
      </c>
    </row>
    <row r="1003" spans="1:8" x14ac:dyDescent="0.3">
      <c r="A1003" s="1" t="s">
        <v>488</v>
      </c>
      <c r="B1003" s="1" t="s">
        <v>489</v>
      </c>
      <c r="C1003" s="1">
        <v>2015</v>
      </c>
      <c r="D1003" s="1">
        <v>21558</v>
      </c>
      <c r="E1003" s="1">
        <v>190</v>
      </c>
      <c r="F1003" s="1">
        <v>263</v>
      </c>
      <c r="G1003" s="1">
        <v>2654245</v>
      </c>
      <c r="H1003" s="1">
        <v>2</v>
      </c>
    </row>
    <row r="1004" spans="1:8" x14ac:dyDescent="0.3">
      <c r="A1004" s="1" t="s">
        <v>490</v>
      </c>
      <c r="B1004" s="1" t="s">
        <v>310</v>
      </c>
      <c r="C1004" s="1">
        <v>2015</v>
      </c>
      <c r="D1004" s="1">
        <v>12844</v>
      </c>
      <c r="E1004" s="1">
        <v>171</v>
      </c>
      <c r="F1004" s="1">
        <v>166</v>
      </c>
      <c r="G1004" s="1">
        <v>1135977</v>
      </c>
      <c r="H1004" s="1">
        <v>11</v>
      </c>
    </row>
    <row r="1005" spans="1:8" x14ac:dyDescent="0.3">
      <c r="A1005" s="1" t="s">
        <v>491</v>
      </c>
      <c r="B1005" s="1" t="s">
        <v>492</v>
      </c>
      <c r="C1005" s="1">
        <v>2015</v>
      </c>
      <c r="D1005" s="1">
        <v>27500</v>
      </c>
      <c r="E1005" s="1">
        <v>909</v>
      </c>
      <c r="F1005" s="1">
        <v>568</v>
      </c>
      <c r="G1005" s="1">
        <v>1369878</v>
      </c>
      <c r="H1005" s="1">
        <v>9</v>
      </c>
    </row>
    <row r="1006" spans="1:8" x14ac:dyDescent="0.3">
      <c r="A1006" s="1" t="s">
        <v>493</v>
      </c>
      <c r="B1006" s="1" t="s">
        <v>494</v>
      </c>
      <c r="C1006" s="1">
        <v>2015</v>
      </c>
      <c r="D1006" s="1">
        <v>31723</v>
      </c>
      <c r="E1006" s="1">
        <v>526</v>
      </c>
      <c r="F1006" s="1">
        <v>232</v>
      </c>
      <c r="G1006" s="1">
        <v>1388273</v>
      </c>
      <c r="H1006" s="1">
        <v>20</v>
      </c>
    </row>
    <row r="1007" spans="1:8" x14ac:dyDescent="0.3">
      <c r="A1007" s="1" t="s">
        <v>495</v>
      </c>
      <c r="B1007" s="1" t="s">
        <v>496</v>
      </c>
      <c r="C1007" s="1">
        <v>2015</v>
      </c>
      <c r="D1007" s="1">
        <v>39033</v>
      </c>
      <c r="E1007" s="1">
        <v>332</v>
      </c>
      <c r="F1007" s="1">
        <v>216</v>
      </c>
      <c r="G1007" s="1">
        <v>4711438</v>
      </c>
      <c r="H1007" s="1">
        <v>57</v>
      </c>
    </row>
    <row r="1008" spans="1:8" x14ac:dyDescent="0.3">
      <c r="A1008" s="1" t="s">
        <v>497</v>
      </c>
      <c r="B1008" s="1" t="s">
        <v>498</v>
      </c>
      <c r="C1008" s="1">
        <v>2015</v>
      </c>
      <c r="D1008" s="1">
        <v>36994</v>
      </c>
      <c r="E1008" s="1">
        <v>396</v>
      </c>
      <c r="F1008" s="1">
        <v>527</v>
      </c>
      <c r="G1008" s="1">
        <v>4819137</v>
      </c>
      <c r="H1008" s="1">
        <v>136</v>
      </c>
    </row>
    <row r="1009" spans="1:8" x14ac:dyDescent="0.3">
      <c r="A1009" s="1" t="s">
        <v>499</v>
      </c>
      <c r="B1009" s="1" t="s">
        <v>500</v>
      </c>
      <c r="C1009" s="1">
        <v>2015</v>
      </c>
      <c r="D1009" s="1">
        <v>67251</v>
      </c>
      <c r="E1009" s="1">
        <v>1256</v>
      </c>
      <c r="F1009" s="1">
        <v>1212</v>
      </c>
      <c r="G1009" s="1">
        <v>3704342</v>
      </c>
      <c r="H1009" s="1">
        <v>122</v>
      </c>
    </row>
    <row r="1010" spans="1:8" x14ac:dyDescent="0.3">
      <c r="A1010" s="1" t="s">
        <v>501</v>
      </c>
      <c r="B1010" s="1" t="s">
        <v>502</v>
      </c>
      <c r="C1010" s="1">
        <v>2015</v>
      </c>
      <c r="D1010" s="1">
        <v>12817</v>
      </c>
      <c r="E1010" s="1">
        <v>70</v>
      </c>
      <c r="F1010" s="1">
        <v>85</v>
      </c>
      <c r="G1010" s="1">
        <v>2248287</v>
      </c>
      <c r="H1010" s="1">
        <v>4</v>
      </c>
    </row>
    <row r="1011" spans="1:8" x14ac:dyDescent="0.3">
      <c r="A1011" s="1" t="s">
        <v>503</v>
      </c>
      <c r="B1011" s="1" t="s">
        <v>504</v>
      </c>
      <c r="C1011" s="1">
        <v>2015</v>
      </c>
      <c r="D1011" s="1">
        <v>211200</v>
      </c>
      <c r="E1011" s="1">
        <v>4506</v>
      </c>
      <c r="F1011" s="1">
        <v>6822</v>
      </c>
      <c r="G1011" s="1">
        <v>15698606</v>
      </c>
      <c r="H1011" s="1">
        <v>92</v>
      </c>
    </row>
    <row r="1012" spans="1:8" x14ac:dyDescent="0.3">
      <c r="A1012" s="1" t="s">
        <v>505</v>
      </c>
      <c r="B1012" s="1" t="s">
        <v>506</v>
      </c>
      <c r="C1012" s="1">
        <v>2015</v>
      </c>
      <c r="D1012" s="1">
        <v>110916</v>
      </c>
      <c r="E1012" s="1">
        <v>1109</v>
      </c>
      <c r="F1012" s="1">
        <v>2215</v>
      </c>
      <c r="G1012" s="1">
        <v>5739083</v>
      </c>
      <c r="H1012" s="1">
        <v>195</v>
      </c>
    </row>
    <row r="1013" spans="1:8" x14ac:dyDescent="0.3">
      <c r="A1013" s="1" t="s">
        <v>507</v>
      </c>
      <c r="B1013" s="1" t="s">
        <v>508</v>
      </c>
      <c r="C1013" s="1">
        <v>2015</v>
      </c>
      <c r="D1013" s="1">
        <v>38521</v>
      </c>
      <c r="E1013" s="1">
        <v>293</v>
      </c>
      <c r="F1013" s="1">
        <v>684</v>
      </c>
      <c r="G1013" s="1">
        <v>2010623</v>
      </c>
      <c r="H1013" s="1">
        <v>6</v>
      </c>
    </row>
    <row r="1014" spans="1:8" x14ac:dyDescent="0.3">
      <c r="A1014" s="1" t="s">
        <v>509</v>
      </c>
      <c r="B1014" s="1" t="s">
        <v>510</v>
      </c>
      <c r="C1014" s="1">
        <v>2015</v>
      </c>
      <c r="D1014" s="1">
        <v>19104</v>
      </c>
      <c r="E1014" s="1">
        <v>55</v>
      </c>
      <c r="F1014" s="1">
        <v>383</v>
      </c>
      <c r="G1014" s="1">
        <v>677054</v>
      </c>
      <c r="H1014" s="1">
        <v>15</v>
      </c>
    </row>
    <row r="1015" spans="1:8" x14ac:dyDescent="0.3">
      <c r="A1015" s="1" t="s">
        <v>511</v>
      </c>
      <c r="B1015" s="1" t="s">
        <v>512</v>
      </c>
      <c r="C1015" s="1">
        <v>2015</v>
      </c>
      <c r="D1015" s="1">
        <v>61014</v>
      </c>
      <c r="E1015" s="1">
        <v>246</v>
      </c>
      <c r="F1015" s="1">
        <v>390</v>
      </c>
      <c r="G1015" s="1">
        <v>5818244</v>
      </c>
      <c r="H1015" s="1">
        <v>44</v>
      </c>
    </row>
    <row r="1016" spans="1:8" x14ac:dyDescent="0.3">
      <c r="A1016" s="1" t="s">
        <v>513</v>
      </c>
      <c r="B1016" s="1" t="s">
        <v>443</v>
      </c>
      <c r="C1016" s="1">
        <v>2015</v>
      </c>
      <c r="D1016" s="1">
        <v>49173</v>
      </c>
      <c r="E1016" s="1">
        <v>462</v>
      </c>
      <c r="F1016" s="1">
        <v>219</v>
      </c>
      <c r="G1016" s="1">
        <v>1063769</v>
      </c>
      <c r="H1016" s="1">
        <v>2</v>
      </c>
    </row>
    <row r="1017" spans="1:8" x14ac:dyDescent="0.3">
      <c r="A1017" s="1" t="s">
        <v>514</v>
      </c>
      <c r="B1017" s="1" t="s">
        <v>515</v>
      </c>
      <c r="C1017" s="1">
        <v>2015</v>
      </c>
      <c r="D1017" s="1">
        <v>60280</v>
      </c>
      <c r="E1017" s="1">
        <v>546</v>
      </c>
      <c r="F1017" s="1">
        <v>337</v>
      </c>
      <c r="G1017" s="1">
        <v>2299399</v>
      </c>
      <c r="H1017" s="1">
        <v>27</v>
      </c>
    </row>
    <row r="1018" spans="1:8" x14ac:dyDescent="0.3">
      <c r="A1018" s="1" t="s">
        <v>516</v>
      </c>
      <c r="B1018" s="1" t="s">
        <v>517</v>
      </c>
      <c r="C1018" s="1">
        <v>2015</v>
      </c>
      <c r="D1018" s="1">
        <v>46215</v>
      </c>
      <c r="E1018" s="1">
        <v>367</v>
      </c>
      <c r="F1018" s="1">
        <v>50</v>
      </c>
      <c r="G1018" s="1">
        <v>678590</v>
      </c>
      <c r="H1018" s="1">
        <v>3</v>
      </c>
    </row>
    <row r="1019" spans="1:8" x14ac:dyDescent="0.3">
      <c r="A1019" s="1" t="s">
        <v>518</v>
      </c>
      <c r="B1019" s="1" t="s">
        <v>519</v>
      </c>
      <c r="C1019" s="1">
        <v>2015</v>
      </c>
      <c r="D1019" s="1">
        <v>38001</v>
      </c>
      <c r="E1019" s="1">
        <v>321</v>
      </c>
      <c r="F1019" s="1">
        <v>255</v>
      </c>
      <c r="G1019" s="1">
        <v>2529997</v>
      </c>
      <c r="H1019" s="1">
        <v>26</v>
      </c>
    </row>
    <row r="1020" spans="1:8" x14ac:dyDescent="0.3">
      <c r="A1020" s="1" t="s">
        <v>520</v>
      </c>
      <c r="B1020" s="1" t="s">
        <v>521</v>
      </c>
      <c r="C1020" s="1">
        <v>2015</v>
      </c>
      <c r="D1020" s="1">
        <v>26537</v>
      </c>
      <c r="E1020" s="1">
        <v>187</v>
      </c>
      <c r="F1020" s="1">
        <v>32</v>
      </c>
      <c r="G1020" s="1">
        <v>248614</v>
      </c>
      <c r="H1020" s="1">
        <v>0</v>
      </c>
    </row>
    <row r="1021" spans="1:8" x14ac:dyDescent="0.3">
      <c r="A1021" s="1" t="s">
        <v>522</v>
      </c>
      <c r="B1021" s="1" t="s">
        <v>523</v>
      </c>
      <c r="C1021" s="1">
        <v>2015</v>
      </c>
      <c r="D1021" s="1">
        <v>25045</v>
      </c>
      <c r="E1021" s="1">
        <v>202</v>
      </c>
      <c r="F1021" s="1">
        <v>45</v>
      </c>
      <c r="G1021" s="1">
        <v>814957</v>
      </c>
      <c r="H1021" s="1">
        <v>0</v>
      </c>
    </row>
    <row r="1022" spans="1:8" x14ac:dyDescent="0.3">
      <c r="A1022" s="1" t="s">
        <v>524</v>
      </c>
      <c r="B1022" s="1" t="s">
        <v>525</v>
      </c>
      <c r="C1022" s="1">
        <v>2015</v>
      </c>
      <c r="D1022" s="1">
        <v>32891</v>
      </c>
      <c r="E1022" s="1">
        <v>512</v>
      </c>
      <c r="F1022" s="1">
        <v>155</v>
      </c>
      <c r="G1022" s="1">
        <v>2231397</v>
      </c>
      <c r="H1022" s="1">
        <v>0</v>
      </c>
    </row>
    <row r="1023" spans="1:8" x14ac:dyDescent="0.3">
      <c r="A1023" s="1" t="s">
        <v>526</v>
      </c>
      <c r="B1023" s="1" t="s">
        <v>527</v>
      </c>
      <c r="C1023" s="1">
        <v>2015</v>
      </c>
      <c r="D1023" s="1">
        <v>26554</v>
      </c>
      <c r="E1023" s="1">
        <v>132</v>
      </c>
      <c r="F1023" s="1">
        <v>48</v>
      </c>
      <c r="G1023" s="1">
        <v>1197289</v>
      </c>
      <c r="H1023" s="1">
        <v>30</v>
      </c>
    </row>
    <row r="1024" spans="1:8" x14ac:dyDescent="0.3">
      <c r="A1024" s="1" t="s">
        <v>528</v>
      </c>
      <c r="B1024" s="1" t="s">
        <v>529</v>
      </c>
      <c r="C1024" s="1">
        <v>2015</v>
      </c>
      <c r="D1024" s="1">
        <v>31536</v>
      </c>
      <c r="E1024" s="1">
        <v>390</v>
      </c>
      <c r="F1024" s="1">
        <v>157</v>
      </c>
      <c r="G1024" s="1">
        <v>838109</v>
      </c>
      <c r="H1024" s="1">
        <v>37</v>
      </c>
    </row>
    <row r="1025" spans="1:8" x14ac:dyDescent="0.3">
      <c r="A1025" s="1" t="s">
        <v>530</v>
      </c>
      <c r="B1025" s="1" t="s">
        <v>531</v>
      </c>
      <c r="C1025" s="1">
        <v>2015</v>
      </c>
      <c r="D1025" s="1">
        <v>35819</v>
      </c>
      <c r="E1025" s="1">
        <v>132</v>
      </c>
      <c r="F1025" s="1">
        <v>229</v>
      </c>
      <c r="G1025" s="1">
        <v>3233675</v>
      </c>
      <c r="H1025" s="1">
        <v>111</v>
      </c>
    </row>
    <row r="1026" spans="1:8" x14ac:dyDescent="0.3">
      <c r="A1026" s="1" t="s">
        <v>532</v>
      </c>
      <c r="B1026" s="1" t="s">
        <v>533</v>
      </c>
      <c r="C1026" s="1">
        <v>2015</v>
      </c>
      <c r="D1026" s="1">
        <v>24208</v>
      </c>
      <c r="E1026" s="1">
        <v>217</v>
      </c>
      <c r="F1026" s="1">
        <v>27</v>
      </c>
      <c r="G1026" s="1">
        <v>700049</v>
      </c>
      <c r="H1026" s="1">
        <v>0</v>
      </c>
    </row>
    <row r="1027" spans="1:8" x14ac:dyDescent="0.3">
      <c r="A1027" s="1" t="s">
        <v>534</v>
      </c>
      <c r="B1027" s="1" t="s">
        <v>535</v>
      </c>
      <c r="C1027" s="1">
        <v>2015</v>
      </c>
      <c r="D1027" s="1">
        <v>48434</v>
      </c>
      <c r="E1027" s="1">
        <v>482</v>
      </c>
      <c r="F1027" s="1">
        <v>251</v>
      </c>
      <c r="G1027" s="1">
        <v>3350482</v>
      </c>
      <c r="H1027" s="1">
        <v>47</v>
      </c>
    </row>
    <row r="1028" spans="1:8" x14ac:dyDescent="0.3">
      <c r="A1028" s="1" t="s">
        <v>536</v>
      </c>
      <c r="B1028" s="1" t="s">
        <v>537</v>
      </c>
      <c r="C1028" s="1">
        <v>2015</v>
      </c>
      <c r="D1028" s="1">
        <v>18153</v>
      </c>
      <c r="E1028" s="1">
        <v>188</v>
      </c>
      <c r="F1028" s="1">
        <v>102</v>
      </c>
      <c r="G1028" s="1">
        <v>379097</v>
      </c>
      <c r="H1028" s="1">
        <v>18</v>
      </c>
    </row>
    <row r="1029" spans="1:8" x14ac:dyDescent="0.3">
      <c r="A1029" s="1" t="s">
        <v>538</v>
      </c>
      <c r="B1029" s="1" t="s">
        <v>539</v>
      </c>
      <c r="C1029" s="1">
        <v>2015</v>
      </c>
      <c r="D1029" s="1">
        <v>48829</v>
      </c>
      <c r="E1029" s="1">
        <v>342</v>
      </c>
      <c r="F1029" s="1">
        <v>190</v>
      </c>
      <c r="G1029" s="1">
        <v>2978177</v>
      </c>
      <c r="H1029" s="1">
        <v>8</v>
      </c>
    </row>
    <row r="1030" spans="1:8" x14ac:dyDescent="0.3">
      <c r="A1030" s="1" t="s">
        <v>540</v>
      </c>
      <c r="B1030" s="1" t="s">
        <v>541</v>
      </c>
      <c r="C1030" s="1">
        <v>2015</v>
      </c>
      <c r="D1030" s="1">
        <v>47475</v>
      </c>
      <c r="E1030" s="1">
        <v>210</v>
      </c>
      <c r="F1030" s="1">
        <v>17</v>
      </c>
      <c r="G1030" s="1">
        <v>3690730</v>
      </c>
      <c r="H1030" s="1">
        <v>133</v>
      </c>
    </row>
    <row r="1031" spans="1:8" x14ac:dyDescent="0.3">
      <c r="A1031" s="1" t="s">
        <v>542</v>
      </c>
      <c r="B1031" s="1" t="s">
        <v>543</v>
      </c>
      <c r="C1031" s="1">
        <v>2015</v>
      </c>
      <c r="D1031" s="1">
        <v>50435</v>
      </c>
      <c r="E1031" s="1">
        <v>409</v>
      </c>
      <c r="F1031" s="1">
        <v>43</v>
      </c>
      <c r="G1031" s="1">
        <v>1131443</v>
      </c>
      <c r="H1031" s="1">
        <v>39</v>
      </c>
    </row>
    <row r="1032" spans="1:8" x14ac:dyDescent="0.3">
      <c r="A1032" s="1" t="s">
        <v>544</v>
      </c>
      <c r="B1032" s="1" t="s">
        <v>545</v>
      </c>
      <c r="C1032" s="1">
        <v>2015</v>
      </c>
      <c r="D1032" s="1">
        <v>69874</v>
      </c>
      <c r="E1032" s="1">
        <v>466</v>
      </c>
      <c r="F1032" s="1">
        <v>822</v>
      </c>
      <c r="G1032" s="1">
        <v>5603310</v>
      </c>
      <c r="H1032" s="1">
        <v>78</v>
      </c>
    </row>
    <row r="1033" spans="1:8" x14ac:dyDescent="0.3">
      <c r="A1033" s="1" t="s">
        <v>546</v>
      </c>
      <c r="B1033" s="1" t="s">
        <v>547</v>
      </c>
      <c r="C1033" s="1">
        <v>2015</v>
      </c>
      <c r="D1033" s="1">
        <v>73364</v>
      </c>
      <c r="E1033" s="1">
        <v>108</v>
      </c>
      <c r="F1033" s="1">
        <v>831</v>
      </c>
      <c r="G1033" s="1">
        <v>7294422</v>
      </c>
      <c r="H1033" s="1">
        <v>0</v>
      </c>
    </row>
    <row r="1034" spans="1:8" x14ac:dyDescent="0.3">
      <c r="A1034" s="1" t="s">
        <v>548</v>
      </c>
      <c r="B1034" s="1" t="s">
        <v>549</v>
      </c>
      <c r="C1034" s="1">
        <v>2015</v>
      </c>
      <c r="D1034" s="1">
        <v>52652</v>
      </c>
      <c r="E1034" s="1">
        <v>78</v>
      </c>
      <c r="F1034" s="1">
        <v>350</v>
      </c>
      <c r="G1034" s="1">
        <v>12910406</v>
      </c>
      <c r="H1034" s="1">
        <v>147</v>
      </c>
    </row>
    <row r="1035" spans="1:8" x14ac:dyDescent="0.3">
      <c r="A1035" s="1" t="s">
        <v>550</v>
      </c>
      <c r="B1035" s="1" t="s">
        <v>551</v>
      </c>
      <c r="C1035" s="1">
        <v>2015</v>
      </c>
      <c r="D1035" s="1">
        <v>98335</v>
      </c>
      <c r="E1035" s="1">
        <v>291</v>
      </c>
      <c r="F1035" s="1">
        <v>582</v>
      </c>
      <c r="G1035" s="1">
        <v>11624865</v>
      </c>
      <c r="H1035" s="1">
        <v>0</v>
      </c>
    </row>
    <row r="1036" spans="1:8" x14ac:dyDescent="0.3">
      <c r="A1036" s="1" t="s">
        <v>552</v>
      </c>
      <c r="B1036" s="1" t="s">
        <v>553</v>
      </c>
      <c r="C1036" s="1">
        <v>2015</v>
      </c>
      <c r="D1036" s="1">
        <v>49710</v>
      </c>
      <c r="E1036" s="1">
        <v>193</v>
      </c>
      <c r="F1036" s="1">
        <v>364</v>
      </c>
      <c r="G1036" s="1">
        <v>3510784</v>
      </c>
      <c r="H1036" s="1">
        <v>0</v>
      </c>
    </row>
    <row r="1037" spans="1:8" x14ac:dyDescent="0.3">
      <c r="A1037" s="1" t="s">
        <v>554</v>
      </c>
      <c r="B1037" s="1" t="s">
        <v>555</v>
      </c>
      <c r="C1037" s="1">
        <v>2015</v>
      </c>
      <c r="D1037" s="1">
        <v>78136</v>
      </c>
      <c r="E1037" s="1">
        <v>276</v>
      </c>
      <c r="F1037" s="1">
        <v>1006</v>
      </c>
      <c r="G1037" s="1">
        <v>6592552</v>
      </c>
      <c r="H1037" s="1">
        <v>271</v>
      </c>
    </row>
    <row r="1038" spans="1:8" x14ac:dyDescent="0.3">
      <c r="A1038" s="1" t="s">
        <v>556</v>
      </c>
      <c r="B1038" s="1" t="s">
        <v>557</v>
      </c>
      <c r="C1038" s="1">
        <v>2015</v>
      </c>
      <c r="D1038" s="1">
        <v>31837</v>
      </c>
      <c r="E1038" s="1">
        <v>152</v>
      </c>
      <c r="F1038" s="1">
        <v>133</v>
      </c>
      <c r="G1038" s="1">
        <v>2922202</v>
      </c>
      <c r="H1038" s="1">
        <v>0</v>
      </c>
    </row>
    <row r="1039" spans="1:8" x14ac:dyDescent="0.3">
      <c r="A1039" s="1" t="s">
        <v>558</v>
      </c>
      <c r="B1039" s="1" t="s">
        <v>559</v>
      </c>
      <c r="C1039" s="1">
        <v>2015</v>
      </c>
      <c r="D1039" s="1">
        <v>34387</v>
      </c>
      <c r="E1039" s="1">
        <v>155</v>
      </c>
      <c r="F1039" s="1">
        <v>418</v>
      </c>
      <c r="G1039" s="1">
        <v>2496574</v>
      </c>
      <c r="H1039" s="1">
        <v>40</v>
      </c>
    </row>
    <row r="1040" spans="1:8" x14ac:dyDescent="0.3">
      <c r="A1040" s="1" t="s">
        <v>560</v>
      </c>
      <c r="B1040" s="1" t="s">
        <v>561</v>
      </c>
      <c r="C1040" s="1">
        <v>2015</v>
      </c>
      <c r="D1040" s="1">
        <v>141045</v>
      </c>
      <c r="E1040" s="1">
        <v>1159</v>
      </c>
      <c r="F1040" s="1">
        <v>1153</v>
      </c>
      <c r="G1040" s="1">
        <v>16981658</v>
      </c>
      <c r="H1040" s="1">
        <v>90</v>
      </c>
    </row>
    <row r="1041" spans="1:8" x14ac:dyDescent="0.3">
      <c r="A1041" s="1" t="s">
        <v>562</v>
      </c>
      <c r="B1041" s="1" t="s">
        <v>563</v>
      </c>
      <c r="C1041" s="1">
        <v>2015</v>
      </c>
      <c r="D1041" s="1">
        <v>28314</v>
      </c>
      <c r="E1041" s="1">
        <v>147</v>
      </c>
      <c r="F1041" s="1">
        <v>317</v>
      </c>
      <c r="G1041" s="1">
        <v>3603915</v>
      </c>
      <c r="H1041" s="1">
        <v>0</v>
      </c>
    </row>
    <row r="1042" spans="1:8" x14ac:dyDescent="0.3">
      <c r="A1042" s="1" t="s">
        <v>564</v>
      </c>
      <c r="B1042" s="1" t="s">
        <v>565</v>
      </c>
      <c r="C1042" s="1">
        <v>2015</v>
      </c>
      <c r="D1042" s="1">
        <v>22137</v>
      </c>
      <c r="E1042" s="1">
        <v>39</v>
      </c>
      <c r="F1042" s="1">
        <v>169</v>
      </c>
      <c r="G1042" s="1">
        <v>2659883</v>
      </c>
      <c r="H1042" s="1">
        <v>8</v>
      </c>
    </row>
    <row r="1043" spans="1:8" x14ac:dyDescent="0.3">
      <c r="A1043" s="1" t="s">
        <v>566</v>
      </c>
      <c r="B1043" s="1" t="s">
        <v>567</v>
      </c>
      <c r="C1043" s="1">
        <v>2015</v>
      </c>
      <c r="D1043" s="1">
        <v>58042</v>
      </c>
      <c r="E1043" s="1">
        <v>259</v>
      </c>
      <c r="F1043" s="1">
        <v>437</v>
      </c>
      <c r="G1043" s="1">
        <v>6160951</v>
      </c>
      <c r="H1043" s="1">
        <v>0</v>
      </c>
    </row>
    <row r="1044" spans="1:8" x14ac:dyDescent="0.3">
      <c r="A1044" s="1" t="s">
        <v>568</v>
      </c>
      <c r="B1044" s="1" t="s">
        <v>569</v>
      </c>
      <c r="C1044" s="1">
        <v>2015</v>
      </c>
      <c r="D1044" s="1">
        <v>47447</v>
      </c>
      <c r="E1044" s="1">
        <v>314</v>
      </c>
      <c r="F1044" s="1">
        <v>156</v>
      </c>
      <c r="G1044" s="1">
        <v>5199628</v>
      </c>
      <c r="H1044" s="1">
        <v>113</v>
      </c>
    </row>
    <row r="1045" spans="1:8" x14ac:dyDescent="0.3">
      <c r="A1045" s="1" t="s">
        <v>570</v>
      </c>
      <c r="B1045" s="1" t="s">
        <v>571</v>
      </c>
      <c r="C1045" s="1">
        <v>2015</v>
      </c>
      <c r="D1045" s="1">
        <v>30955</v>
      </c>
      <c r="E1045" s="1">
        <v>31</v>
      </c>
      <c r="F1045" s="1">
        <v>396</v>
      </c>
      <c r="G1045" s="1">
        <v>4132873</v>
      </c>
      <c r="H1045" s="1">
        <v>689</v>
      </c>
    </row>
    <row r="1046" spans="1:8" x14ac:dyDescent="0.3">
      <c r="A1046" s="1" t="s">
        <v>572</v>
      </c>
      <c r="B1046" s="1" t="s">
        <v>573</v>
      </c>
      <c r="C1046" s="1">
        <v>2015</v>
      </c>
      <c r="D1046" s="1">
        <v>91593</v>
      </c>
      <c r="E1046" s="1">
        <v>128</v>
      </c>
      <c r="F1046" s="1">
        <v>568</v>
      </c>
      <c r="G1046" s="1">
        <v>12876304</v>
      </c>
      <c r="H1046" s="1">
        <v>73</v>
      </c>
    </row>
    <row r="1047" spans="1:8" x14ac:dyDescent="0.3">
      <c r="A1047" s="1" t="s">
        <v>574</v>
      </c>
      <c r="B1047" s="1" t="s">
        <v>575</v>
      </c>
      <c r="C1047" s="1">
        <v>2015</v>
      </c>
      <c r="D1047" s="1">
        <v>22544</v>
      </c>
      <c r="E1047" s="1">
        <v>150</v>
      </c>
      <c r="F1047" s="1">
        <v>279</v>
      </c>
      <c r="G1047" s="1">
        <v>2584663</v>
      </c>
      <c r="H1047" s="1">
        <v>0</v>
      </c>
    </row>
    <row r="1048" spans="1:8" x14ac:dyDescent="0.3">
      <c r="A1048" s="1" t="s">
        <v>576</v>
      </c>
      <c r="B1048" s="1" t="s">
        <v>577</v>
      </c>
      <c r="C1048" s="1">
        <v>2015</v>
      </c>
      <c r="D1048" s="1">
        <v>49463</v>
      </c>
      <c r="E1048" s="1">
        <v>428</v>
      </c>
      <c r="F1048" s="1">
        <v>840</v>
      </c>
      <c r="G1048" s="1">
        <v>5027992</v>
      </c>
      <c r="H1048" s="1">
        <v>9</v>
      </c>
    </row>
    <row r="1049" spans="1:8" x14ac:dyDescent="0.3">
      <c r="A1049" s="1" t="s">
        <v>578</v>
      </c>
      <c r="B1049" s="1" t="s">
        <v>579</v>
      </c>
      <c r="C1049" s="1">
        <v>2015</v>
      </c>
      <c r="D1049" s="1">
        <v>70045</v>
      </c>
      <c r="E1049" s="1">
        <v>205</v>
      </c>
      <c r="F1049" s="1">
        <v>612</v>
      </c>
      <c r="G1049" s="1">
        <v>11172888</v>
      </c>
      <c r="H1049" s="1">
        <v>10</v>
      </c>
    </row>
    <row r="1050" spans="1:8" x14ac:dyDescent="0.3">
      <c r="A1050" s="1" t="s">
        <v>580</v>
      </c>
      <c r="B1050" s="1" t="s">
        <v>581</v>
      </c>
      <c r="C1050" s="1">
        <v>2015</v>
      </c>
      <c r="D1050" s="1">
        <v>19841</v>
      </c>
      <c r="E1050" s="1">
        <v>228</v>
      </c>
      <c r="F1050" s="1">
        <v>168</v>
      </c>
      <c r="G1050" s="1">
        <v>1236696</v>
      </c>
      <c r="H1050" s="1">
        <v>61</v>
      </c>
    </row>
    <row r="1051" spans="1:8" x14ac:dyDescent="0.3">
      <c r="A1051" s="1" t="s">
        <v>582</v>
      </c>
      <c r="B1051" s="1" t="s">
        <v>583</v>
      </c>
      <c r="C1051" s="1">
        <v>2015</v>
      </c>
      <c r="D1051" s="1">
        <v>24739</v>
      </c>
      <c r="E1051" s="1">
        <v>178</v>
      </c>
      <c r="F1051" s="1">
        <v>39</v>
      </c>
      <c r="G1051" s="1">
        <v>708727</v>
      </c>
      <c r="H1051" s="1">
        <v>0</v>
      </c>
    </row>
    <row r="1052" spans="1:8" x14ac:dyDescent="0.3">
      <c r="A1052" s="1" t="s">
        <v>584</v>
      </c>
      <c r="B1052" s="1" t="s">
        <v>585</v>
      </c>
      <c r="C1052" s="1">
        <v>2015</v>
      </c>
      <c r="D1052" s="1">
        <v>29778</v>
      </c>
      <c r="E1052" s="1">
        <v>213</v>
      </c>
      <c r="F1052" s="1">
        <v>65</v>
      </c>
      <c r="G1052" s="1">
        <v>637348</v>
      </c>
      <c r="H1052" s="1">
        <v>3</v>
      </c>
    </row>
    <row r="1053" spans="1:8" x14ac:dyDescent="0.3">
      <c r="A1053" s="1" t="s">
        <v>586</v>
      </c>
      <c r="B1053" s="1" t="s">
        <v>587</v>
      </c>
      <c r="C1053" s="1">
        <v>2015</v>
      </c>
      <c r="D1053" s="1">
        <v>10936</v>
      </c>
      <c r="E1053" s="1">
        <v>32</v>
      </c>
      <c r="F1053" s="1">
        <v>9</v>
      </c>
      <c r="G1053" s="1">
        <v>146117</v>
      </c>
      <c r="H1053" s="1">
        <v>0</v>
      </c>
    </row>
    <row r="1054" spans="1:8" x14ac:dyDescent="0.3">
      <c r="A1054" s="1" t="s">
        <v>588</v>
      </c>
      <c r="B1054" s="1" t="s">
        <v>589</v>
      </c>
      <c r="C1054" s="1">
        <v>2015</v>
      </c>
      <c r="D1054" s="1">
        <v>59255</v>
      </c>
      <c r="E1054" s="1">
        <v>853</v>
      </c>
      <c r="F1054" s="1">
        <v>4</v>
      </c>
      <c r="G1054" s="1">
        <v>348551</v>
      </c>
      <c r="H1054" s="1">
        <v>4</v>
      </c>
    </row>
    <row r="1055" spans="1:8" x14ac:dyDescent="0.3">
      <c r="A1055" s="1" t="s">
        <v>590</v>
      </c>
      <c r="B1055" s="1" t="s">
        <v>591</v>
      </c>
      <c r="C1055" s="1">
        <v>2015</v>
      </c>
      <c r="D1055" s="1">
        <v>29763</v>
      </c>
      <c r="E1055" s="1">
        <v>169</v>
      </c>
      <c r="F1055" s="1">
        <v>45</v>
      </c>
      <c r="G1055" s="1">
        <v>542639</v>
      </c>
      <c r="H1055" s="1">
        <v>8</v>
      </c>
    </row>
    <row r="1056" spans="1:8" x14ac:dyDescent="0.3">
      <c r="A1056" s="1" t="s">
        <v>592</v>
      </c>
      <c r="B1056" s="1" t="s">
        <v>593</v>
      </c>
      <c r="C1056" s="1">
        <v>2015</v>
      </c>
      <c r="D1056" s="1">
        <v>18571</v>
      </c>
      <c r="E1056" s="1">
        <v>66</v>
      </c>
      <c r="F1056" s="1">
        <v>18</v>
      </c>
      <c r="G1056" s="1">
        <v>273721</v>
      </c>
      <c r="H1056" s="1">
        <v>6</v>
      </c>
    </row>
    <row r="1057" spans="1:8" x14ac:dyDescent="0.3">
      <c r="A1057" s="1" t="s">
        <v>594</v>
      </c>
      <c r="B1057" s="1" t="s">
        <v>595</v>
      </c>
      <c r="C1057" s="1">
        <v>2015</v>
      </c>
      <c r="D1057" s="1">
        <v>40909</v>
      </c>
      <c r="E1057" s="1">
        <v>147</v>
      </c>
      <c r="F1057" s="1">
        <v>87</v>
      </c>
      <c r="G1057" s="1">
        <v>1678341</v>
      </c>
      <c r="H1057" s="1">
        <v>14</v>
      </c>
    </row>
    <row r="1058" spans="1:8" x14ac:dyDescent="0.3">
      <c r="A1058" s="1" t="s">
        <v>596</v>
      </c>
      <c r="B1058" s="1" t="s">
        <v>597</v>
      </c>
      <c r="C1058" s="1">
        <v>2015</v>
      </c>
      <c r="D1058" s="1">
        <v>14306</v>
      </c>
      <c r="E1058" s="1">
        <v>73</v>
      </c>
      <c r="F1058" s="1">
        <v>30</v>
      </c>
      <c r="G1058" s="1">
        <v>572989</v>
      </c>
      <c r="H1058" s="1">
        <v>0</v>
      </c>
    </row>
    <row r="1059" spans="1:8" x14ac:dyDescent="0.3">
      <c r="A1059" s="1" t="s">
        <v>598</v>
      </c>
      <c r="B1059" s="1" t="s">
        <v>599</v>
      </c>
      <c r="C1059" s="1">
        <v>2015</v>
      </c>
      <c r="D1059" s="1">
        <v>25580</v>
      </c>
      <c r="E1059" s="1">
        <v>103</v>
      </c>
      <c r="F1059" s="1">
        <v>54</v>
      </c>
      <c r="G1059" s="1">
        <v>673284</v>
      </c>
      <c r="H1059" s="1">
        <v>0</v>
      </c>
    </row>
    <row r="1060" spans="1:8" x14ac:dyDescent="0.3">
      <c r="A1060" s="1" t="s">
        <v>600</v>
      </c>
      <c r="B1060" s="1" t="s">
        <v>601</v>
      </c>
      <c r="C1060" s="1">
        <v>2015</v>
      </c>
      <c r="D1060" s="1">
        <v>30325</v>
      </c>
      <c r="E1060" s="1">
        <v>128</v>
      </c>
      <c r="F1060" s="1">
        <v>98</v>
      </c>
      <c r="G1060" s="1">
        <v>1754122</v>
      </c>
      <c r="H1060" s="1">
        <v>0</v>
      </c>
    </row>
    <row r="1061" spans="1:8" x14ac:dyDescent="0.3">
      <c r="A1061" s="1" t="s">
        <v>602</v>
      </c>
      <c r="B1061" s="1" t="s">
        <v>603</v>
      </c>
      <c r="C1061" s="1">
        <v>2015</v>
      </c>
      <c r="D1061" s="1">
        <v>32232</v>
      </c>
      <c r="E1061" s="1">
        <v>237</v>
      </c>
      <c r="F1061" s="1">
        <v>148</v>
      </c>
      <c r="G1061" s="1">
        <v>2567782</v>
      </c>
      <c r="H1061" s="1">
        <v>0</v>
      </c>
    </row>
    <row r="1062" spans="1:8" x14ac:dyDescent="0.3">
      <c r="A1062" s="1" t="s">
        <v>604</v>
      </c>
      <c r="B1062" s="1" t="s">
        <v>605</v>
      </c>
      <c r="C1062" s="1">
        <v>2015</v>
      </c>
      <c r="D1062" s="1">
        <v>23563</v>
      </c>
      <c r="E1062" s="1">
        <v>155</v>
      </c>
      <c r="F1062" s="1">
        <v>40</v>
      </c>
      <c r="G1062" s="1">
        <v>584261</v>
      </c>
      <c r="H1062" s="1">
        <v>0</v>
      </c>
    </row>
    <row r="1063" spans="1:8" x14ac:dyDescent="0.3">
      <c r="A1063" s="1" t="s">
        <v>606</v>
      </c>
      <c r="B1063" s="1" t="s">
        <v>607</v>
      </c>
      <c r="C1063" s="1">
        <v>2015</v>
      </c>
      <c r="D1063" s="1">
        <v>16183</v>
      </c>
      <c r="E1063" s="1">
        <v>112</v>
      </c>
      <c r="F1063" s="1">
        <v>33</v>
      </c>
      <c r="G1063" s="1">
        <v>211661</v>
      </c>
      <c r="H1063" s="1">
        <v>19</v>
      </c>
    </row>
    <row r="1064" spans="1:8" x14ac:dyDescent="0.3">
      <c r="A1064" s="1" t="s">
        <v>608</v>
      </c>
      <c r="B1064" s="1" t="s">
        <v>609</v>
      </c>
      <c r="C1064" s="1">
        <v>2015</v>
      </c>
      <c r="D1064" s="1">
        <v>82929</v>
      </c>
      <c r="E1064" s="1">
        <v>943</v>
      </c>
      <c r="F1064" s="1">
        <v>1285</v>
      </c>
      <c r="G1064" s="1">
        <v>4314782</v>
      </c>
      <c r="H1064" s="1">
        <v>45</v>
      </c>
    </row>
    <row r="1065" spans="1:8" x14ac:dyDescent="0.3">
      <c r="A1065" s="1" t="s">
        <v>610</v>
      </c>
      <c r="B1065" s="1" t="s">
        <v>611</v>
      </c>
      <c r="C1065" s="1">
        <v>2015</v>
      </c>
      <c r="D1065" s="1">
        <v>20713</v>
      </c>
      <c r="E1065" s="1">
        <v>69</v>
      </c>
      <c r="F1065" s="1">
        <v>150</v>
      </c>
      <c r="G1065" s="1">
        <v>2962765</v>
      </c>
      <c r="H1065" s="1">
        <v>69</v>
      </c>
    </row>
    <row r="1066" spans="1:8" x14ac:dyDescent="0.3">
      <c r="A1066" s="1" t="s">
        <v>612</v>
      </c>
      <c r="B1066" s="1" t="s">
        <v>613</v>
      </c>
      <c r="C1066" s="1">
        <v>2015</v>
      </c>
      <c r="D1066" s="1">
        <v>14173</v>
      </c>
      <c r="E1066" s="1">
        <v>32</v>
      </c>
      <c r="F1066" s="1">
        <v>126</v>
      </c>
      <c r="G1066" s="1">
        <v>1645451</v>
      </c>
      <c r="H1066" s="1">
        <v>7</v>
      </c>
    </row>
    <row r="1067" spans="1:8" x14ac:dyDescent="0.3">
      <c r="A1067" s="1" t="s">
        <v>614</v>
      </c>
      <c r="B1067" s="1" t="s">
        <v>615</v>
      </c>
      <c r="C1067" s="1">
        <v>2015</v>
      </c>
      <c r="D1067" s="1">
        <v>21432</v>
      </c>
      <c r="E1067" s="1">
        <v>239</v>
      </c>
      <c r="F1067" s="1">
        <v>201</v>
      </c>
      <c r="G1067" s="1">
        <v>1563912</v>
      </c>
      <c r="H1067" s="1">
        <v>4</v>
      </c>
    </row>
    <row r="1068" spans="1:8" x14ac:dyDescent="0.3">
      <c r="A1068" s="1" t="s">
        <v>616</v>
      </c>
      <c r="B1068" s="1" t="s">
        <v>617</v>
      </c>
      <c r="C1068" s="1">
        <v>2015</v>
      </c>
      <c r="D1068" s="1">
        <v>17974</v>
      </c>
      <c r="E1068" s="1">
        <v>157</v>
      </c>
      <c r="F1068" s="1">
        <v>90</v>
      </c>
      <c r="G1068" s="1">
        <v>822249</v>
      </c>
      <c r="H1068" s="1">
        <v>0</v>
      </c>
    </row>
    <row r="1069" spans="1:8" x14ac:dyDescent="0.3">
      <c r="A1069" s="1" t="s">
        <v>618</v>
      </c>
      <c r="B1069" s="1" t="s">
        <v>619</v>
      </c>
      <c r="C1069" s="1">
        <v>2015</v>
      </c>
      <c r="D1069" s="1">
        <v>31599</v>
      </c>
      <c r="E1069" s="1">
        <v>397</v>
      </c>
      <c r="F1069" s="1">
        <v>392</v>
      </c>
      <c r="G1069" s="1">
        <v>2050546</v>
      </c>
      <c r="H1069" s="1">
        <v>61</v>
      </c>
    </row>
    <row r="1070" spans="1:8" x14ac:dyDescent="0.3">
      <c r="A1070" s="1" t="s">
        <v>620</v>
      </c>
      <c r="B1070" s="1" t="s">
        <v>621</v>
      </c>
      <c r="C1070" s="1">
        <v>2015</v>
      </c>
      <c r="D1070" s="1">
        <v>20481</v>
      </c>
      <c r="E1070" s="1">
        <v>49</v>
      </c>
      <c r="F1070" s="1">
        <v>330</v>
      </c>
      <c r="G1070" s="1">
        <v>2305000</v>
      </c>
      <c r="H1070" s="1">
        <v>0</v>
      </c>
    </row>
    <row r="1071" spans="1:8" x14ac:dyDescent="0.3">
      <c r="A1071" s="1" t="s">
        <v>622</v>
      </c>
      <c r="B1071" s="1" t="s">
        <v>623</v>
      </c>
      <c r="C1071" s="1">
        <v>2015</v>
      </c>
      <c r="D1071" s="1">
        <v>29463</v>
      </c>
      <c r="E1071" s="1">
        <v>348</v>
      </c>
      <c r="F1071" s="1">
        <v>340</v>
      </c>
      <c r="G1071" s="1">
        <v>1290332</v>
      </c>
      <c r="H1071" s="1">
        <v>0</v>
      </c>
    </row>
    <row r="1072" spans="1:8" x14ac:dyDescent="0.3">
      <c r="A1072" s="1" t="s">
        <v>624</v>
      </c>
      <c r="B1072" s="1" t="s">
        <v>625</v>
      </c>
      <c r="C1072" s="1">
        <v>2015</v>
      </c>
      <c r="D1072" s="1">
        <v>23491</v>
      </c>
      <c r="E1072" s="1">
        <v>68</v>
      </c>
      <c r="F1072" s="1">
        <v>212</v>
      </c>
      <c r="G1072" s="1">
        <v>2392713</v>
      </c>
      <c r="H1072" s="1">
        <v>51</v>
      </c>
    </row>
    <row r="1073" spans="1:8" x14ac:dyDescent="0.3">
      <c r="A1073" s="1" t="s">
        <v>626</v>
      </c>
      <c r="B1073" s="1" t="s">
        <v>627</v>
      </c>
      <c r="C1073" s="1">
        <v>2015</v>
      </c>
      <c r="D1073" s="1">
        <v>14851</v>
      </c>
      <c r="E1073" s="1">
        <v>78</v>
      </c>
      <c r="F1073" s="1">
        <v>117</v>
      </c>
      <c r="G1073" s="1">
        <v>1597029</v>
      </c>
      <c r="H1073" s="1">
        <v>0</v>
      </c>
    </row>
    <row r="1074" spans="1:8" x14ac:dyDescent="0.3">
      <c r="A1074" s="1" t="s">
        <v>628</v>
      </c>
      <c r="B1074" s="1" t="s">
        <v>629</v>
      </c>
      <c r="C1074" s="1">
        <v>2015</v>
      </c>
      <c r="D1074" s="1">
        <v>17805</v>
      </c>
      <c r="E1074" s="1">
        <v>148</v>
      </c>
      <c r="F1074" s="1">
        <v>172</v>
      </c>
      <c r="G1074" s="1">
        <v>2008038</v>
      </c>
      <c r="H1074" s="1">
        <v>11</v>
      </c>
    </row>
    <row r="1075" spans="1:8" x14ac:dyDescent="0.3">
      <c r="A1075" s="1" t="s">
        <v>630</v>
      </c>
      <c r="B1075" s="1" t="s">
        <v>631</v>
      </c>
      <c r="C1075" s="1">
        <v>2015</v>
      </c>
      <c r="D1075" s="1">
        <v>10594</v>
      </c>
      <c r="E1075" s="1">
        <v>79</v>
      </c>
      <c r="F1075" s="1">
        <v>81</v>
      </c>
      <c r="G1075" s="1">
        <v>573192</v>
      </c>
      <c r="H1075" s="1">
        <v>1</v>
      </c>
    </row>
    <row r="1076" spans="1:8" x14ac:dyDescent="0.3">
      <c r="A1076" s="1" t="s">
        <v>632</v>
      </c>
      <c r="B1076" s="1" t="s">
        <v>633</v>
      </c>
      <c r="C1076" s="1">
        <v>2015</v>
      </c>
      <c r="D1076" s="1">
        <v>13387</v>
      </c>
      <c r="E1076" s="1">
        <v>82</v>
      </c>
      <c r="F1076" s="1">
        <v>46</v>
      </c>
      <c r="G1076" s="1">
        <v>549049</v>
      </c>
      <c r="H1076" s="1">
        <v>19</v>
      </c>
    </row>
    <row r="1077" spans="1:8" x14ac:dyDescent="0.3">
      <c r="A1077" s="1" t="s">
        <v>634</v>
      </c>
      <c r="B1077" s="1" t="s">
        <v>635</v>
      </c>
      <c r="C1077" s="1">
        <v>2015</v>
      </c>
      <c r="D1077" s="1">
        <v>11709</v>
      </c>
      <c r="E1077" s="1">
        <v>104</v>
      </c>
      <c r="F1077" s="1">
        <v>120</v>
      </c>
      <c r="G1077" s="1">
        <v>1485665</v>
      </c>
      <c r="H1077" s="1">
        <v>25</v>
      </c>
    </row>
    <row r="1078" spans="1:8" x14ac:dyDescent="0.3">
      <c r="A1078" s="1" t="s">
        <v>636</v>
      </c>
      <c r="B1078" s="1" t="s">
        <v>637</v>
      </c>
      <c r="C1078" s="1">
        <v>2015</v>
      </c>
      <c r="D1078" s="1">
        <v>40428</v>
      </c>
      <c r="E1078" s="1">
        <v>856</v>
      </c>
      <c r="F1078" s="1">
        <v>490</v>
      </c>
      <c r="G1078" s="1">
        <v>2960629</v>
      </c>
      <c r="H1078" s="1">
        <v>72</v>
      </c>
    </row>
    <row r="1079" spans="1:8" x14ac:dyDescent="0.3">
      <c r="A1079" s="1" t="s">
        <v>638</v>
      </c>
      <c r="B1079" s="1" t="s">
        <v>639</v>
      </c>
      <c r="C1079" s="1">
        <v>2015</v>
      </c>
      <c r="D1079" s="1">
        <v>35985</v>
      </c>
      <c r="E1079" s="1">
        <v>307</v>
      </c>
      <c r="F1079" s="1">
        <v>377</v>
      </c>
      <c r="G1079" s="1">
        <v>1961626</v>
      </c>
      <c r="H1079" s="1">
        <v>68</v>
      </c>
    </row>
    <row r="1080" spans="1:8" x14ac:dyDescent="0.3">
      <c r="A1080" s="1" t="s">
        <v>640</v>
      </c>
      <c r="B1080" s="1" t="s">
        <v>641</v>
      </c>
      <c r="C1080" s="1">
        <v>2015</v>
      </c>
      <c r="D1080" s="1">
        <v>18931</v>
      </c>
      <c r="E1080" s="1">
        <v>132</v>
      </c>
      <c r="F1080" s="1">
        <v>159</v>
      </c>
      <c r="G1080" s="1">
        <v>2143764</v>
      </c>
      <c r="H1080" s="1">
        <v>18</v>
      </c>
    </row>
    <row r="1081" spans="1:8" x14ac:dyDescent="0.3">
      <c r="A1081" s="1" t="s">
        <v>642</v>
      </c>
      <c r="B1081" s="1" t="s">
        <v>643</v>
      </c>
      <c r="C1081" s="1">
        <v>2015</v>
      </c>
      <c r="D1081" s="1">
        <v>22561</v>
      </c>
      <c r="E1081" s="1">
        <v>279</v>
      </c>
      <c r="F1081" s="1">
        <v>167</v>
      </c>
      <c r="G1081" s="1">
        <v>1117451</v>
      </c>
      <c r="H1081" s="1">
        <v>2</v>
      </c>
    </row>
    <row r="1082" spans="1:8" x14ac:dyDescent="0.3">
      <c r="A1082" s="1" t="s">
        <v>644</v>
      </c>
      <c r="B1082" s="1" t="s">
        <v>645</v>
      </c>
      <c r="C1082" s="1">
        <v>2015</v>
      </c>
      <c r="D1082" s="1">
        <v>8988</v>
      </c>
      <c r="E1082" s="1">
        <v>46</v>
      </c>
      <c r="F1082" s="1">
        <v>112</v>
      </c>
      <c r="G1082" s="1">
        <v>2106652</v>
      </c>
      <c r="H1082" s="1">
        <v>5</v>
      </c>
    </row>
    <row r="1083" spans="1:8" x14ac:dyDescent="0.3">
      <c r="A1083" s="1" t="s">
        <v>646</v>
      </c>
      <c r="B1083" s="1" t="s">
        <v>647</v>
      </c>
      <c r="C1083" s="1">
        <v>2015</v>
      </c>
      <c r="D1083" s="1">
        <v>8343</v>
      </c>
      <c r="E1083" s="1">
        <v>23</v>
      </c>
      <c r="F1083" s="1">
        <v>53</v>
      </c>
      <c r="G1083" s="1">
        <v>909127</v>
      </c>
      <c r="H1083" s="1">
        <v>42</v>
      </c>
    </row>
    <row r="1084" spans="1:8" x14ac:dyDescent="0.3">
      <c r="A1084" s="1" t="s">
        <v>648</v>
      </c>
      <c r="B1084" s="1" t="s">
        <v>649</v>
      </c>
      <c r="C1084" s="1">
        <v>2015</v>
      </c>
      <c r="D1084" s="1">
        <v>46171</v>
      </c>
      <c r="E1084" s="1">
        <v>117</v>
      </c>
      <c r="F1084" s="1">
        <v>610</v>
      </c>
      <c r="G1084" s="1">
        <v>6545323</v>
      </c>
      <c r="H1084" s="1">
        <v>0</v>
      </c>
    </row>
    <row r="1085" spans="1:8" x14ac:dyDescent="0.3">
      <c r="A1085" s="1" t="s">
        <v>650</v>
      </c>
      <c r="B1085" s="1" t="s">
        <v>651</v>
      </c>
      <c r="C1085" s="1">
        <v>2015</v>
      </c>
      <c r="D1085" s="1">
        <v>76138</v>
      </c>
      <c r="E1085" s="1">
        <v>700</v>
      </c>
      <c r="F1085" s="1">
        <v>1804</v>
      </c>
      <c r="G1085" s="1">
        <v>6294733</v>
      </c>
      <c r="H1085" s="1">
        <v>11</v>
      </c>
    </row>
    <row r="1086" spans="1:8" x14ac:dyDescent="0.3">
      <c r="A1086" s="1" t="s">
        <v>652</v>
      </c>
      <c r="B1086" s="1" t="s">
        <v>653</v>
      </c>
      <c r="C1086" s="1">
        <v>2015</v>
      </c>
      <c r="D1086" s="1">
        <v>14553</v>
      </c>
      <c r="E1086" s="1">
        <v>72</v>
      </c>
      <c r="F1086" s="1">
        <v>65</v>
      </c>
      <c r="G1086" s="1">
        <v>1203419</v>
      </c>
      <c r="H1086" s="1">
        <v>4</v>
      </c>
    </row>
    <row r="1087" spans="1:8" x14ac:dyDescent="0.3">
      <c r="A1087" s="1" t="s">
        <v>654</v>
      </c>
      <c r="B1087" s="1" t="s">
        <v>655</v>
      </c>
      <c r="C1087" s="1">
        <v>2015</v>
      </c>
      <c r="D1087" s="1">
        <v>26991</v>
      </c>
      <c r="E1087" s="1">
        <v>226</v>
      </c>
      <c r="F1087" s="1">
        <v>173</v>
      </c>
      <c r="G1087" s="1">
        <v>1663153</v>
      </c>
      <c r="H1087" s="1">
        <v>27</v>
      </c>
    </row>
    <row r="1088" spans="1:8" x14ac:dyDescent="0.3">
      <c r="A1088" s="1" t="s">
        <v>656</v>
      </c>
      <c r="B1088" s="1" t="s">
        <v>657</v>
      </c>
      <c r="C1088" s="1">
        <v>2015</v>
      </c>
      <c r="D1088" s="1">
        <v>48265</v>
      </c>
      <c r="E1088" s="1">
        <v>622</v>
      </c>
      <c r="F1088" s="1">
        <v>209</v>
      </c>
      <c r="G1088" s="1">
        <v>8160009</v>
      </c>
      <c r="H1088" s="1">
        <v>13</v>
      </c>
    </row>
    <row r="1089" spans="1:8" x14ac:dyDescent="0.3">
      <c r="A1089" s="1" t="s">
        <v>658</v>
      </c>
      <c r="B1089" s="1" t="s">
        <v>659</v>
      </c>
      <c r="C1089" s="1">
        <v>2015</v>
      </c>
      <c r="D1089" s="1">
        <v>21311</v>
      </c>
      <c r="E1089" s="1">
        <v>221</v>
      </c>
      <c r="F1089" s="1">
        <v>102</v>
      </c>
      <c r="G1089" s="1">
        <v>1336096</v>
      </c>
      <c r="H1089" s="1">
        <v>4</v>
      </c>
    </row>
    <row r="1090" spans="1:8" x14ac:dyDescent="0.3">
      <c r="A1090" s="1" t="s">
        <v>660</v>
      </c>
      <c r="B1090" s="1" t="s">
        <v>292</v>
      </c>
      <c r="C1090" s="1">
        <v>2015</v>
      </c>
      <c r="D1090" s="1">
        <v>14272</v>
      </c>
      <c r="E1090" s="1">
        <v>232</v>
      </c>
      <c r="F1090" s="1">
        <v>85</v>
      </c>
      <c r="G1090" s="1">
        <v>894686</v>
      </c>
      <c r="H1090" s="1">
        <v>1</v>
      </c>
    </row>
    <row r="1091" spans="1:8" x14ac:dyDescent="0.3">
      <c r="A1091" s="1" t="s">
        <v>661</v>
      </c>
      <c r="B1091" s="1" t="s">
        <v>662</v>
      </c>
      <c r="C1091" s="1">
        <v>2015</v>
      </c>
      <c r="D1091" s="1">
        <v>20917</v>
      </c>
      <c r="E1091" s="1">
        <v>138</v>
      </c>
      <c r="F1091" s="1">
        <v>47</v>
      </c>
      <c r="G1091" s="1">
        <v>1155327</v>
      </c>
      <c r="H1091" s="1">
        <v>1</v>
      </c>
    </row>
    <row r="1092" spans="1:8" x14ac:dyDescent="0.3">
      <c r="A1092" s="1" t="s">
        <v>663</v>
      </c>
      <c r="B1092" s="1" t="s">
        <v>664</v>
      </c>
      <c r="C1092" s="1">
        <v>2015</v>
      </c>
      <c r="D1092" s="1">
        <v>22743</v>
      </c>
      <c r="E1092" s="1">
        <v>238</v>
      </c>
      <c r="F1092" s="1">
        <v>17</v>
      </c>
      <c r="G1092" s="1">
        <v>278251</v>
      </c>
      <c r="H1092" s="1">
        <v>12</v>
      </c>
    </row>
    <row r="1093" spans="1:8" x14ac:dyDescent="0.3">
      <c r="A1093" s="1" t="s">
        <v>665</v>
      </c>
      <c r="B1093" s="1" t="s">
        <v>666</v>
      </c>
      <c r="C1093" s="1">
        <v>2015</v>
      </c>
      <c r="D1093" s="1">
        <v>16773</v>
      </c>
      <c r="E1093" s="1">
        <v>154</v>
      </c>
      <c r="F1093" s="1">
        <v>8</v>
      </c>
      <c r="G1093" s="1">
        <v>660184</v>
      </c>
      <c r="H1093" s="1">
        <v>0</v>
      </c>
    </row>
    <row r="1094" spans="1:8" x14ac:dyDescent="0.3">
      <c r="A1094" s="1" t="s">
        <v>667</v>
      </c>
      <c r="B1094" s="1" t="s">
        <v>668</v>
      </c>
      <c r="C1094" s="1">
        <v>2015</v>
      </c>
      <c r="D1094" s="1">
        <v>28876</v>
      </c>
      <c r="E1094" s="1">
        <v>195</v>
      </c>
      <c r="F1094" s="1">
        <v>69</v>
      </c>
      <c r="G1094" s="1">
        <v>1880211</v>
      </c>
      <c r="H1094" s="1">
        <v>85</v>
      </c>
    </row>
    <row r="1095" spans="1:8" x14ac:dyDescent="0.3">
      <c r="A1095" s="1" t="s">
        <v>669</v>
      </c>
      <c r="B1095" s="1" t="s">
        <v>670</v>
      </c>
      <c r="C1095" s="1">
        <v>2015</v>
      </c>
      <c r="D1095" s="1">
        <v>35812</v>
      </c>
      <c r="E1095" s="1">
        <v>483</v>
      </c>
      <c r="F1095" s="1">
        <v>34</v>
      </c>
      <c r="G1095" s="1">
        <v>665137</v>
      </c>
      <c r="H1095" s="1">
        <v>29</v>
      </c>
    </row>
    <row r="1096" spans="1:8" x14ac:dyDescent="0.3">
      <c r="A1096" s="1" t="s">
        <v>671</v>
      </c>
      <c r="B1096" s="1" t="s">
        <v>672</v>
      </c>
      <c r="C1096" s="1">
        <v>2015</v>
      </c>
      <c r="D1096" s="1">
        <v>24072</v>
      </c>
      <c r="E1096" s="1">
        <v>241</v>
      </c>
      <c r="F1096" s="1">
        <v>138</v>
      </c>
      <c r="G1096" s="1">
        <v>2330359</v>
      </c>
      <c r="H1096" s="1">
        <v>14</v>
      </c>
    </row>
    <row r="1097" spans="1:8" x14ac:dyDescent="0.3">
      <c r="A1097" s="1" t="s">
        <v>673</v>
      </c>
      <c r="B1097" s="1" t="s">
        <v>674</v>
      </c>
      <c r="C1097" s="1">
        <v>2015</v>
      </c>
      <c r="D1097" s="1">
        <v>23008</v>
      </c>
      <c r="E1097" s="1">
        <v>188</v>
      </c>
      <c r="F1097" s="1">
        <v>160</v>
      </c>
      <c r="G1097" s="1">
        <v>2099869</v>
      </c>
      <c r="H1097" s="1">
        <v>0</v>
      </c>
    </row>
    <row r="1098" spans="1:8" x14ac:dyDescent="0.3">
      <c r="A1098" s="1" t="s">
        <v>675</v>
      </c>
      <c r="B1098" s="1" t="s">
        <v>676</v>
      </c>
      <c r="C1098" s="1">
        <v>2015</v>
      </c>
      <c r="D1098" s="1">
        <v>14901</v>
      </c>
      <c r="E1098" s="1">
        <v>362</v>
      </c>
      <c r="F1098" s="1">
        <v>31</v>
      </c>
      <c r="G1098" s="1">
        <v>234221</v>
      </c>
      <c r="H1098" s="1">
        <v>5</v>
      </c>
    </row>
    <row r="1099" spans="1:8" x14ac:dyDescent="0.3">
      <c r="A1099" s="1" t="s">
        <v>677</v>
      </c>
      <c r="B1099" s="1" t="s">
        <v>678</v>
      </c>
      <c r="C1099" s="1">
        <v>2015</v>
      </c>
      <c r="D1099" s="1">
        <v>12249</v>
      </c>
      <c r="E1099" s="1">
        <v>136</v>
      </c>
      <c r="F1099" s="1">
        <v>97</v>
      </c>
      <c r="G1099" s="1">
        <v>953758</v>
      </c>
      <c r="H1099" s="1">
        <v>31</v>
      </c>
    </row>
    <row r="1100" spans="1:8" x14ac:dyDescent="0.3">
      <c r="A1100" s="1" t="s">
        <v>679</v>
      </c>
      <c r="B1100" s="1" t="s">
        <v>680</v>
      </c>
      <c r="C1100" s="1">
        <v>2015</v>
      </c>
      <c r="D1100" s="1">
        <v>23059</v>
      </c>
      <c r="E1100" s="1">
        <v>334</v>
      </c>
      <c r="F1100" s="1">
        <v>187</v>
      </c>
      <c r="G1100" s="1">
        <v>597194</v>
      </c>
      <c r="H1100" s="1">
        <v>24</v>
      </c>
    </row>
    <row r="1101" spans="1:8" x14ac:dyDescent="0.3">
      <c r="A1101" s="1" t="s">
        <v>681</v>
      </c>
      <c r="B1101" s="1" t="s">
        <v>682</v>
      </c>
      <c r="C1101" s="1">
        <v>2015</v>
      </c>
      <c r="D1101" s="1">
        <v>18612</v>
      </c>
      <c r="E1101" s="1">
        <v>242</v>
      </c>
      <c r="F1101" s="1">
        <v>147</v>
      </c>
      <c r="G1101" s="1">
        <v>1047820</v>
      </c>
      <c r="H1101" s="1">
        <v>6</v>
      </c>
    </row>
    <row r="1102" spans="1:8" x14ac:dyDescent="0.3">
      <c r="A1102" s="1" t="s">
        <v>683</v>
      </c>
      <c r="B1102" s="1" t="s">
        <v>314</v>
      </c>
      <c r="C1102" s="1">
        <v>2015</v>
      </c>
      <c r="D1102" s="1">
        <v>50567</v>
      </c>
      <c r="E1102" s="1">
        <v>440</v>
      </c>
      <c r="F1102" s="1">
        <v>181</v>
      </c>
      <c r="G1102" s="1">
        <v>4646215</v>
      </c>
      <c r="H1102" s="1">
        <v>86</v>
      </c>
    </row>
    <row r="1103" spans="1:8" x14ac:dyDescent="0.3">
      <c r="A1103" s="1" t="s">
        <v>684</v>
      </c>
      <c r="B1103" s="1" t="s">
        <v>685</v>
      </c>
      <c r="C1103" s="1">
        <v>2015</v>
      </c>
      <c r="D1103" s="1">
        <v>16527</v>
      </c>
      <c r="E1103" s="1">
        <v>184</v>
      </c>
      <c r="F1103" s="1">
        <v>56</v>
      </c>
      <c r="G1103" s="1">
        <v>810167</v>
      </c>
      <c r="H1103" s="1">
        <v>0</v>
      </c>
    </row>
    <row r="1104" spans="1:8" x14ac:dyDescent="0.3">
      <c r="A1104" s="1" t="s">
        <v>686</v>
      </c>
      <c r="B1104" s="1" t="s">
        <v>687</v>
      </c>
      <c r="C1104" s="1">
        <v>2015</v>
      </c>
      <c r="D1104" s="1">
        <v>45289</v>
      </c>
      <c r="E1104" s="1">
        <v>236</v>
      </c>
      <c r="F1104" s="1">
        <v>377</v>
      </c>
      <c r="G1104" s="1">
        <v>4857999</v>
      </c>
      <c r="H1104" s="1">
        <v>46</v>
      </c>
    </row>
    <row r="1105" spans="1:8" x14ac:dyDescent="0.3">
      <c r="A1105" s="1" t="s">
        <v>688</v>
      </c>
      <c r="B1105" s="1" t="s">
        <v>689</v>
      </c>
      <c r="C1105" s="1">
        <v>2015</v>
      </c>
      <c r="D1105" s="1">
        <v>18295</v>
      </c>
      <c r="E1105" s="1">
        <v>212</v>
      </c>
      <c r="F1105" s="1">
        <v>94</v>
      </c>
      <c r="G1105" s="1">
        <v>1615413</v>
      </c>
      <c r="H1105" s="1">
        <v>2</v>
      </c>
    </row>
    <row r="1106" spans="1:8" x14ac:dyDescent="0.3">
      <c r="A1106" s="1" t="s">
        <v>690</v>
      </c>
      <c r="B1106" s="1" t="s">
        <v>691</v>
      </c>
      <c r="C1106" s="1">
        <v>2015</v>
      </c>
      <c r="D1106" s="1">
        <v>121057</v>
      </c>
      <c r="E1106" s="1">
        <v>3815</v>
      </c>
      <c r="F1106" s="1">
        <v>2066</v>
      </c>
      <c r="G1106" s="1">
        <v>3851283</v>
      </c>
      <c r="H1106" s="1">
        <v>8</v>
      </c>
    </row>
    <row r="1107" spans="1:8" x14ac:dyDescent="0.3">
      <c r="A1107" s="1" t="s">
        <v>692</v>
      </c>
      <c r="B1107" s="1" t="s">
        <v>693</v>
      </c>
      <c r="C1107" s="1">
        <v>2015</v>
      </c>
      <c r="D1107" s="1">
        <v>18811</v>
      </c>
      <c r="E1107" s="1">
        <v>186</v>
      </c>
      <c r="F1107" s="1">
        <v>86</v>
      </c>
      <c r="G1107" s="1">
        <v>1036539</v>
      </c>
      <c r="H1107" s="1">
        <v>0</v>
      </c>
    </row>
    <row r="1108" spans="1:8" x14ac:dyDescent="0.3">
      <c r="A1108" s="1" t="s">
        <v>694</v>
      </c>
      <c r="B1108" s="1" t="s">
        <v>695</v>
      </c>
      <c r="C1108" s="1">
        <v>2015</v>
      </c>
      <c r="D1108" s="1">
        <v>18300</v>
      </c>
      <c r="E1108" s="1">
        <v>200</v>
      </c>
      <c r="F1108" s="1">
        <v>59</v>
      </c>
      <c r="G1108" s="1">
        <v>1101968</v>
      </c>
      <c r="H1108" s="1">
        <v>6</v>
      </c>
    </row>
    <row r="1109" spans="1:8" x14ac:dyDescent="0.3">
      <c r="A1109" s="1" t="s">
        <v>696</v>
      </c>
      <c r="B1109" s="1" t="s">
        <v>697</v>
      </c>
      <c r="C1109" s="1">
        <v>2015</v>
      </c>
      <c r="D1109" s="1">
        <v>28426</v>
      </c>
      <c r="E1109" s="1">
        <v>392</v>
      </c>
      <c r="F1109" s="1">
        <v>41</v>
      </c>
      <c r="G1109" s="1">
        <v>1753823</v>
      </c>
      <c r="H1109" s="1">
        <v>55</v>
      </c>
    </row>
    <row r="1110" spans="1:8" x14ac:dyDescent="0.3">
      <c r="A1110" s="1" t="s">
        <v>698</v>
      </c>
      <c r="B1110" s="1" t="s">
        <v>45</v>
      </c>
      <c r="C1110" s="1">
        <v>2015</v>
      </c>
      <c r="D1110" s="1">
        <v>17670</v>
      </c>
      <c r="E1110" s="1">
        <v>318</v>
      </c>
      <c r="F1110" s="1">
        <v>73</v>
      </c>
      <c r="G1110" s="1">
        <v>582677</v>
      </c>
      <c r="H1110" s="1">
        <v>4</v>
      </c>
    </row>
    <row r="1111" spans="1:8" x14ac:dyDescent="0.3">
      <c r="A1111" s="1" t="s">
        <v>699</v>
      </c>
      <c r="B1111" s="1" t="s">
        <v>700</v>
      </c>
      <c r="C1111" s="1">
        <v>2015</v>
      </c>
      <c r="D1111" s="1">
        <v>18986</v>
      </c>
      <c r="E1111" s="1">
        <v>352</v>
      </c>
      <c r="F1111" s="1">
        <v>86</v>
      </c>
      <c r="G1111" s="1">
        <v>1984256</v>
      </c>
      <c r="H1111" s="1">
        <v>0</v>
      </c>
    </row>
    <row r="1112" spans="1:8" x14ac:dyDescent="0.3">
      <c r="A1112" s="1" t="s">
        <v>701</v>
      </c>
      <c r="B1112" s="1" t="s">
        <v>702</v>
      </c>
      <c r="C1112" s="1">
        <v>2015</v>
      </c>
      <c r="D1112" s="1">
        <v>26078</v>
      </c>
      <c r="E1112" s="1">
        <v>176</v>
      </c>
      <c r="F1112" s="1">
        <v>100</v>
      </c>
      <c r="G1112" s="1">
        <v>1042348</v>
      </c>
      <c r="H1112" s="1">
        <v>0</v>
      </c>
    </row>
    <row r="1113" spans="1:8" x14ac:dyDescent="0.3">
      <c r="A1113" s="1" t="s">
        <v>703</v>
      </c>
      <c r="B1113" s="1" t="s">
        <v>704</v>
      </c>
      <c r="C1113" s="1">
        <v>2015</v>
      </c>
      <c r="D1113" s="1">
        <v>21654</v>
      </c>
      <c r="E1113" s="1">
        <v>397</v>
      </c>
      <c r="F1113" s="1">
        <v>182</v>
      </c>
      <c r="G1113" s="1">
        <v>1910804</v>
      </c>
      <c r="H1113" s="1">
        <v>45</v>
      </c>
    </row>
    <row r="1114" spans="1:8" x14ac:dyDescent="0.3">
      <c r="A1114" s="1" t="s">
        <v>705</v>
      </c>
      <c r="B1114" s="1" t="s">
        <v>706</v>
      </c>
      <c r="C1114" s="1">
        <v>2015</v>
      </c>
      <c r="D1114" s="1">
        <v>15703</v>
      </c>
      <c r="E1114" s="1">
        <v>170</v>
      </c>
      <c r="F1114" s="1">
        <v>43</v>
      </c>
      <c r="G1114" s="1">
        <v>682418</v>
      </c>
      <c r="H1114" s="1">
        <v>12</v>
      </c>
    </row>
    <row r="1115" spans="1:8" x14ac:dyDescent="0.3">
      <c r="A1115" s="1" t="s">
        <v>707</v>
      </c>
      <c r="B1115" s="1" t="s">
        <v>708</v>
      </c>
      <c r="C1115" s="1">
        <v>2015</v>
      </c>
      <c r="D1115" s="1">
        <v>24880</v>
      </c>
      <c r="E1115" s="1">
        <v>411</v>
      </c>
      <c r="F1115" s="1">
        <v>377</v>
      </c>
      <c r="G1115" s="1">
        <v>2496913</v>
      </c>
      <c r="H1115" s="1">
        <v>0</v>
      </c>
    </row>
    <row r="1116" spans="1:8" x14ac:dyDescent="0.3">
      <c r="A1116" s="1" t="s">
        <v>709</v>
      </c>
      <c r="B1116" s="1" t="s">
        <v>710</v>
      </c>
      <c r="C1116" s="1">
        <v>2015</v>
      </c>
      <c r="D1116" s="1">
        <v>21629</v>
      </c>
      <c r="E1116" s="1">
        <v>232</v>
      </c>
      <c r="F1116" s="1">
        <v>220</v>
      </c>
      <c r="G1116" s="1">
        <v>2914009</v>
      </c>
      <c r="H1116" s="1">
        <v>0</v>
      </c>
    </row>
    <row r="1117" spans="1:8" x14ac:dyDescent="0.3">
      <c r="A1117" s="1" t="s">
        <v>711</v>
      </c>
      <c r="B1117" s="1" t="s">
        <v>712</v>
      </c>
      <c r="C1117" s="1">
        <v>2015</v>
      </c>
      <c r="D1117" s="1">
        <v>43217</v>
      </c>
      <c r="E1117" s="1">
        <v>280</v>
      </c>
      <c r="F1117" s="1">
        <v>318</v>
      </c>
      <c r="G1117" s="1">
        <v>6144806</v>
      </c>
      <c r="H1117" s="1">
        <v>0</v>
      </c>
    </row>
    <row r="1118" spans="1:8" x14ac:dyDescent="0.3">
      <c r="A1118" s="1" t="s">
        <v>713</v>
      </c>
      <c r="B1118" s="1" t="s">
        <v>714</v>
      </c>
      <c r="C1118" s="1">
        <v>2015</v>
      </c>
      <c r="D1118" s="1">
        <v>29291</v>
      </c>
      <c r="E1118" s="1">
        <v>89</v>
      </c>
      <c r="F1118" s="1">
        <v>340</v>
      </c>
      <c r="G1118" s="1">
        <v>3405233</v>
      </c>
      <c r="H1118" s="1">
        <v>0</v>
      </c>
    </row>
    <row r="1119" spans="1:8" x14ac:dyDescent="0.3">
      <c r="A1119" s="1" t="s">
        <v>715</v>
      </c>
      <c r="B1119" s="1" t="s">
        <v>716</v>
      </c>
      <c r="C1119" s="1">
        <v>2015</v>
      </c>
      <c r="D1119" s="1">
        <v>23974</v>
      </c>
      <c r="E1119" s="1">
        <v>265</v>
      </c>
      <c r="F1119" s="1">
        <v>276</v>
      </c>
      <c r="G1119" s="1">
        <v>1935337</v>
      </c>
      <c r="H1119" s="1">
        <v>0</v>
      </c>
    </row>
    <row r="1120" spans="1:8" x14ac:dyDescent="0.3">
      <c r="A1120" s="1" t="s">
        <v>717</v>
      </c>
      <c r="B1120" s="1" t="s">
        <v>718</v>
      </c>
      <c r="C1120" s="1">
        <v>2015</v>
      </c>
      <c r="D1120" s="1">
        <v>251312</v>
      </c>
      <c r="E1120" s="1">
        <v>3629</v>
      </c>
      <c r="F1120" s="1">
        <v>5857</v>
      </c>
      <c r="G1120" s="1">
        <v>18277083</v>
      </c>
      <c r="H1120" s="1">
        <v>0</v>
      </c>
    </row>
    <row r="1121" spans="1:8" x14ac:dyDescent="0.3">
      <c r="A1121" s="1" t="s">
        <v>719</v>
      </c>
      <c r="B1121" s="1" t="s">
        <v>720</v>
      </c>
      <c r="C1121" s="1">
        <v>2015</v>
      </c>
      <c r="D1121" s="1">
        <v>16664</v>
      </c>
      <c r="E1121" s="1">
        <v>71</v>
      </c>
      <c r="F1121" s="1">
        <v>144</v>
      </c>
      <c r="G1121" s="1">
        <v>1520775</v>
      </c>
      <c r="H1121" s="1">
        <v>2</v>
      </c>
    </row>
    <row r="1122" spans="1:8" x14ac:dyDescent="0.3">
      <c r="A1122" s="1" t="s">
        <v>721</v>
      </c>
      <c r="B1122" s="1" t="s">
        <v>722</v>
      </c>
      <c r="C1122" s="1">
        <v>2015</v>
      </c>
      <c r="D1122" s="1">
        <v>16439</v>
      </c>
      <c r="E1122" s="1">
        <v>114</v>
      </c>
      <c r="F1122" s="1">
        <v>129</v>
      </c>
      <c r="G1122" s="1">
        <v>1192984</v>
      </c>
      <c r="H1122" s="1">
        <v>0</v>
      </c>
    </row>
    <row r="1123" spans="1:8" x14ac:dyDescent="0.3">
      <c r="A1123" s="1" t="s">
        <v>723</v>
      </c>
      <c r="B1123" s="1" t="s">
        <v>724</v>
      </c>
      <c r="C1123" s="1">
        <v>2015</v>
      </c>
      <c r="D1123" s="1">
        <v>19994</v>
      </c>
      <c r="E1123" s="1">
        <v>137</v>
      </c>
      <c r="F1123" s="1">
        <v>139</v>
      </c>
      <c r="G1123" s="1">
        <v>3557110</v>
      </c>
      <c r="H1123" s="1">
        <v>88</v>
      </c>
    </row>
    <row r="1124" spans="1:8" x14ac:dyDescent="0.3">
      <c r="A1124" s="1" t="s">
        <v>725</v>
      </c>
      <c r="B1124" s="1" t="s">
        <v>726</v>
      </c>
      <c r="C1124" s="1">
        <v>2015</v>
      </c>
      <c r="D1124" s="1">
        <v>26995</v>
      </c>
      <c r="E1124" s="1">
        <v>229</v>
      </c>
      <c r="F1124" s="1">
        <v>273</v>
      </c>
      <c r="G1124" s="1">
        <v>1508128</v>
      </c>
      <c r="H1124" s="1">
        <v>53</v>
      </c>
    </row>
    <row r="1125" spans="1:8" x14ac:dyDescent="0.3">
      <c r="A1125" s="1" t="s">
        <v>727</v>
      </c>
      <c r="B1125" s="1" t="s">
        <v>728</v>
      </c>
      <c r="C1125" s="1">
        <v>2015</v>
      </c>
      <c r="D1125" s="1">
        <v>20699</v>
      </c>
      <c r="E1125" s="1">
        <v>76</v>
      </c>
      <c r="F1125" s="1">
        <v>163</v>
      </c>
      <c r="G1125" s="1">
        <v>2027277</v>
      </c>
      <c r="H1125" s="1">
        <v>8</v>
      </c>
    </row>
    <row r="1126" spans="1:8" x14ac:dyDescent="0.3">
      <c r="A1126" s="1" t="s">
        <v>729</v>
      </c>
      <c r="B1126" s="1" t="s">
        <v>730</v>
      </c>
      <c r="C1126" s="1">
        <v>2015</v>
      </c>
      <c r="D1126" s="1">
        <v>26928</v>
      </c>
      <c r="E1126" s="1">
        <v>144</v>
      </c>
      <c r="F1126" s="1">
        <v>237</v>
      </c>
      <c r="G1126" s="1">
        <v>1319801</v>
      </c>
      <c r="H1126" s="1">
        <v>24</v>
      </c>
    </row>
    <row r="1127" spans="1:8" x14ac:dyDescent="0.3">
      <c r="A1127" s="1" t="s">
        <v>731</v>
      </c>
      <c r="B1127" s="1" t="s">
        <v>732</v>
      </c>
      <c r="C1127" s="1">
        <v>2015</v>
      </c>
      <c r="D1127" s="1">
        <v>20279</v>
      </c>
      <c r="E1127" s="1">
        <v>343</v>
      </c>
      <c r="F1127" s="1">
        <v>183</v>
      </c>
      <c r="G1127" s="1">
        <v>995956</v>
      </c>
      <c r="H1127" s="1">
        <v>19</v>
      </c>
    </row>
    <row r="1128" spans="1:8" x14ac:dyDescent="0.3">
      <c r="A1128" s="1" t="s">
        <v>733</v>
      </c>
      <c r="B1128" s="1" t="s">
        <v>734</v>
      </c>
      <c r="C1128" s="1">
        <v>2015</v>
      </c>
      <c r="D1128" s="1">
        <v>33546</v>
      </c>
      <c r="E1128" s="1">
        <v>479</v>
      </c>
      <c r="F1128" s="1">
        <v>508</v>
      </c>
      <c r="G1128" s="1">
        <v>1753019</v>
      </c>
      <c r="H1128" s="1">
        <v>39</v>
      </c>
    </row>
    <row r="1129" spans="1:8" x14ac:dyDescent="0.3">
      <c r="A1129" s="1" t="s">
        <v>735</v>
      </c>
      <c r="B1129" s="1" t="s">
        <v>736</v>
      </c>
      <c r="C1129" s="1">
        <v>2015</v>
      </c>
      <c r="D1129" s="1">
        <v>21736</v>
      </c>
      <c r="E1129" s="1">
        <v>356</v>
      </c>
      <c r="F1129" s="1">
        <v>190</v>
      </c>
      <c r="G1129" s="1">
        <v>1039544</v>
      </c>
      <c r="H1129" s="1">
        <v>2</v>
      </c>
    </row>
    <row r="1130" spans="1:8" x14ac:dyDescent="0.3">
      <c r="A1130" s="1" t="s">
        <v>737</v>
      </c>
      <c r="B1130" s="1" t="s">
        <v>738</v>
      </c>
      <c r="C1130" s="1">
        <v>2015</v>
      </c>
      <c r="D1130" s="1">
        <v>22135</v>
      </c>
      <c r="E1130" s="1">
        <v>215</v>
      </c>
      <c r="F1130" s="1">
        <v>185</v>
      </c>
      <c r="G1130" s="1">
        <v>1815864</v>
      </c>
      <c r="H1130" s="1">
        <v>29</v>
      </c>
    </row>
    <row r="1131" spans="1:8" x14ac:dyDescent="0.3">
      <c r="A1131" s="1" t="s">
        <v>739</v>
      </c>
      <c r="B1131" s="1" t="s">
        <v>740</v>
      </c>
      <c r="C1131" s="1">
        <v>2015</v>
      </c>
      <c r="D1131" s="1">
        <v>27257</v>
      </c>
      <c r="E1131" s="1">
        <v>499</v>
      </c>
      <c r="F1131" s="1">
        <v>281</v>
      </c>
      <c r="G1131" s="1">
        <v>1166663</v>
      </c>
      <c r="H1131" s="1">
        <v>0</v>
      </c>
    </row>
    <row r="1132" spans="1:8" x14ac:dyDescent="0.3">
      <c r="A1132" s="1" t="s">
        <v>741</v>
      </c>
      <c r="B1132" s="1" t="s">
        <v>742</v>
      </c>
      <c r="C1132" s="1">
        <v>2015</v>
      </c>
      <c r="D1132" s="1">
        <v>12623</v>
      </c>
      <c r="E1132" s="1">
        <v>51</v>
      </c>
      <c r="F1132" s="1">
        <v>102</v>
      </c>
      <c r="G1132" s="1">
        <v>868339</v>
      </c>
      <c r="H1132" s="1">
        <v>0</v>
      </c>
    </row>
    <row r="1133" spans="1:8" x14ac:dyDescent="0.3">
      <c r="A1133" s="1" t="s">
        <v>743</v>
      </c>
      <c r="B1133" s="1" t="s">
        <v>744</v>
      </c>
      <c r="C1133" s="1">
        <v>2015</v>
      </c>
      <c r="D1133" s="1">
        <v>18578</v>
      </c>
      <c r="E1133" s="1">
        <v>188</v>
      </c>
      <c r="F1133" s="1">
        <v>226</v>
      </c>
      <c r="G1133" s="1">
        <v>1073875</v>
      </c>
      <c r="H1133" s="1">
        <v>37</v>
      </c>
    </row>
    <row r="1134" spans="1:8" x14ac:dyDescent="0.3">
      <c r="A1134" s="1" t="s">
        <v>745</v>
      </c>
      <c r="B1134" s="1" t="s">
        <v>746</v>
      </c>
      <c r="C1134" s="1">
        <v>2015</v>
      </c>
      <c r="D1134" s="1">
        <v>41006</v>
      </c>
      <c r="E1134" s="1">
        <v>201</v>
      </c>
      <c r="F1134" s="1">
        <v>514</v>
      </c>
      <c r="G1134" s="1">
        <v>4052883</v>
      </c>
      <c r="H1134" s="1">
        <v>80</v>
      </c>
    </row>
    <row r="1135" spans="1:8" x14ac:dyDescent="0.3">
      <c r="A1135" s="1" t="s">
        <v>747</v>
      </c>
      <c r="B1135" s="1" t="s">
        <v>748</v>
      </c>
      <c r="C1135" s="1">
        <v>2015</v>
      </c>
      <c r="D1135" s="1">
        <v>27989</v>
      </c>
      <c r="E1135" s="1">
        <v>115</v>
      </c>
      <c r="F1135" s="1">
        <v>280</v>
      </c>
      <c r="G1135" s="1">
        <v>3582222</v>
      </c>
      <c r="H1135" s="1">
        <v>160</v>
      </c>
    </row>
    <row r="1136" spans="1:8" x14ac:dyDescent="0.3">
      <c r="A1136" s="1" t="s">
        <v>749</v>
      </c>
      <c r="B1136" s="1" t="s">
        <v>750</v>
      </c>
      <c r="C1136" s="1">
        <v>2015</v>
      </c>
      <c r="D1136" s="1">
        <v>16484</v>
      </c>
      <c r="E1136" s="1">
        <v>73</v>
      </c>
      <c r="F1136" s="1">
        <v>118</v>
      </c>
      <c r="G1136" s="1">
        <v>1752543</v>
      </c>
      <c r="H1136" s="1">
        <v>92</v>
      </c>
    </row>
    <row r="1137" spans="1:8" x14ac:dyDescent="0.3">
      <c r="A1137" s="1" t="s">
        <v>751</v>
      </c>
      <c r="B1137" s="1" t="s">
        <v>752</v>
      </c>
      <c r="C1137" s="1">
        <v>2015</v>
      </c>
      <c r="D1137" s="1">
        <v>18736</v>
      </c>
      <c r="E1137" s="1">
        <v>86</v>
      </c>
      <c r="F1137" s="1">
        <v>175</v>
      </c>
      <c r="G1137" s="1">
        <v>1684273</v>
      </c>
      <c r="H1137" s="1">
        <v>9</v>
      </c>
    </row>
    <row r="1138" spans="1:8" x14ac:dyDescent="0.3">
      <c r="A1138" s="1" t="s">
        <v>753</v>
      </c>
      <c r="B1138" s="1" t="s">
        <v>754</v>
      </c>
      <c r="C1138" s="1">
        <v>2015</v>
      </c>
      <c r="D1138" s="1">
        <v>12780</v>
      </c>
      <c r="E1138" s="1">
        <v>56</v>
      </c>
      <c r="F1138" s="1">
        <v>111</v>
      </c>
      <c r="G1138" s="1">
        <v>883575</v>
      </c>
      <c r="H1138" s="1">
        <v>7</v>
      </c>
    </row>
    <row r="1139" spans="1:8" x14ac:dyDescent="0.3">
      <c r="A1139" s="1" t="s">
        <v>755</v>
      </c>
      <c r="B1139" s="1" t="s">
        <v>756</v>
      </c>
      <c r="C1139" s="1">
        <v>2015</v>
      </c>
      <c r="D1139" s="1">
        <v>45433</v>
      </c>
      <c r="E1139" s="1">
        <v>602</v>
      </c>
      <c r="F1139" s="1">
        <v>478</v>
      </c>
      <c r="G1139" s="1">
        <v>4707570</v>
      </c>
      <c r="H1139" s="1">
        <v>135</v>
      </c>
    </row>
    <row r="1140" spans="1:8" x14ac:dyDescent="0.3">
      <c r="A1140" s="1" t="s">
        <v>757</v>
      </c>
      <c r="B1140" s="1" t="s">
        <v>758</v>
      </c>
      <c r="C1140" s="1">
        <v>2015</v>
      </c>
      <c r="D1140" s="1">
        <v>172310</v>
      </c>
      <c r="E1140" s="1">
        <v>1132</v>
      </c>
      <c r="F1140" s="1">
        <v>2763</v>
      </c>
      <c r="G1140" s="1">
        <v>12822123</v>
      </c>
      <c r="H1140" s="1">
        <v>315</v>
      </c>
    </row>
    <row r="1141" spans="1:8" x14ac:dyDescent="0.3">
      <c r="A1141" s="1" t="s">
        <v>759</v>
      </c>
      <c r="B1141" s="1" t="s">
        <v>760</v>
      </c>
      <c r="C1141" s="1">
        <v>2015</v>
      </c>
      <c r="D1141" s="1">
        <v>20286</v>
      </c>
      <c r="E1141" s="1">
        <v>110</v>
      </c>
      <c r="F1141" s="1">
        <v>252</v>
      </c>
      <c r="G1141" s="1">
        <v>1071219</v>
      </c>
      <c r="H1141" s="1">
        <v>0</v>
      </c>
    </row>
    <row r="1142" spans="1:8" x14ac:dyDescent="0.3">
      <c r="A1142" s="2" t="s">
        <v>10</v>
      </c>
      <c r="B1142" s="2" t="s">
        <v>11</v>
      </c>
      <c r="C1142" s="1">
        <v>2016</v>
      </c>
      <c r="D1142" s="2">
        <v>31456</v>
      </c>
      <c r="E1142" s="2">
        <v>457</v>
      </c>
      <c r="F1142" s="2">
        <v>559</v>
      </c>
      <c r="G1142" s="2">
        <v>1496845</v>
      </c>
      <c r="H1142" s="1">
        <v>0</v>
      </c>
    </row>
    <row r="1143" spans="1:8" x14ac:dyDescent="0.3">
      <c r="A1143" s="1" t="s">
        <v>12</v>
      </c>
      <c r="B1143" s="1" t="s">
        <v>13</v>
      </c>
      <c r="C1143" s="1">
        <v>2016</v>
      </c>
      <c r="D1143" s="1">
        <v>39612</v>
      </c>
      <c r="E1143" s="1">
        <v>122</v>
      </c>
      <c r="F1143" s="1">
        <v>315</v>
      </c>
      <c r="G1143" s="1">
        <v>2471826</v>
      </c>
      <c r="H1143" s="1">
        <v>87</v>
      </c>
    </row>
    <row r="1144" spans="1:8" x14ac:dyDescent="0.3">
      <c r="A1144" s="1" t="s">
        <v>14</v>
      </c>
      <c r="B1144" s="1" t="s">
        <v>15</v>
      </c>
      <c r="C1144" s="1">
        <v>2016</v>
      </c>
      <c r="D1144" s="1">
        <v>32428</v>
      </c>
      <c r="E1144" s="1">
        <v>351</v>
      </c>
      <c r="F1144" s="1">
        <v>507</v>
      </c>
      <c r="G1144" s="1">
        <v>2023913</v>
      </c>
      <c r="H1144" s="1">
        <v>294</v>
      </c>
    </row>
    <row r="1145" spans="1:8" x14ac:dyDescent="0.3">
      <c r="A1145" s="1" t="s">
        <v>16</v>
      </c>
      <c r="B1145" s="1" t="s">
        <v>17</v>
      </c>
      <c r="C1145" s="1">
        <v>2016</v>
      </c>
      <c r="D1145" s="1">
        <v>11844</v>
      </c>
      <c r="E1145" s="1">
        <v>50</v>
      </c>
      <c r="F1145" s="1">
        <v>6</v>
      </c>
      <c r="G1145" s="1">
        <v>896492</v>
      </c>
      <c r="H1145" s="1">
        <v>0</v>
      </c>
    </row>
    <row r="1146" spans="1:8" x14ac:dyDescent="0.3">
      <c r="A1146" s="1" t="s">
        <v>18</v>
      </c>
      <c r="B1146" s="1" t="s">
        <v>19</v>
      </c>
      <c r="C1146" s="1">
        <v>2016</v>
      </c>
      <c r="D1146" s="1">
        <v>17883</v>
      </c>
      <c r="E1146" s="1">
        <v>68</v>
      </c>
      <c r="F1146" s="1">
        <v>119</v>
      </c>
      <c r="G1146" s="1">
        <v>791212</v>
      </c>
      <c r="H1146" s="1">
        <v>38</v>
      </c>
    </row>
    <row r="1147" spans="1:8" x14ac:dyDescent="0.3">
      <c r="A1147" s="1" t="s">
        <v>20</v>
      </c>
      <c r="B1147" s="1" t="s">
        <v>21</v>
      </c>
      <c r="C1147" s="1">
        <v>2016</v>
      </c>
      <c r="D1147" s="1">
        <v>24975</v>
      </c>
      <c r="E1147" s="1">
        <v>260</v>
      </c>
      <c r="F1147" s="1">
        <v>181</v>
      </c>
      <c r="G1147" s="1">
        <v>1115128</v>
      </c>
      <c r="H1147" s="1">
        <v>80</v>
      </c>
    </row>
    <row r="1148" spans="1:8" x14ac:dyDescent="0.3">
      <c r="A1148" s="1" t="s">
        <v>22</v>
      </c>
      <c r="B1148" s="1" t="s">
        <v>23</v>
      </c>
      <c r="C1148" s="1">
        <v>2016</v>
      </c>
      <c r="D1148" s="1">
        <v>16745</v>
      </c>
      <c r="E1148" s="1">
        <v>44</v>
      </c>
      <c r="F1148" s="1">
        <v>116</v>
      </c>
      <c r="G1148" s="1">
        <v>1095063</v>
      </c>
      <c r="H1148" s="1">
        <v>0</v>
      </c>
    </row>
    <row r="1149" spans="1:8" x14ac:dyDescent="0.3">
      <c r="A1149" s="1" t="s">
        <v>24</v>
      </c>
      <c r="B1149" s="1" t="s">
        <v>25</v>
      </c>
      <c r="C1149" s="1">
        <v>2016</v>
      </c>
      <c r="D1149" s="1">
        <v>64139</v>
      </c>
      <c r="E1149" s="1">
        <v>414</v>
      </c>
      <c r="F1149" s="1">
        <v>464</v>
      </c>
      <c r="G1149" s="1">
        <v>4533121</v>
      </c>
      <c r="H1149" s="1">
        <v>63</v>
      </c>
    </row>
    <row r="1150" spans="1:8" x14ac:dyDescent="0.3">
      <c r="A1150" s="1" t="s">
        <v>26</v>
      </c>
      <c r="B1150" s="1" t="s">
        <v>27</v>
      </c>
      <c r="C1150" s="1">
        <v>2016</v>
      </c>
      <c r="D1150" s="1">
        <v>18168</v>
      </c>
      <c r="E1150" s="1">
        <v>200</v>
      </c>
      <c r="F1150" s="1">
        <v>104</v>
      </c>
      <c r="G1150" s="1">
        <v>689982</v>
      </c>
      <c r="H1150" s="1">
        <v>12</v>
      </c>
    </row>
    <row r="1151" spans="1:8" x14ac:dyDescent="0.3">
      <c r="A1151" s="1" t="s">
        <v>28</v>
      </c>
      <c r="B1151" s="1" t="s">
        <v>29</v>
      </c>
      <c r="C1151" s="1">
        <v>2016</v>
      </c>
      <c r="D1151" s="1">
        <v>20228</v>
      </c>
      <c r="E1151" s="1">
        <v>112</v>
      </c>
      <c r="F1151" s="1">
        <v>185</v>
      </c>
      <c r="G1151" s="1">
        <v>1061566</v>
      </c>
      <c r="H1151" s="1">
        <v>0</v>
      </c>
    </row>
    <row r="1152" spans="1:8" x14ac:dyDescent="0.3">
      <c r="A1152" s="1" t="s">
        <v>30</v>
      </c>
      <c r="B1152" s="1" t="s">
        <v>31</v>
      </c>
      <c r="C1152" s="1">
        <v>2016</v>
      </c>
      <c r="D1152" s="1">
        <v>40186</v>
      </c>
      <c r="E1152" s="1">
        <v>335</v>
      </c>
      <c r="F1152" s="1">
        <v>592</v>
      </c>
      <c r="G1152" s="1">
        <v>1639849</v>
      </c>
      <c r="H1152" s="1">
        <v>2</v>
      </c>
    </row>
    <row r="1153" spans="1:8" x14ac:dyDescent="0.3">
      <c r="A1153" s="1" t="s">
        <v>32</v>
      </c>
      <c r="B1153" s="1" t="s">
        <v>33</v>
      </c>
      <c r="C1153" s="1">
        <v>2016</v>
      </c>
      <c r="D1153" s="1">
        <v>16742</v>
      </c>
      <c r="E1153" s="1">
        <v>61</v>
      </c>
      <c r="F1153" s="1">
        <v>74</v>
      </c>
      <c r="G1153" s="1">
        <v>735355</v>
      </c>
      <c r="H1153" s="1">
        <v>0</v>
      </c>
    </row>
    <row r="1154" spans="1:8" x14ac:dyDescent="0.3">
      <c r="A1154" s="1" t="s">
        <v>34</v>
      </c>
      <c r="B1154" s="1" t="s">
        <v>35</v>
      </c>
      <c r="C1154" s="1">
        <v>2016</v>
      </c>
      <c r="D1154" s="1">
        <v>11537</v>
      </c>
      <c r="E1154" s="1">
        <v>125</v>
      </c>
      <c r="F1154" s="1">
        <v>114</v>
      </c>
      <c r="G1154" s="1">
        <v>199220</v>
      </c>
      <c r="H1154" s="1">
        <v>8</v>
      </c>
    </row>
    <row r="1155" spans="1:8" x14ac:dyDescent="0.3">
      <c r="A1155" s="1" t="s">
        <v>36</v>
      </c>
      <c r="B1155" s="1" t="s">
        <v>37</v>
      </c>
      <c r="C1155" s="1">
        <v>2016</v>
      </c>
      <c r="D1155" s="1">
        <v>35640</v>
      </c>
      <c r="E1155" s="1">
        <v>427</v>
      </c>
      <c r="F1155" s="1">
        <v>372</v>
      </c>
      <c r="G1155" s="1">
        <v>1927201</v>
      </c>
      <c r="H1155" s="1">
        <v>236</v>
      </c>
    </row>
    <row r="1156" spans="1:8" x14ac:dyDescent="0.3">
      <c r="A1156" s="1" t="s">
        <v>38</v>
      </c>
      <c r="B1156" s="1" t="s">
        <v>39</v>
      </c>
      <c r="C1156" s="1">
        <v>2016</v>
      </c>
      <c r="D1156" s="1">
        <v>27255</v>
      </c>
      <c r="E1156" s="1">
        <v>352</v>
      </c>
      <c r="F1156" s="1">
        <v>347</v>
      </c>
      <c r="G1156" s="1">
        <v>1408440</v>
      </c>
      <c r="H1156" s="1">
        <v>0</v>
      </c>
    </row>
    <row r="1157" spans="1:8" x14ac:dyDescent="0.3">
      <c r="A1157" s="1" t="s">
        <v>40</v>
      </c>
      <c r="B1157" s="1" t="s">
        <v>41</v>
      </c>
      <c r="C1157" s="1">
        <v>2016</v>
      </c>
      <c r="D1157" s="1">
        <v>21345</v>
      </c>
      <c r="E1157" s="1">
        <v>170</v>
      </c>
      <c r="F1157" s="1">
        <v>186</v>
      </c>
      <c r="G1157" s="1">
        <v>1232473</v>
      </c>
      <c r="H1157" s="1">
        <v>2</v>
      </c>
    </row>
    <row r="1158" spans="1:8" x14ac:dyDescent="0.3">
      <c r="A1158" s="1" t="s">
        <v>42</v>
      </c>
      <c r="B1158" s="1" t="s">
        <v>43</v>
      </c>
      <c r="C1158" s="1">
        <v>2016</v>
      </c>
      <c r="D1158" s="1">
        <v>15144</v>
      </c>
      <c r="E1158" s="1">
        <v>120</v>
      </c>
      <c r="F1158" s="1">
        <v>128</v>
      </c>
      <c r="G1158" s="1">
        <v>734137</v>
      </c>
      <c r="H1158" s="1">
        <v>7</v>
      </c>
    </row>
    <row r="1159" spans="1:8" x14ac:dyDescent="0.3">
      <c r="A1159" s="1" t="s">
        <v>44</v>
      </c>
      <c r="B1159" s="1" t="s">
        <v>45</v>
      </c>
      <c r="C1159" s="1">
        <v>2016</v>
      </c>
      <c r="D1159" s="1">
        <v>17673</v>
      </c>
      <c r="E1159" s="1">
        <v>379</v>
      </c>
      <c r="F1159" s="1">
        <v>80</v>
      </c>
      <c r="G1159" s="1">
        <v>217827</v>
      </c>
      <c r="H1159" s="1">
        <v>3</v>
      </c>
    </row>
    <row r="1160" spans="1:8" x14ac:dyDescent="0.3">
      <c r="A1160" s="1" t="s">
        <v>46</v>
      </c>
      <c r="B1160" s="1" t="s">
        <v>47</v>
      </c>
      <c r="C1160" s="1">
        <v>2016</v>
      </c>
      <c r="D1160" s="1">
        <v>59879</v>
      </c>
      <c r="E1160" s="1">
        <v>335</v>
      </c>
      <c r="F1160" s="1">
        <v>851</v>
      </c>
      <c r="G1160" s="1">
        <v>1281650</v>
      </c>
      <c r="H1160" s="1">
        <v>45</v>
      </c>
    </row>
    <row r="1161" spans="1:8" x14ac:dyDescent="0.3">
      <c r="A1161" s="1" t="s">
        <v>48</v>
      </c>
      <c r="B1161" s="1" t="s">
        <v>49</v>
      </c>
      <c r="C1161" s="1">
        <v>2016</v>
      </c>
      <c r="D1161" s="1">
        <v>26950</v>
      </c>
      <c r="E1161" s="1">
        <v>394</v>
      </c>
      <c r="F1161" s="1">
        <v>289</v>
      </c>
      <c r="G1161" s="1">
        <v>906900</v>
      </c>
      <c r="H1161" s="1">
        <v>0</v>
      </c>
    </row>
    <row r="1162" spans="1:8" x14ac:dyDescent="0.3">
      <c r="A1162" s="1" t="s">
        <v>50</v>
      </c>
      <c r="B1162" s="1" t="s">
        <v>51</v>
      </c>
      <c r="C1162" s="1">
        <v>2016</v>
      </c>
      <c r="D1162" s="1">
        <v>22166</v>
      </c>
      <c r="E1162" s="1">
        <v>45</v>
      </c>
      <c r="F1162" s="1">
        <v>243</v>
      </c>
      <c r="G1162" s="1">
        <v>1538732</v>
      </c>
      <c r="H1162" s="1">
        <v>0</v>
      </c>
    </row>
    <row r="1163" spans="1:8" x14ac:dyDescent="0.3">
      <c r="A1163" s="1" t="s">
        <v>52</v>
      </c>
      <c r="B1163" s="1" t="s">
        <v>53</v>
      </c>
      <c r="C1163" s="1">
        <v>2016</v>
      </c>
      <c r="D1163" s="1">
        <v>17023</v>
      </c>
      <c r="E1163" s="1">
        <v>155</v>
      </c>
      <c r="F1163" s="1">
        <v>299</v>
      </c>
      <c r="G1163" s="1">
        <v>786545</v>
      </c>
      <c r="H1163" s="1">
        <v>2</v>
      </c>
    </row>
    <row r="1164" spans="1:8" x14ac:dyDescent="0.3">
      <c r="A1164" s="1" t="s">
        <v>54</v>
      </c>
      <c r="B1164" s="1" t="s">
        <v>55</v>
      </c>
      <c r="C1164" s="1">
        <v>2016</v>
      </c>
      <c r="D1164" s="1">
        <v>50962</v>
      </c>
      <c r="E1164" s="1">
        <v>2373</v>
      </c>
      <c r="F1164" s="1">
        <v>1104</v>
      </c>
      <c r="G1164" s="1">
        <v>494818</v>
      </c>
      <c r="H1164" s="1">
        <v>25</v>
      </c>
    </row>
    <row r="1165" spans="1:8" x14ac:dyDescent="0.3">
      <c r="A1165" s="1" t="s">
        <v>56</v>
      </c>
      <c r="B1165" s="1" t="s">
        <v>57</v>
      </c>
      <c r="C1165" s="1">
        <v>2016</v>
      </c>
      <c r="D1165" s="1">
        <v>23919</v>
      </c>
      <c r="E1165" s="1">
        <v>96</v>
      </c>
      <c r="F1165" s="1">
        <v>157</v>
      </c>
      <c r="G1165" s="1">
        <v>925933</v>
      </c>
      <c r="H1165" s="1">
        <v>16</v>
      </c>
    </row>
    <row r="1166" spans="1:8" x14ac:dyDescent="0.3">
      <c r="A1166" s="1" t="s">
        <v>58</v>
      </c>
      <c r="B1166" s="1" t="s">
        <v>59</v>
      </c>
      <c r="C1166" s="1">
        <v>2016</v>
      </c>
      <c r="D1166" s="1">
        <v>34095</v>
      </c>
      <c r="E1166" s="1">
        <v>134</v>
      </c>
      <c r="F1166" s="1">
        <v>102</v>
      </c>
      <c r="G1166" s="1">
        <v>1272056</v>
      </c>
      <c r="H1166" s="1">
        <v>0</v>
      </c>
    </row>
    <row r="1167" spans="1:8" x14ac:dyDescent="0.3">
      <c r="A1167" s="1" t="s">
        <v>60</v>
      </c>
      <c r="B1167" s="1" t="s">
        <v>61</v>
      </c>
      <c r="C1167" s="1">
        <v>2016</v>
      </c>
      <c r="D1167" s="1">
        <v>15620</v>
      </c>
      <c r="E1167" s="1">
        <v>47</v>
      </c>
      <c r="F1167" s="1">
        <v>119</v>
      </c>
      <c r="G1167" s="1">
        <v>1033014</v>
      </c>
      <c r="H1167" s="1">
        <v>1</v>
      </c>
    </row>
    <row r="1168" spans="1:8" x14ac:dyDescent="0.3">
      <c r="A1168" s="1" t="s">
        <v>62</v>
      </c>
      <c r="B1168" s="1" t="s">
        <v>63</v>
      </c>
      <c r="C1168" s="1">
        <v>2016</v>
      </c>
      <c r="D1168" s="1">
        <v>35194</v>
      </c>
      <c r="E1168" s="1">
        <v>122</v>
      </c>
      <c r="F1168" s="1">
        <v>829</v>
      </c>
      <c r="G1168" s="1">
        <v>1974358</v>
      </c>
      <c r="H1168" s="1">
        <v>0</v>
      </c>
    </row>
    <row r="1169" spans="1:8" x14ac:dyDescent="0.3">
      <c r="A1169" s="1" t="s">
        <v>64</v>
      </c>
      <c r="B1169" s="1" t="s">
        <v>65</v>
      </c>
      <c r="C1169" s="1">
        <v>2016</v>
      </c>
      <c r="D1169" s="1">
        <v>42013</v>
      </c>
      <c r="E1169" s="1">
        <v>178</v>
      </c>
      <c r="F1169" s="1">
        <v>654</v>
      </c>
      <c r="G1169" s="1">
        <v>3580167</v>
      </c>
      <c r="H1169" s="1">
        <v>26</v>
      </c>
    </row>
    <row r="1170" spans="1:8" x14ac:dyDescent="0.3">
      <c r="A1170" s="1" t="s">
        <v>66</v>
      </c>
      <c r="B1170" s="1" t="s">
        <v>67</v>
      </c>
      <c r="C1170" s="1">
        <v>2016</v>
      </c>
      <c r="D1170" s="1">
        <v>311010</v>
      </c>
      <c r="E1170" s="1">
        <v>8475</v>
      </c>
      <c r="F1170" s="1">
        <v>12143</v>
      </c>
      <c r="G1170" s="1">
        <v>9899990</v>
      </c>
      <c r="H1170" s="1">
        <v>503</v>
      </c>
    </row>
    <row r="1171" spans="1:8" x14ac:dyDescent="0.3">
      <c r="A1171" s="1" t="s">
        <v>68</v>
      </c>
      <c r="B1171" s="1" t="s">
        <v>69</v>
      </c>
      <c r="C1171" s="1">
        <v>2016</v>
      </c>
      <c r="D1171" s="1">
        <v>50582</v>
      </c>
      <c r="E1171" s="1">
        <v>105</v>
      </c>
      <c r="F1171" s="1">
        <v>589</v>
      </c>
      <c r="G1171" s="1">
        <v>4687776</v>
      </c>
      <c r="H1171" s="1">
        <v>222</v>
      </c>
    </row>
    <row r="1172" spans="1:8" x14ac:dyDescent="0.3">
      <c r="A1172" s="1" t="s">
        <v>71</v>
      </c>
      <c r="B1172" s="1" t="s">
        <v>72</v>
      </c>
      <c r="C1172" s="1">
        <v>2016</v>
      </c>
      <c r="D1172" s="1">
        <v>19638</v>
      </c>
      <c r="E1172" s="1">
        <v>156</v>
      </c>
      <c r="F1172" s="1">
        <v>172</v>
      </c>
      <c r="G1172" s="1">
        <v>984490</v>
      </c>
      <c r="H1172" s="1">
        <v>0</v>
      </c>
    </row>
    <row r="1173" spans="1:8" x14ac:dyDescent="0.3">
      <c r="A1173" s="1" t="s">
        <v>73</v>
      </c>
      <c r="B1173" s="1" t="s">
        <v>74</v>
      </c>
      <c r="C1173" s="1">
        <v>2016</v>
      </c>
      <c r="D1173" s="1">
        <v>25654</v>
      </c>
      <c r="E1173" s="1">
        <v>330</v>
      </c>
      <c r="F1173" s="1">
        <v>284</v>
      </c>
      <c r="G1173" s="1">
        <v>1560326</v>
      </c>
      <c r="H1173" s="1">
        <v>0</v>
      </c>
    </row>
    <row r="1174" spans="1:8" x14ac:dyDescent="0.3">
      <c r="A1174" s="1" t="s">
        <v>75</v>
      </c>
      <c r="B1174" s="1" t="s">
        <v>76</v>
      </c>
      <c r="C1174" s="1">
        <v>2016</v>
      </c>
      <c r="D1174" s="1">
        <v>36127</v>
      </c>
      <c r="E1174" s="1">
        <v>794</v>
      </c>
      <c r="F1174" s="1">
        <v>142</v>
      </c>
      <c r="G1174" s="1">
        <v>2118899</v>
      </c>
      <c r="H1174" s="1">
        <v>36</v>
      </c>
    </row>
    <row r="1175" spans="1:8" x14ac:dyDescent="0.3">
      <c r="A1175" s="1" t="s">
        <v>77</v>
      </c>
      <c r="B1175" s="1" t="s">
        <v>78</v>
      </c>
      <c r="C1175" s="1">
        <v>2016</v>
      </c>
      <c r="D1175" s="1">
        <v>16451</v>
      </c>
      <c r="E1175" s="1">
        <v>123</v>
      </c>
      <c r="F1175" s="1">
        <v>120</v>
      </c>
      <c r="G1175" s="1">
        <v>1317866</v>
      </c>
      <c r="H1175" s="1">
        <v>0</v>
      </c>
    </row>
    <row r="1176" spans="1:8" x14ac:dyDescent="0.3">
      <c r="A1176" s="1" t="s">
        <v>79</v>
      </c>
      <c r="B1176" s="1" t="s">
        <v>80</v>
      </c>
      <c r="C1176" s="1">
        <v>2016</v>
      </c>
      <c r="D1176" s="1">
        <v>14226</v>
      </c>
      <c r="E1176" s="1">
        <v>110</v>
      </c>
      <c r="F1176" s="1">
        <v>54</v>
      </c>
      <c r="G1176" s="1">
        <v>1475271</v>
      </c>
      <c r="H1176" s="1">
        <v>0</v>
      </c>
    </row>
    <row r="1177" spans="1:8" x14ac:dyDescent="0.3">
      <c r="A1177" s="1" t="s">
        <v>81</v>
      </c>
      <c r="B1177" s="1" t="s">
        <v>82</v>
      </c>
      <c r="C1177" s="1">
        <v>2016</v>
      </c>
      <c r="D1177" s="1">
        <v>12022</v>
      </c>
      <c r="E1177" s="1">
        <v>107</v>
      </c>
      <c r="F1177" s="1">
        <v>34</v>
      </c>
      <c r="G1177" s="1">
        <v>838487</v>
      </c>
      <c r="H1177" s="1">
        <v>18</v>
      </c>
    </row>
    <row r="1178" spans="1:8" x14ac:dyDescent="0.3">
      <c r="A1178" s="1" t="s">
        <v>83</v>
      </c>
      <c r="B1178" s="1" t="s">
        <v>84</v>
      </c>
      <c r="C1178" s="1">
        <v>2016</v>
      </c>
      <c r="D1178" s="1">
        <v>57489</v>
      </c>
      <c r="E1178" s="1">
        <v>265</v>
      </c>
      <c r="F1178" s="1">
        <v>542</v>
      </c>
      <c r="G1178" s="1">
        <v>6819158</v>
      </c>
      <c r="H1178" s="1">
        <v>376</v>
      </c>
    </row>
    <row r="1179" spans="1:8" x14ac:dyDescent="0.3">
      <c r="A1179" s="1" t="s">
        <v>85</v>
      </c>
      <c r="B1179" s="1" t="s">
        <v>86</v>
      </c>
      <c r="C1179" s="1">
        <v>2016</v>
      </c>
      <c r="D1179" s="1">
        <v>19833</v>
      </c>
      <c r="E1179" s="1">
        <v>176</v>
      </c>
      <c r="F1179" s="1">
        <v>60</v>
      </c>
      <c r="G1179" s="1">
        <v>1022120</v>
      </c>
      <c r="H1179" s="1">
        <v>11</v>
      </c>
    </row>
    <row r="1180" spans="1:8" x14ac:dyDescent="0.3">
      <c r="A1180" s="1" t="s">
        <v>87</v>
      </c>
      <c r="B1180" s="1" t="s">
        <v>88</v>
      </c>
      <c r="C1180" s="1">
        <v>2016</v>
      </c>
      <c r="D1180" s="1">
        <v>14319</v>
      </c>
      <c r="E1180" s="1">
        <v>97</v>
      </c>
      <c r="F1180" s="1">
        <v>55</v>
      </c>
      <c r="G1180" s="1">
        <v>1144396</v>
      </c>
      <c r="H1180" s="1">
        <v>15</v>
      </c>
    </row>
    <row r="1181" spans="1:8" x14ac:dyDescent="0.3">
      <c r="A1181" s="1" t="s">
        <v>89</v>
      </c>
      <c r="B1181" s="1" t="s">
        <v>90</v>
      </c>
      <c r="C1181" s="1">
        <v>2016</v>
      </c>
      <c r="D1181" s="1">
        <v>25938</v>
      </c>
      <c r="E1181" s="1">
        <v>281</v>
      </c>
      <c r="F1181" s="1">
        <v>163</v>
      </c>
      <c r="G1181" s="1">
        <v>3348448</v>
      </c>
      <c r="H1181" s="1">
        <v>4</v>
      </c>
    </row>
    <row r="1182" spans="1:8" x14ac:dyDescent="0.3">
      <c r="A1182" s="1" t="s">
        <v>91</v>
      </c>
      <c r="B1182" s="1" t="s">
        <v>92</v>
      </c>
      <c r="C1182" s="1">
        <v>2016</v>
      </c>
      <c r="D1182" s="1">
        <v>12306</v>
      </c>
      <c r="E1182" s="1">
        <v>57</v>
      </c>
      <c r="F1182" s="1">
        <v>36</v>
      </c>
      <c r="G1182" s="1">
        <v>544753</v>
      </c>
      <c r="H1182" s="1">
        <v>0</v>
      </c>
    </row>
    <row r="1183" spans="1:8" x14ac:dyDescent="0.3">
      <c r="A1183" s="1" t="s">
        <v>93</v>
      </c>
      <c r="B1183" s="1" t="s">
        <v>94</v>
      </c>
      <c r="C1183" s="1">
        <v>2016</v>
      </c>
      <c r="D1183" s="1">
        <v>13858</v>
      </c>
      <c r="E1183" s="1">
        <v>88</v>
      </c>
      <c r="F1183" s="1">
        <v>63</v>
      </c>
      <c r="G1183" s="1">
        <v>1180556</v>
      </c>
      <c r="H1183" s="1">
        <v>0</v>
      </c>
    </row>
    <row r="1184" spans="1:8" x14ac:dyDescent="0.3">
      <c r="A1184" s="1" t="s">
        <v>95</v>
      </c>
      <c r="B1184" s="1" t="s">
        <v>96</v>
      </c>
      <c r="C1184" s="1">
        <v>2016</v>
      </c>
      <c r="D1184" s="1">
        <v>12164</v>
      </c>
      <c r="E1184" s="1">
        <v>115</v>
      </c>
      <c r="F1184" s="1">
        <v>78</v>
      </c>
      <c r="G1184" s="1">
        <v>1109794</v>
      </c>
      <c r="H1184" s="1">
        <v>0</v>
      </c>
    </row>
    <row r="1185" spans="1:8" x14ac:dyDescent="0.3">
      <c r="A1185" s="1" t="s">
        <v>97</v>
      </c>
      <c r="B1185" s="1" t="s">
        <v>98</v>
      </c>
      <c r="C1185" s="1">
        <v>2016</v>
      </c>
      <c r="D1185" s="1">
        <v>31208</v>
      </c>
      <c r="E1185" s="1">
        <v>202</v>
      </c>
      <c r="F1185" s="1">
        <v>148</v>
      </c>
      <c r="G1185" s="1">
        <v>1913630</v>
      </c>
      <c r="H1185" s="1">
        <v>284</v>
      </c>
    </row>
    <row r="1186" spans="1:8" x14ac:dyDescent="0.3">
      <c r="A1186" s="1" t="s">
        <v>99</v>
      </c>
      <c r="B1186" s="1" t="s">
        <v>100</v>
      </c>
      <c r="C1186" s="1">
        <v>2016</v>
      </c>
      <c r="D1186" s="1">
        <v>30982</v>
      </c>
      <c r="E1186" s="1">
        <v>682</v>
      </c>
      <c r="F1186" s="1">
        <v>143</v>
      </c>
      <c r="G1186" s="1">
        <v>1967267</v>
      </c>
      <c r="H1186" s="1">
        <v>41</v>
      </c>
    </row>
    <row r="1187" spans="1:8" x14ac:dyDescent="0.3">
      <c r="A1187" s="1" t="s">
        <v>101</v>
      </c>
      <c r="B1187" s="1" t="s">
        <v>102</v>
      </c>
      <c r="C1187" s="1">
        <v>2016</v>
      </c>
      <c r="D1187" s="1">
        <v>14488</v>
      </c>
      <c r="E1187" s="1">
        <v>183</v>
      </c>
      <c r="F1187" s="1">
        <v>41</v>
      </c>
      <c r="G1187" s="1">
        <v>1057575</v>
      </c>
      <c r="H1187" s="1">
        <v>0</v>
      </c>
    </row>
    <row r="1188" spans="1:8" x14ac:dyDescent="0.3">
      <c r="A1188" s="1" t="s">
        <v>103</v>
      </c>
      <c r="B1188" s="1" t="s">
        <v>104</v>
      </c>
      <c r="C1188" s="1">
        <v>2016</v>
      </c>
      <c r="D1188" s="1">
        <v>11338</v>
      </c>
      <c r="E1188" s="1">
        <v>72</v>
      </c>
      <c r="F1188" s="1">
        <v>50</v>
      </c>
      <c r="G1188" s="1">
        <v>1304447</v>
      </c>
      <c r="H1188" s="1">
        <v>15</v>
      </c>
    </row>
    <row r="1189" spans="1:8" x14ac:dyDescent="0.3">
      <c r="A1189" s="1" t="s">
        <v>105</v>
      </c>
      <c r="B1189" s="1" t="s">
        <v>106</v>
      </c>
      <c r="C1189" s="1">
        <v>2016</v>
      </c>
      <c r="D1189" s="1">
        <v>26803</v>
      </c>
      <c r="E1189" s="1">
        <v>198</v>
      </c>
      <c r="F1189" s="1">
        <v>52</v>
      </c>
      <c r="G1189" s="1">
        <v>732480</v>
      </c>
      <c r="H1189" s="1">
        <v>1</v>
      </c>
    </row>
    <row r="1190" spans="1:8" x14ac:dyDescent="0.3">
      <c r="A1190" s="1" t="s">
        <v>107</v>
      </c>
      <c r="B1190" s="1" t="s">
        <v>108</v>
      </c>
      <c r="C1190" s="1">
        <v>2016</v>
      </c>
      <c r="D1190" s="1">
        <v>21488</v>
      </c>
      <c r="E1190" s="1">
        <v>193</v>
      </c>
      <c r="F1190" s="1">
        <v>87</v>
      </c>
      <c r="G1190" s="1">
        <v>2153909</v>
      </c>
      <c r="H1190" s="1">
        <v>7</v>
      </c>
    </row>
    <row r="1191" spans="1:8" x14ac:dyDescent="0.3">
      <c r="A1191" s="1" t="s">
        <v>109</v>
      </c>
      <c r="B1191" s="1" t="s">
        <v>110</v>
      </c>
      <c r="C1191" s="1">
        <v>2016</v>
      </c>
      <c r="D1191" s="1">
        <v>148901</v>
      </c>
      <c r="E1191" s="1">
        <v>864</v>
      </c>
      <c r="F1191" s="1">
        <v>2624</v>
      </c>
      <c r="G1191" s="1">
        <v>19248982</v>
      </c>
      <c r="H1191" s="1">
        <v>431</v>
      </c>
    </row>
    <row r="1192" spans="1:8" x14ac:dyDescent="0.3">
      <c r="A1192" s="1" t="s">
        <v>111</v>
      </c>
      <c r="B1192" s="1" t="s">
        <v>112</v>
      </c>
      <c r="C1192" s="1">
        <v>2016</v>
      </c>
      <c r="D1192" s="1">
        <v>38612</v>
      </c>
      <c r="E1192" s="1">
        <v>96</v>
      </c>
      <c r="F1192" s="1">
        <v>425</v>
      </c>
      <c r="G1192" s="1">
        <v>7418616</v>
      </c>
      <c r="H1192" s="1">
        <v>0</v>
      </c>
    </row>
    <row r="1193" spans="1:8" x14ac:dyDescent="0.3">
      <c r="A1193" s="1" t="s">
        <v>113</v>
      </c>
      <c r="B1193" s="1" t="s">
        <v>114</v>
      </c>
      <c r="C1193" s="1">
        <v>2016</v>
      </c>
      <c r="D1193" s="1">
        <v>88589</v>
      </c>
      <c r="E1193" s="1">
        <v>925</v>
      </c>
      <c r="F1193" s="1">
        <v>757</v>
      </c>
      <c r="G1193" s="1">
        <v>6211754</v>
      </c>
      <c r="H1193" s="1">
        <v>165</v>
      </c>
    </row>
    <row r="1194" spans="1:8" x14ac:dyDescent="0.3">
      <c r="A1194" s="1" t="s">
        <v>115</v>
      </c>
      <c r="B1194" s="1" t="s">
        <v>116</v>
      </c>
      <c r="C1194" s="1">
        <v>2016</v>
      </c>
      <c r="D1194" s="1">
        <v>46110</v>
      </c>
      <c r="E1194" s="1">
        <v>148</v>
      </c>
      <c r="F1194" s="1">
        <v>361</v>
      </c>
      <c r="G1194" s="1">
        <v>3270795</v>
      </c>
      <c r="H1194" s="1">
        <v>134</v>
      </c>
    </row>
    <row r="1195" spans="1:8" x14ac:dyDescent="0.3">
      <c r="A1195" s="1" t="s">
        <v>117</v>
      </c>
      <c r="B1195" s="1" t="s">
        <v>118</v>
      </c>
      <c r="C1195" s="1">
        <v>2016</v>
      </c>
      <c r="D1195" s="1">
        <v>39222</v>
      </c>
      <c r="E1195" s="1">
        <v>305</v>
      </c>
      <c r="F1195" s="1">
        <v>22</v>
      </c>
      <c r="G1195" s="1">
        <v>1122906</v>
      </c>
      <c r="H1195" s="1">
        <v>35</v>
      </c>
    </row>
    <row r="1196" spans="1:8" x14ac:dyDescent="0.3">
      <c r="A1196" s="1" t="s">
        <v>119</v>
      </c>
      <c r="B1196" s="1" t="s">
        <v>120</v>
      </c>
      <c r="C1196" s="1">
        <v>2016</v>
      </c>
      <c r="D1196" s="1">
        <v>31413</v>
      </c>
      <c r="E1196" s="1">
        <v>239</v>
      </c>
      <c r="F1196" s="1">
        <v>50</v>
      </c>
      <c r="G1196" s="1">
        <v>872358</v>
      </c>
      <c r="H1196" s="1">
        <v>10</v>
      </c>
    </row>
    <row r="1197" spans="1:8" x14ac:dyDescent="0.3">
      <c r="A1197" s="1" t="s">
        <v>121</v>
      </c>
      <c r="B1197" s="1" t="s">
        <v>122</v>
      </c>
      <c r="C1197" s="1">
        <v>2016</v>
      </c>
      <c r="D1197" s="1">
        <v>28507</v>
      </c>
      <c r="E1197" s="1">
        <v>196</v>
      </c>
      <c r="F1197" s="1">
        <v>17</v>
      </c>
      <c r="G1197" s="1">
        <v>472242</v>
      </c>
      <c r="H1197" s="1">
        <v>0</v>
      </c>
    </row>
    <row r="1198" spans="1:8" x14ac:dyDescent="0.3">
      <c r="A1198" s="1" t="s">
        <v>123</v>
      </c>
      <c r="B1198" s="1" t="s">
        <v>124</v>
      </c>
      <c r="C1198" s="1">
        <v>2016</v>
      </c>
      <c r="D1198" s="1">
        <v>22870</v>
      </c>
      <c r="E1198" s="1">
        <v>56</v>
      </c>
      <c r="F1198" s="1">
        <v>85</v>
      </c>
      <c r="G1198" s="1">
        <v>936555</v>
      </c>
      <c r="H1198" s="1">
        <v>58</v>
      </c>
    </row>
    <row r="1199" spans="1:8" x14ac:dyDescent="0.3">
      <c r="A1199" s="1" t="s">
        <v>125</v>
      </c>
      <c r="B1199" s="1" t="s">
        <v>126</v>
      </c>
      <c r="C1199" s="1">
        <v>2016</v>
      </c>
      <c r="D1199" s="1">
        <v>13483</v>
      </c>
      <c r="E1199" s="1">
        <v>50</v>
      </c>
      <c r="F1199" s="1">
        <v>16</v>
      </c>
      <c r="G1199" s="1">
        <v>159510</v>
      </c>
      <c r="H1199" s="1">
        <v>3</v>
      </c>
    </row>
    <row r="1200" spans="1:8" x14ac:dyDescent="0.3">
      <c r="A1200" s="1" t="s">
        <v>127</v>
      </c>
      <c r="B1200" s="1" t="s">
        <v>128</v>
      </c>
      <c r="C1200" s="1">
        <v>2016</v>
      </c>
      <c r="D1200" s="1">
        <v>24676</v>
      </c>
      <c r="E1200" s="1">
        <v>103</v>
      </c>
      <c r="F1200" s="1">
        <v>26</v>
      </c>
      <c r="G1200" s="1">
        <v>622015</v>
      </c>
      <c r="H1200" s="1">
        <v>0</v>
      </c>
    </row>
    <row r="1201" spans="1:8" x14ac:dyDescent="0.3">
      <c r="A1201" s="1" t="s">
        <v>129</v>
      </c>
      <c r="B1201" s="1" t="s">
        <v>130</v>
      </c>
      <c r="C1201" s="1">
        <v>2016</v>
      </c>
      <c r="D1201" s="1">
        <v>31878</v>
      </c>
      <c r="E1201" s="1">
        <v>215</v>
      </c>
      <c r="F1201" s="1">
        <v>104</v>
      </c>
      <c r="G1201" s="1">
        <v>987850</v>
      </c>
      <c r="H1201" s="1">
        <v>1</v>
      </c>
    </row>
    <row r="1202" spans="1:8" x14ac:dyDescent="0.3">
      <c r="A1202" s="1" t="s">
        <v>131</v>
      </c>
      <c r="B1202" s="1" t="s">
        <v>132</v>
      </c>
      <c r="C1202" s="1">
        <v>2016</v>
      </c>
      <c r="D1202" s="1">
        <v>30445</v>
      </c>
      <c r="E1202" s="1">
        <v>281</v>
      </c>
      <c r="F1202" s="1">
        <v>92</v>
      </c>
      <c r="G1202" s="1">
        <v>588354</v>
      </c>
      <c r="H1202" s="1">
        <v>0</v>
      </c>
    </row>
    <row r="1203" spans="1:8" x14ac:dyDescent="0.3">
      <c r="A1203" s="1" t="s">
        <v>133</v>
      </c>
      <c r="B1203" s="1" t="s">
        <v>134</v>
      </c>
      <c r="C1203" s="1">
        <v>2016</v>
      </c>
      <c r="D1203" s="1">
        <v>49736</v>
      </c>
      <c r="E1203" s="1">
        <v>759</v>
      </c>
      <c r="F1203" s="1">
        <v>94</v>
      </c>
      <c r="G1203" s="1">
        <v>572882</v>
      </c>
      <c r="H1203" s="1">
        <v>9</v>
      </c>
    </row>
    <row r="1204" spans="1:8" x14ac:dyDescent="0.3">
      <c r="A1204" s="1" t="s">
        <v>135</v>
      </c>
      <c r="B1204" s="1" t="s">
        <v>136</v>
      </c>
      <c r="C1204" s="1">
        <v>2016</v>
      </c>
      <c r="D1204" s="1">
        <v>18644</v>
      </c>
      <c r="E1204" s="1">
        <v>247</v>
      </c>
      <c r="F1204" s="1">
        <v>90</v>
      </c>
      <c r="G1204" s="1">
        <v>457053</v>
      </c>
      <c r="H1204" s="1">
        <v>0</v>
      </c>
    </row>
    <row r="1205" spans="1:8" x14ac:dyDescent="0.3">
      <c r="A1205" s="1" t="s">
        <v>137</v>
      </c>
      <c r="B1205" s="1" t="s">
        <v>138</v>
      </c>
      <c r="C1205" s="1">
        <v>2016</v>
      </c>
      <c r="D1205" s="1">
        <v>33372</v>
      </c>
      <c r="E1205" s="1">
        <v>344</v>
      </c>
      <c r="F1205" s="1">
        <v>55</v>
      </c>
      <c r="G1205" s="1">
        <v>831901</v>
      </c>
      <c r="H1205" s="1">
        <v>38</v>
      </c>
    </row>
    <row r="1206" spans="1:8" x14ac:dyDescent="0.3">
      <c r="A1206" s="1" t="s">
        <v>139</v>
      </c>
      <c r="B1206" s="1" t="s">
        <v>140</v>
      </c>
      <c r="C1206" s="1">
        <v>2016</v>
      </c>
      <c r="D1206" s="1">
        <v>20808</v>
      </c>
      <c r="E1206" s="1">
        <v>104</v>
      </c>
      <c r="F1206" s="1">
        <v>54</v>
      </c>
      <c r="G1206" s="1">
        <v>1376672</v>
      </c>
      <c r="H1206" s="1">
        <v>0</v>
      </c>
    </row>
    <row r="1207" spans="1:8" x14ac:dyDescent="0.3">
      <c r="A1207" s="1" t="s">
        <v>141</v>
      </c>
      <c r="B1207" s="1" t="s">
        <v>142</v>
      </c>
      <c r="C1207" s="1">
        <v>2016</v>
      </c>
      <c r="D1207" s="1">
        <v>13019</v>
      </c>
      <c r="E1207" s="1">
        <v>58</v>
      </c>
      <c r="F1207" s="1">
        <v>23</v>
      </c>
      <c r="G1207" s="1">
        <v>357935</v>
      </c>
      <c r="H1207" s="1">
        <v>0</v>
      </c>
    </row>
    <row r="1208" spans="1:8" x14ac:dyDescent="0.3">
      <c r="A1208" s="1" t="s">
        <v>143</v>
      </c>
      <c r="B1208" s="1" t="s">
        <v>144</v>
      </c>
      <c r="C1208" s="1">
        <v>2016</v>
      </c>
      <c r="D1208" s="1">
        <v>42670</v>
      </c>
      <c r="E1208" s="1">
        <v>399</v>
      </c>
      <c r="F1208" s="1">
        <v>293</v>
      </c>
      <c r="G1208" s="1">
        <v>1401399</v>
      </c>
      <c r="H1208" s="1">
        <v>26</v>
      </c>
    </row>
    <row r="1209" spans="1:8" x14ac:dyDescent="0.3">
      <c r="A1209" s="1" t="s">
        <v>145</v>
      </c>
      <c r="B1209" s="1" t="s">
        <v>146</v>
      </c>
      <c r="C1209" s="1">
        <v>2016</v>
      </c>
      <c r="D1209" s="1">
        <v>19727</v>
      </c>
      <c r="E1209" s="1">
        <v>116</v>
      </c>
      <c r="F1209" s="1">
        <v>77</v>
      </c>
      <c r="G1209" s="1">
        <v>671803</v>
      </c>
      <c r="H1209" s="1">
        <v>0</v>
      </c>
    </row>
    <row r="1210" spans="1:8" x14ac:dyDescent="0.3">
      <c r="A1210" s="1" t="s">
        <v>147</v>
      </c>
      <c r="B1210" s="1" t="s">
        <v>148</v>
      </c>
      <c r="C1210" s="1">
        <v>2016</v>
      </c>
      <c r="D1210" s="1">
        <v>20147</v>
      </c>
      <c r="E1210" s="1">
        <v>74</v>
      </c>
      <c r="F1210" s="1">
        <v>74</v>
      </c>
      <c r="G1210" s="1">
        <v>518626</v>
      </c>
      <c r="H1210" s="1">
        <v>0</v>
      </c>
    </row>
    <row r="1211" spans="1:8" x14ac:dyDescent="0.3">
      <c r="A1211" s="1" t="s">
        <v>149</v>
      </c>
      <c r="B1211" s="1" t="s">
        <v>47</v>
      </c>
      <c r="C1211" s="1">
        <v>2016</v>
      </c>
      <c r="D1211" s="1">
        <v>26839</v>
      </c>
      <c r="E1211" s="1">
        <v>237</v>
      </c>
      <c r="F1211" s="1">
        <v>85</v>
      </c>
      <c r="G1211" s="1">
        <v>1044407</v>
      </c>
      <c r="H1211" s="1">
        <v>0</v>
      </c>
    </row>
    <row r="1212" spans="1:8" x14ac:dyDescent="0.3">
      <c r="A1212" s="1" t="s">
        <v>150</v>
      </c>
      <c r="B1212" s="1" t="s">
        <v>151</v>
      </c>
      <c r="C1212" s="1">
        <v>2016</v>
      </c>
      <c r="D1212" s="1">
        <v>28111</v>
      </c>
      <c r="E1212" s="1">
        <v>97</v>
      </c>
      <c r="F1212" s="1">
        <v>57</v>
      </c>
      <c r="G1212" s="1">
        <v>867721</v>
      </c>
      <c r="H1212" s="1">
        <v>0</v>
      </c>
    </row>
    <row r="1213" spans="1:8" x14ac:dyDescent="0.3">
      <c r="A1213" s="1" t="s">
        <v>152</v>
      </c>
      <c r="B1213" s="1" t="s">
        <v>153</v>
      </c>
      <c r="C1213" s="1">
        <v>2016</v>
      </c>
      <c r="D1213" s="1">
        <v>14293</v>
      </c>
      <c r="E1213" s="1">
        <v>115</v>
      </c>
      <c r="F1213" s="1">
        <v>51</v>
      </c>
      <c r="G1213" s="1">
        <v>883869</v>
      </c>
      <c r="H1213" s="1">
        <v>0</v>
      </c>
    </row>
    <row r="1214" spans="1:8" x14ac:dyDescent="0.3">
      <c r="A1214" s="1" t="s">
        <v>154</v>
      </c>
      <c r="B1214" s="1" t="s">
        <v>155</v>
      </c>
      <c r="C1214" s="1">
        <v>2016</v>
      </c>
      <c r="D1214" s="1">
        <v>36623</v>
      </c>
      <c r="E1214" s="1">
        <v>231</v>
      </c>
      <c r="F1214" s="1">
        <v>17</v>
      </c>
      <c r="G1214" s="1">
        <v>235704</v>
      </c>
      <c r="H1214" s="1">
        <v>0</v>
      </c>
    </row>
    <row r="1215" spans="1:8" x14ac:dyDescent="0.3">
      <c r="A1215" s="1" t="s">
        <v>156</v>
      </c>
      <c r="B1215" s="1" t="s">
        <v>157</v>
      </c>
      <c r="C1215" s="1">
        <v>2016</v>
      </c>
      <c r="D1215" s="1">
        <v>22022</v>
      </c>
      <c r="E1215" s="1">
        <v>236</v>
      </c>
      <c r="F1215" s="1">
        <v>160</v>
      </c>
      <c r="G1215" s="1">
        <v>2006720</v>
      </c>
      <c r="H1215" s="1">
        <v>0</v>
      </c>
    </row>
    <row r="1216" spans="1:8" x14ac:dyDescent="0.3">
      <c r="A1216" s="1" t="s">
        <v>158</v>
      </c>
      <c r="B1216" s="1" t="s">
        <v>159</v>
      </c>
      <c r="C1216" s="1">
        <v>2016</v>
      </c>
      <c r="D1216" s="1">
        <v>25659</v>
      </c>
      <c r="E1216" s="1">
        <v>127</v>
      </c>
      <c r="F1216" s="1">
        <v>221</v>
      </c>
      <c r="G1216" s="1">
        <v>1811368</v>
      </c>
      <c r="H1216" s="1">
        <v>0</v>
      </c>
    </row>
    <row r="1217" spans="1:8" x14ac:dyDescent="0.3">
      <c r="A1217" s="1" t="s">
        <v>160</v>
      </c>
      <c r="B1217" s="1" t="s">
        <v>161</v>
      </c>
      <c r="C1217" s="1">
        <v>2016</v>
      </c>
      <c r="D1217" s="1">
        <v>149506</v>
      </c>
      <c r="E1217" s="1">
        <v>2298</v>
      </c>
      <c r="F1217" s="1">
        <v>2987</v>
      </c>
      <c r="G1217" s="1">
        <v>10181834</v>
      </c>
      <c r="H1217" s="1">
        <v>34</v>
      </c>
    </row>
    <row r="1218" spans="1:8" x14ac:dyDescent="0.3">
      <c r="A1218" s="1" t="s">
        <v>162</v>
      </c>
      <c r="B1218" s="1" t="s">
        <v>163</v>
      </c>
      <c r="C1218" s="1">
        <v>2016</v>
      </c>
      <c r="D1218" s="1">
        <v>24100</v>
      </c>
      <c r="E1218" s="1">
        <v>133</v>
      </c>
      <c r="F1218" s="1">
        <v>246</v>
      </c>
      <c r="G1218" s="1">
        <v>3228686</v>
      </c>
      <c r="H1218" s="1">
        <v>90</v>
      </c>
    </row>
    <row r="1219" spans="1:8" x14ac:dyDescent="0.3">
      <c r="A1219" s="1" t="s">
        <v>164</v>
      </c>
      <c r="B1219" s="1" t="s">
        <v>165</v>
      </c>
      <c r="C1219" s="1">
        <v>2016</v>
      </c>
      <c r="D1219" s="1">
        <v>22418</v>
      </c>
      <c r="E1219" s="1">
        <v>296</v>
      </c>
      <c r="F1219" s="1">
        <v>273</v>
      </c>
      <c r="G1219" s="1">
        <v>738965</v>
      </c>
      <c r="H1219" s="1">
        <v>22</v>
      </c>
    </row>
    <row r="1220" spans="1:8" x14ac:dyDescent="0.3">
      <c r="A1220" s="1" t="s">
        <v>166</v>
      </c>
      <c r="B1220" s="1" t="s">
        <v>167</v>
      </c>
      <c r="C1220" s="1">
        <v>2016</v>
      </c>
      <c r="D1220" s="1">
        <v>19238</v>
      </c>
      <c r="E1220" s="1">
        <v>94</v>
      </c>
      <c r="F1220" s="1">
        <v>186</v>
      </c>
      <c r="G1220" s="1">
        <v>1346239</v>
      </c>
      <c r="H1220" s="1">
        <v>0</v>
      </c>
    </row>
    <row r="1221" spans="1:8" x14ac:dyDescent="0.3">
      <c r="A1221" s="1" t="s">
        <v>168</v>
      </c>
      <c r="B1221" s="1" t="s">
        <v>169</v>
      </c>
      <c r="C1221" s="1">
        <v>2016</v>
      </c>
      <c r="D1221" s="1">
        <v>20411</v>
      </c>
      <c r="E1221" s="1">
        <v>113</v>
      </c>
      <c r="F1221" s="1">
        <v>221</v>
      </c>
      <c r="G1221" s="1">
        <v>1467137</v>
      </c>
      <c r="H1221" s="1">
        <v>16</v>
      </c>
    </row>
    <row r="1222" spans="1:8" x14ac:dyDescent="0.3">
      <c r="A1222" s="1" t="s">
        <v>170</v>
      </c>
      <c r="B1222" s="1" t="s">
        <v>171</v>
      </c>
      <c r="C1222" s="1">
        <v>2016</v>
      </c>
      <c r="D1222" s="1">
        <v>30494</v>
      </c>
      <c r="E1222" s="1">
        <v>252</v>
      </c>
      <c r="F1222" s="1">
        <v>220</v>
      </c>
      <c r="G1222" s="1">
        <v>2155213</v>
      </c>
      <c r="H1222" s="1">
        <v>2</v>
      </c>
    </row>
    <row r="1223" spans="1:8" x14ac:dyDescent="0.3">
      <c r="A1223" s="1" t="s">
        <v>172</v>
      </c>
      <c r="B1223" s="1" t="s">
        <v>173</v>
      </c>
      <c r="C1223" s="1">
        <v>2016</v>
      </c>
      <c r="D1223" s="1">
        <v>16403</v>
      </c>
      <c r="E1223" s="1">
        <v>115</v>
      </c>
      <c r="F1223" s="1">
        <v>283</v>
      </c>
      <c r="G1223" s="1">
        <v>795142</v>
      </c>
      <c r="H1223" s="1">
        <v>11</v>
      </c>
    </row>
    <row r="1224" spans="1:8" x14ac:dyDescent="0.3">
      <c r="A1224" s="1" t="s">
        <v>174</v>
      </c>
      <c r="B1224" s="1" t="s">
        <v>175</v>
      </c>
      <c r="C1224" s="1">
        <v>2016</v>
      </c>
      <c r="D1224" s="1">
        <v>16755</v>
      </c>
      <c r="E1224" s="1">
        <v>145</v>
      </c>
      <c r="F1224" s="1">
        <v>158</v>
      </c>
      <c r="G1224" s="1">
        <v>1016858</v>
      </c>
      <c r="H1224" s="1">
        <v>16</v>
      </c>
    </row>
    <row r="1225" spans="1:8" x14ac:dyDescent="0.3">
      <c r="A1225" s="1" t="s">
        <v>176</v>
      </c>
      <c r="B1225" s="1" t="s">
        <v>177</v>
      </c>
      <c r="C1225" s="1">
        <v>2016</v>
      </c>
      <c r="D1225" s="1">
        <v>12249</v>
      </c>
      <c r="E1225" s="1">
        <v>63</v>
      </c>
      <c r="F1225" s="1">
        <v>119</v>
      </c>
      <c r="G1225" s="1">
        <v>896304</v>
      </c>
      <c r="H1225" s="1">
        <v>3</v>
      </c>
    </row>
    <row r="1226" spans="1:8" x14ac:dyDescent="0.3">
      <c r="A1226" s="1" t="s">
        <v>178</v>
      </c>
      <c r="B1226" s="1" t="s">
        <v>179</v>
      </c>
      <c r="C1226" s="1">
        <v>2016</v>
      </c>
      <c r="D1226" s="1">
        <v>19647</v>
      </c>
      <c r="E1226" s="1">
        <v>244</v>
      </c>
      <c r="F1226" s="1">
        <v>276</v>
      </c>
      <c r="G1226" s="1">
        <v>582362</v>
      </c>
      <c r="H1226" s="1">
        <v>4</v>
      </c>
    </row>
    <row r="1227" spans="1:8" x14ac:dyDescent="0.3">
      <c r="A1227" s="1" t="s">
        <v>180</v>
      </c>
      <c r="B1227" s="1" t="s">
        <v>181</v>
      </c>
      <c r="C1227" s="1">
        <v>2016</v>
      </c>
      <c r="D1227" s="1">
        <v>24618</v>
      </c>
      <c r="E1227" s="1">
        <v>254</v>
      </c>
      <c r="F1227" s="1">
        <v>179</v>
      </c>
      <c r="G1227" s="1">
        <v>1099815</v>
      </c>
      <c r="H1227" s="1">
        <v>19</v>
      </c>
    </row>
    <row r="1228" spans="1:8" x14ac:dyDescent="0.3">
      <c r="A1228" s="1" t="s">
        <v>182</v>
      </c>
      <c r="B1228" s="1" t="s">
        <v>183</v>
      </c>
      <c r="C1228" s="1">
        <v>2016</v>
      </c>
      <c r="D1228" s="1">
        <v>29424</v>
      </c>
      <c r="E1228" s="1">
        <v>95</v>
      </c>
      <c r="F1228" s="1">
        <v>265</v>
      </c>
      <c r="G1228" s="1">
        <v>2624064</v>
      </c>
      <c r="H1228" s="1">
        <v>40</v>
      </c>
    </row>
    <row r="1229" spans="1:8" x14ac:dyDescent="0.3">
      <c r="A1229" s="1" t="s">
        <v>184</v>
      </c>
      <c r="B1229" s="1" t="s">
        <v>185</v>
      </c>
      <c r="C1229" s="1">
        <v>2016</v>
      </c>
      <c r="D1229" s="1">
        <v>34189</v>
      </c>
      <c r="E1229" s="1">
        <v>152</v>
      </c>
      <c r="F1229" s="1">
        <v>399</v>
      </c>
      <c r="G1229" s="1">
        <v>2213595</v>
      </c>
      <c r="H1229" s="1">
        <v>80</v>
      </c>
    </row>
    <row r="1230" spans="1:8" x14ac:dyDescent="0.3">
      <c r="A1230" s="1" t="s">
        <v>186</v>
      </c>
      <c r="B1230" s="1" t="s">
        <v>187</v>
      </c>
      <c r="C1230" s="1">
        <v>2016</v>
      </c>
      <c r="D1230" s="1">
        <v>12553</v>
      </c>
      <c r="E1230" s="1">
        <v>105</v>
      </c>
      <c r="F1230" s="1">
        <v>54</v>
      </c>
      <c r="G1230" s="1">
        <v>339743</v>
      </c>
      <c r="H1230" s="1">
        <v>12</v>
      </c>
    </row>
    <row r="1231" spans="1:8" x14ac:dyDescent="0.3">
      <c r="A1231" s="1" t="s">
        <v>188</v>
      </c>
      <c r="B1231" s="1" t="s">
        <v>189</v>
      </c>
      <c r="C1231" s="1">
        <v>2016</v>
      </c>
      <c r="D1231" s="1">
        <v>52004</v>
      </c>
      <c r="E1231" s="1">
        <v>510</v>
      </c>
      <c r="F1231" s="1">
        <v>1285</v>
      </c>
      <c r="G1231" s="1">
        <v>3854805</v>
      </c>
      <c r="H1231" s="1">
        <v>170</v>
      </c>
    </row>
    <row r="1232" spans="1:8" x14ac:dyDescent="0.3">
      <c r="A1232" s="1" t="s">
        <v>190</v>
      </c>
      <c r="B1232" s="1" t="s">
        <v>191</v>
      </c>
      <c r="C1232" s="1">
        <v>2016</v>
      </c>
      <c r="D1232" s="1">
        <v>58700</v>
      </c>
      <c r="E1232" s="1">
        <v>1145</v>
      </c>
      <c r="F1232" s="1">
        <v>958</v>
      </c>
      <c r="G1232" s="1">
        <v>4440110</v>
      </c>
      <c r="H1232" s="1">
        <v>29</v>
      </c>
    </row>
    <row r="1233" spans="1:8" x14ac:dyDescent="0.3">
      <c r="A1233" s="1" t="s">
        <v>192</v>
      </c>
      <c r="B1233" s="1" t="s">
        <v>193</v>
      </c>
      <c r="C1233" s="1">
        <v>2016</v>
      </c>
      <c r="D1233" s="1">
        <v>40607</v>
      </c>
      <c r="E1233" s="1">
        <v>310</v>
      </c>
      <c r="F1233" s="1">
        <v>297</v>
      </c>
      <c r="G1233" s="1">
        <v>2083968</v>
      </c>
      <c r="H1233" s="1">
        <v>113</v>
      </c>
    </row>
    <row r="1234" spans="1:8" x14ac:dyDescent="0.3">
      <c r="A1234" s="1" t="s">
        <v>194</v>
      </c>
      <c r="B1234" s="1" t="s">
        <v>195</v>
      </c>
      <c r="C1234" s="1">
        <v>2016</v>
      </c>
      <c r="D1234" s="1">
        <v>37900</v>
      </c>
      <c r="E1234" s="1">
        <v>219</v>
      </c>
      <c r="F1234" s="1">
        <v>64</v>
      </c>
      <c r="G1234" s="1">
        <v>3644091</v>
      </c>
      <c r="H1234" s="1">
        <v>58</v>
      </c>
    </row>
    <row r="1235" spans="1:8" x14ac:dyDescent="0.3">
      <c r="A1235" s="1" t="s">
        <v>196</v>
      </c>
      <c r="B1235" s="1" t="s">
        <v>197</v>
      </c>
      <c r="C1235" s="1">
        <v>2016</v>
      </c>
      <c r="D1235" s="1">
        <v>19292</v>
      </c>
      <c r="E1235" s="1">
        <v>142</v>
      </c>
      <c r="F1235" s="1">
        <v>62</v>
      </c>
      <c r="G1235" s="1">
        <v>1052347</v>
      </c>
      <c r="H1235" s="1">
        <v>28</v>
      </c>
    </row>
    <row r="1236" spans="1:8" x14ac:dyDescent="0.3">
      <c r="A1236" s="1" t="s">
        <v>198</v>
      </c>
      <c r="B1236" s="1" t="s">
        <v>199</v>
      </c>
      <c r="C1236" s="1">
        <v>2016</v>
      </c>
      <c r="D1236" s="1">
        <v>17296</v>
      </c>
      <c r="E1236" s="1">
        <v>50</v>
      </c>
      <c r="F1236" s="1">
        <v>47</v>
      </c>
      <c r="G1236" s="1">
        <v>525144</v>
      </c>
      <c r="H1236" s="1">
        <v>1</v>
      </c>
    </row>
    <row r="1237" spans="1:8" x14ac:dyDescent="0.3">
      <c r="A1237" s="1" t="s">
        <v>200</v>
      </c>
      <c r="B1237" s="1" t="s">
        <v>201</v>
      </c>
      <c r="C1237" s="1">
        <v>2016</v>
      </c>
      <c r="D1237" s="1">
        <v>27656</v>
      </c>
      <c r="E1237" s="1">
        <v>184</v>
      </c>
      <c r="F1237" s="1">
        <v>83</v>
      </c>
      <c r="G1237" s="1">
        <v>966508</v>
      </c>
      <c r="H1237" s="1">
        <v>10</v>
      </c>
    </row>
    <row r="1238" spans="1:8" x14ac:dyDescent="0.3">
      <c r="A1238" s="1" t="s">
        <v>202</v>
      </c>
      <c r="B1238" s="1" t="s">
        <v>203</v>
      </c>
      <c r="C1238" s="1">
        <v>2016</v>
      </c>
      <c r="D1238" s="1">
        <v>24227</v>
      </c>
      <c r="E1238" s="1">
        <v>254</v>
      </c>
      <c r="F1238" s="1">
        <v>21</v>
      </c>
      <c r="G1238" s="1">
        <v>475728</v>
      </c>
      <c r="H1238" s="1">
        <v>138</v>
      </c>
    </row>
    <row r="1239" spans="1:8" x14ac:dyDescent="0.3">
      <c r="A1239" s="1" t="s">
        <v>204</v>
      </c>
      <c r="B1239" s="1" t="s">
        <v>205</v>
      </c>
      <c r="C1239" s="1">
        <v>2016</v>
      </c>
      <c r="D1239" s="1">
        <v>26196</v>
      </c>
      <c r="E1239" s="1">
        <v>180</v>
      </c>
      <c r="F1239" s="1">
        <v>46</v>
      </c>
      <c r="G1239" s="1">
        <v>386598</v>
      </c>
      <c r="H1239" s="1">
        <v>62</v>
      </c>
    </row>
    <row r="1240" spans="1:8" x14ac:dyDescent="0.3">
      <c r="A1240" s="1" t="s">
        <v>206</v>
      </c>
      <c r="B1240" s="1" t="s">
        <v>207</v>
      </c>
      <c r="C1240" s="1">
        <v>2016</v>
      </c>
      <c r="D1240" s="1">
        <v>50907</v>
      </c>
      <c r="E1240" s="1">
        <v>422</v>
      </c>
      <c r="F1240" s="1">
        <v>265</v>
      </c>
      <c r="G1240" s="1">
        <v>1532343</v>
      </c>
      <c r="H1240" s="1">
        <v>54</v>
      </c>
    </row>
    <row r="1241" spans="1:8" x14ac:dyDescent="0.3">
      <c r="A1241" s="1" t="s">
        <v>208</v>
      </c>
      <c r="B1241" s="1" t="s">
        <v>209</v>
      </c>
      <c r="C1241" s="1">
        <v>2016</v>
      </c>
      <c r="D1241" s="1">
        <v>16949</v>
      </c>
      <c r="E1241" s="1">
        <v>128</v>
      </c>
      <c r="F1241" s="1">
        <v>8</v>
      </c>
      <c r="G1241" s="1">
        <v>229793</v>
      </c>
      <c r="H1241" s="1">
        <v>90</v>
      </c>
    </row>
    <row r="1242" spans="1:8" x14ac:dyDescent="0.3">
      <c r="A1242" s="1" t="s">
        <v>210</v>
      </c>
      <c r="B1242" s="1" t="s">
        <v>211</v>
      </c>
      <c r="C1242" s="1">
        <v>2016</v>
      </c>
      <c r="D1242" s="1">
        <v>30238</v>
      </c>
      <c r="E1242" s="1">
        <v>316</v>
      </c>
      <c r="F1242" s="1">
        <v>12</v>
      </c>
      <c r="G1242" s="1">
        <v>444402</v>
      </c>
      <c r="H1242" s="1">
        <v>10</v>
      </c>
    </row>
    <row r="1243" spans="1:8" x14ac:dyDescent="0.3">
      <c r="A1243" s="1" t="s">
        <v>212</v>
      </c>
      <c r="B1243" s="1" t="s">
        <v>213</v>
      </c>
      <c r="C1243" s="1">
        <v>2016</v>
      </c>
      <c r="D1243" s="1">
        <v>15504</v>
      </c>
      <c r="E1243" s="1">
        <v>106</v>
      </c>
      <c r="F1243" s="1">
        <v>34</v>
      </c>
      <c r="G1243" s="1">
        <v>481279</v>
      </c>
      <c r="H1243" s="1">
        <v>0</v>
      </c>
    </row>
    <row r="1244" spans="1:8" x14ac:dyDescent="0.3">
      <c r="A1244" s="1" t="s">
        <v>214</v>
      </c>
      <c r="B1244" s="1" t="s">
        <v>215</v>
      </c>
      <c r="C1244" s="1">
        <v>2016</v>
      </c>
      <c r="D1244" s="1">
        <v>43196</v>
      </c>
      <c r="E1244" s="1">
        <v>347</v>
      </c>
      <c r="F1244" s="1">
        <v>76</v>
      </c>
      <c r="G1244" s="1">
        <v>1229990</v>
      </c>
      <c r="H1244" s="1">
        <v>13</v>
      </c>
    </row>
    <row r="1245" spans="1:8" x14ac:dyDescent="0.3">
      <c r="A1245" s="1" t="s">
        <v>216</v>
      </c>
      <c r="B1245" s="1" t="s">
        <v>217</v>
      </c>
      <c r="C1245" s="1">
        <v>2016</v>
      </c>
      <c r="D1245" s="1">
        <v>16498</v>
      </c>
      <c r="E1245" s="1">
        <v>133</v>
      </c>
      <c r="F1245" s="1">
        <v>70</v>
      </c>
      <c r="G1245" s="1">
        <v>681733</v>
      </c>
      <c r="H1245" s="1">
        <v>11</v>
      </c>
    </row>
    <row r="1246" spans="1:8" x14ac:dyDescent="0.3">
      <c r="A1246" s="1" t="s">
        <v>218</v>
      </c>
      <c r="B1246" s="1" t="s">
        <v>219</v>
      </c>
      <c r="C1246" s="1">
        <v>2016</v>
      </c>
      <c r="D1246" s="1">
        <v>39461</v>
      </c>
      <c r="E1246" s="1">
        <v>235</v>
      </c>
      <c r="F1246" s="1">
        <v>156</v>
      </c>
      <c r="G1246" s="1">
        <v>1627861</v>
      </c>
      <c r="H1246" s="1">
        <v>25</v>
      </c>
    </row>
    <row r="1247" spans="1:8" x14ac:dyDescent="0.3">
      <c r="A1247" s="1" t="s">
        <v>220</v>
      </c>
      <c r="B1247" s="1" t="s">
        <v>221</v>
      </c>
      <c r="C1247" s="1">
        <v>2016</v>
      </c>
      <c r="D1247" s="1">
        <v>12316</v>
      </c>
      <c r="E1247" s="1">
        <v>105</v>
      </c>
      <c r="F1247" s="1">
        <v>0</v>
      </c>
      <c r="G1247" s="1">
        <v>11295</v>
      </c>
      <c r="H1247" s="1">
        <v>3</v>
      </c>
    </row>
    <row r="1248" spans="1:8" x14ac:dyDescent="0.3">
      <c r="A1248" s="1" t="s">
        <v>222</v>
      </c>
      <c r="B1248" s="1" t="s">
        <v>151</v>
      </c>
      <c r="C1248" s="1">
        <v>2016</v>
      </c>
      <c r="D1248" s="1">
        <v>45795</v>
      </c>
      <c r="E1248" s="1">
        <v>386</v>
      </c>
      <c r="F1248" s="1">
        <v>235</v>
      </c>
      <c r="G1248" s="1">
        <v>2832862</v>
      </c>
      <c r="H1248" s="1">
        <v>42</v>
      </c>
    </row>
    <row r="1249" spans="1:8" x14ac:dyDescent="0.3">
      <c r="A1249" s="1" t="s">
        <v>223</v>
      </c>
      <c r="B1249" s="1" t="s">
        <v>224</v>
      </c>
      <c r="C1249" s="1">
        <v>2016</v>
      </c>
      <c r="D1249" s="1">
        <v>25407</v>
      </c>
      <c r="E1249" s="1">
        <v>183</v>
      </c>
      <c r="F1249" s="1">
        <v>36</v>
      </c>
      <c r="G1249" s="1">
        <v>941433</v>
      </c>
      <c r="H1249" s="1">
        <v>46</v>
      </c>
    </row>
    <row r="1250" spans="1:8" x14ac:dyDescent="0.3">
      <c r="A1250" s="1" t="s">
        <v>225</v>
      </c>
      <c r="B1250" s="1" t="s">
        <v>226</v>
      </c>
      <c r="C1250" s="1">
        <v>2016</v>
      </c>
      <c r="D1250" s="1">
        <v>13474</v>
      </c>
      <c r="E1250" s="1">
        <v>120</v>
      </c>
      <c r="F1250" s="1">
        <v>65</v>
      </c>
      <c r="G1250" s="1">
        <v>310603</v>
      </c>
      <c r="H1250" s="1">
        <v>0</v>
      </c>
    </row>
    <row r="1251" spans="1:8" x14ac:dyDescent="0.3">
      <c r="A1251" s="1" t="s">
        <v>227</v>
      </c>
      <c r="B1251" s="1" t="s">
        <v>228</v>
      </c>
      <c r="C1251" s="1">
        <v>2016</v>
      </c>
      <c r="D1251" s="1">
        <v>24485</v>
      </c>
      <c r="E1251" s="1">
        <v>149</v>
      </c>
      <c r="F1251" s="1">
        <v>74</v>
      </c>
      <c r="G1251" s="1">
        <v>1385000</v>
      </c>
      <c r="H1251" s="1">
        <v>0</v>
      </c>
    </row>
    <row r="1252" spans="1:8" x14ac:dyDescent="0.3">
      <c r="A1252" s="1" t="s">
        <v>229</v>
      </c>
      <c r="B1252" s="1" t="s">
        <v>230</v>
      </c>
      <c r="C1252" s="1">
        <v>2016</v>
      </c>
      <c r="D1252" s="1">
        <v>66045</v>
      </c>
      <c r="E1252" s="1">
        <v>713</v>
      </c>
      <c r="F1252" s="1">
        <v>333</v>
      </c>
      <c r="G1252" s="1">
        <v>2608788</v>
      </c>
      <c r="H1252" s="1">
        <v>199</v>
      </c>
    </row>
    <row r="1253" spans="1:8" x14ac:dyDescent="0.3">
      <c r="A1253" s="1" t="s">
        <v>231</v>
      </c>
      <c r="B1253" s="1" t="s">
        <v>232</v>
      </c>
      <c r="C1253" s="1">
        <v>2016</v>
      </c>
      <c r="D1253" s="1">
        <v>11414</v>
      </c>
      <c r="E1253" s="1">
        <v>122</v>
      </c>
      <c r="F1253" s="1">
        <v>75</v>
      </c>
      <c r="G1253" s="1">
        <v>311337</v>
      </c>
      <c r="H1253" s="1">
        <v>0</v>
      </c>
    </row>
    <row r="1254" spans="1:8" x14ac:dyDescent="0.3">
      <c r="A1254" s="1" t="s">
        <v>233</v>
      </c>
      <c r="B1254" s="1" t="s">
        <v>234</v>
      </c>
      <c r="C1254" s="1">
        <v>2016</v>
      </c>
      <c r="D1254" s="1">
        <v>353968</v>
      </c>
      <c r="E1254" s="1">
        <v>2066</v>
      </c>
      <c r="F1254" s="1">
        <v>5427</v>
      </c>
      <c r="G1254" s="1">
        <v>27479205</v>
      </c>
      <c r="H1254" s="1">
        <v>0</v>
      </c>
    </row>
    <row r="1255" spans="1:8" x14ac:dyDescent="0.3">
      <c r="A1255" s="1" t="s">
        <v>235</v>
      </c>
      <c r="B1255" s="1" t="s">
        <v>236</v>
      </c>
      <c r="C1255" s="1">
        <v>2016</v>
      </c>
      <c r="D1255" s="1">
        <v>31492</v>
      </c>
      <c r="E1255" s="1">
        <v>136</v>
      </c>
      <c r="F1255" s="1">
        <v>210</v>
      </c>
      <c r="G1255" s="1">
        <v>4884607</v>
      </c>
      <c r="H1255" s="1">
        <v>36</v>
      </c>
    </row>
    <row r="1256" spans="1:8" x14ac:dyDescent="0.3">
      <c r="A1256" s="1" t="s">
        <v>237</v>
      </c>
      <c r="B1256" s="1" t="s">
        <v>238</v>
      </c>
      <c r="C1256" s="1">
        <v>2016</v>
      </c>
      <c r="D1256" s="1">
        <v>19560</v>
      </c>
      <c r="E1256" s="1">
        <v>59</v>
      </c>
      <c r="F1256" s="1">
        <v>164</v>
      </c>
      <c r="G1256" s="1">
        <v>716700</v>
      </c>
      <c r="H1256" s="1">
        <v>18</v>
      </c>
    </row>
    <row r="1257" spans="1:8" x14ac:dyDescent="0.3">
      <c r="A1257" s="1" t="s">
        <v>239</v>
      </c>
      <c r="B1257" s="1" t="s">
        <v>240</v>
      </c>
      <c r="C1257" s="1">
        <v>2016</v>
      </c>
      <c r="D1257" s="1">
        <v>31708</v>
      </c>
      <c r="E1257" s="1">
        <v>323</v>
      </c>
      <c r="F1257" s="1">
        <v>110</v>
      </c>
      <c r="G1257" s="1">
        <v>475706</v>
      </c>
      <c r="H1257" s="1">
        <v>0</v>
      </c>
    </row>
    <row r="1258" spans="1:8" x14ac:dyDescent="0.3">
      <c r="A1258" s="1" t="s">
        <v>241</v>
      </c>
      <c r="B1258" s="1" t="s">
        <v>242</v>
      </c>
      <c r="C1258" s="1">
        <v>2016</v>
      </c>
      <c r="D1258" s="1">
        <v>27436</v>
      </c>
      <c r="E1258" s="1">
        <v>277</v>
      </c>
      <c r="F1258" s="1">
        <v>32</v>
      </c>
      <c r="G1258" s="1">
        <v>326394</v>
      </c>
      <c r="H1258" s="1">
        <v>1</v>
      </c>
    </row>
    <row r="1259" spans="1:8" x14ac:dyDescent="0.3">
      <c r="A1259" s="1" t="s">
        <v>243</v>
      </c>
      <c r="B1259" s="1" t="s">
        <v>244</v>
      </c>
      <c r="C1259" s="1">
        <v>2016</v>
      </c>
      <c r="D1259" s="1">
        <v>44133</v>
      </c>
      <c r="E1259" s="1">
        <v>203</v>
      </c>
      <c r="F1259" s="1">
        <v>291</v>
      </c>
      <c r="G1259" s="1">
        <v>4406193</v>
      </c>
      <c r="H1259" s="1">
        <v>135</v>
      </c>
    </row>
    <row r="1260" spans="1:8" x14ac:dyDescent="0.3">
      <c r="A1260" s="1" t="s">
        <v>245</v>
      </c>
      <c r="B1260" s="1" t="s">
        <v>246</v>
      </c>
      <c r="C1260" s="1">
        <v>2016</v>
      </c>
      <c r="D1260" s="1">
        <v>16615</v>
      </c>
      <c r="E1260" s="1">
        <v>109</v>
      </c>
      <c r="F1260" s="1">
        <v>26</v>
      </c>
      <c r="G1260" s="1">
        <v>201849</v>
      </c>
      <c r="H1260" s="1">
        <v>0</v>
      </c>
    </row>
    <row r="1261" spans="1:8" x14ac:dyDescent="0.3">
      <c r="A1261" s="1" t="s">
        <v>247</v>
      </c>
      <c r="B1261" s="1" t="s">
        <v>248</v>
      </c>
      <c r="C1261" s="1">
        <v>2016</v>
      </c>
      <c r="D1261" s="1">
        <v>31860</v>
      </c>
      <c r="E1261" s="1">
        <v>306</v>
      </c>
      <c r="F1261" s="1">
        <v>66</v>
      </c>
      <c r="G1261" s="1">
        <v>1039092</v>
      </c>
      <c r="H1261" s="1">
        <v>1</v>
      </c>
    </row>
    <row r="1262" spans="1:8" x14ac:dyDescent="0.3">
      <c r="A1262" s="1" t="s">
        <v>249</v>
      </c>
      <c r="B1262" s="1" t="s">
        <v>250</v>
      </c>
      <c r="C1262" s="1">
        <v>2016</v>
      </c>
      <c r="D1262" s="1">
        <v>85049</v>
      </c>
      <c r="E1262" s="1">
        <v>1305</v>
      </c>
      <c r="F1262" s="1">
        <v>313</v>
      </c>
      <c r="G1262" s="1">
        <v>1030821</v>
      </c>
      <c r="H1262" s="1">
        <v>81</v>
      </c>
    </row>
    <row r="1263" spans="1:8" x14ac:dyDescent="0.3">
      <c r="A1263" s="1" t="s">
        <v>251</v>
      </c>
      <c r="B1263" s="1" t="s">
        <v>252</v>
      </c>
      <c r="C1263" s="1">
        <v>2016</v>
      </c>
      <c r="D1263" s="1">
        <v>34053</v>
      </c>
      <c r="E1263" s="1">
        <v>439</v>
      </c>
      <c r="F1263" s="1">
        <v>45</v>
      </c>
      <c r="G1263" s="1">
        <v>366830</v>
      </c>
      <c r="H1263" s="1">
        <v>0</v>
      </c>
    </row>
    <row r="1264" spans="1:8" x14ac:dyDescent="0.3">
      <c r="A1264" s="1" t="s">
        <v>253</v>
      </c>
      <c r="B1264" s="1" t="s">
        <v>254</v>
      </c>
      <c r="C1264" s="1">
        <v>2016</v>
      </c>
      <c r="D1264" s="1">
        <v>17151</v>
      </c>
      <c r="E1264" s="1">
        <v>54</v>
      </c>
      <c r="F1264" s="1">
        <v>20</v>
      </c>
      <c r="G1264" s="1">
        <v>343783</v>
      </c>
      <c r="H1264" s="1">
        <v>0</v>
      </c>
    </row>
    <row r="1265" spans="1:8" x14ac:dyDescent="0.3">
      <c r="A1265" s="1" t="s">
        <v>255</v>
      </c>
      <c r="B1265" s="1" t="s">
        <v>256</v>
      </c>
      <c r="C1265" s="1">
        <v>2016</v>
      </c>
      <c r="D1265" s="1">
        <v>34130</v>
      </c>
      <c r="E1265" s="1">
        <v>415</v>
      </c>
      <c r="F1265" s="1">
        <v>84</v>
      </c>
      <c r="G1265" s="1">
        <v>181688</v>
      </c>
      <c r="H1265" s="1">
        <v>12</v>
      </c>
    </row>
    <row r="1266" spans="1:8" x14ac:dyDescent="0.3">
      <c r="A1266" s="1" t="s">
        <v>257</v>
      </c>
      <c r="B1266" s="1" t="s">
        <v>258</v>
      </c>
      <c r="C1266" s="1">
        <v>2016</v>
      </c>
      <c r="D1266" s="1">
        <v>53313</v>
      </c>
      <c r="E1266" s="1">
        <v>359</v>
      </c>
      <c r="F1266" s="1">
        <v>166</v>
      </c>
      <c r="G1266" s="1">
        <v>833495</v>
      </c>
      <c r="H1266" s="1">
        <v>15</v>
      </c>
    </row>
    <row r="1267" spans="1:8" x14ac:dyDescent="0.3">
      <c r="A1267" s="1" t="s">
        <v>259</v>
      </c>
      <c r="B1267" s="1" t="s">
        <v>260</v>
      </c>
      <c r="C1267" s="1">
        <v>2016</v>
      </c>
      <c r="D1267" s="1">
        <v>53004</v>
      </c>
      <c r="E1267" s="1">
        <v>521</v>
      </c>
      <c r="F1267" s="1">
        <v>102</v>
      </c>
      <c r="G1267" s="1">
        <v>945476</v>
      </c>
      <c r="H1267" s="1">
        <v>0</v>
      </c>
    </row>
    <row r="1268" spans="1:8" x14ac:dyDescent="0.3">
      <c r="A1268" s="1" t="s">
        <v>261</v>
      </c>
      <c r="B1268" s="1" t="s">
        <v>262</v>
      </c>
      <c r="C1268" s="1">
        <v>2016</v>
      </c>
      <c r="D1268" s="1">
        <v>37973</v>
      </c>
      <c r="E1268" s="1">
        <v>182</v>
      </c>
      <c r="F1268" s="1">
        <v>161</v>
      </c>
      <c r="G1268" s="1">
        <v>1419489</v>
      </c>
      <c r="H1268" s="1">
        <v>41</v>
      </c>
    </row>
    <row r="1269" spans="1:8" x14ac:dyDescent="0.3">
      <c r="A1269" s="1" t="s">
        <v>263</v>
      </c>
      <c r="B1269" s="1" t="s">
        <v>264</v>
      </c>
      <c r="C1269" s="1">
        <v>2016</v>
      </c>
      <c r="D1269" s="1">
        <v>51246</v>
      </c>
      <c r="E1269" s="1">
        <v>361</v>
      </c>
      <c r="F1269" s="1">
        <v>326</v>
      </c>
      <c r="G1269" s="1">
        <v>2812425</v>
      </c>
      <c r="H1269" s="1">
        <v>26</v>
      </c>
    </row>
    <row r="1270" spans="1:8" x14ac:dyDescent="0.3">
      <c r="A1270" s="1" t="s">
        <v>265</v>
      </c>
      <c r="B1270" s="1" t="s">
        <v>266</v>
      </c>
      <c r="C1270" s="1">
        <v>2016</v>
      </c>
      <c r="D1270" s="1">
        <v>13053</v>
      </c>
      <c r="E1270" s="1">
        <v>110</v>
      </c>
      <c r="F1270" s="1">
        <v>17</v>
      </c>
      <c r="G1270" s="1">
        <v>368134</v>
      </c>
      <c r="H1270" s="1">
        <v>0</v>
      </c>
    </row>
    <row r="1271" spans="1:8" x14ac:dyDescent="0.3">
      <c r="A1271" s="1" t="s">
        <v>267</v>
      </c>
      <c r="B1271" s="1" t="s">
        <v>268</v>
      </c>
      <c r="C1271" s="1">
        <v>2016</v>
      </c>
      <c r="D1271" s="1">
        <v>25078</v>
      </c>
      <c r="E1271" s="1">
        <v>229</v>
      </c>
      <c r="F1271" s="1">
        <v>24</v>
      </c>
      <c r="G1271" s="1">
        <v>191564</v>
      </c>
      <c r="H1271" s="1">
        <v>17</v>
      </c>
    </row>
    <row r="1272" spans="1:8" x14ac:dyDescent="0.3">
      <c r="A1272" s="1" t="s">
        <v>269</v>
      </c>
      <c r="B1272" s="1" t="s">
        <v>270</v>
      </c>
      <c r="C1272" s="1">
        <v>2016</v>
      </c>
      <c r="D1272" s="1">
        <v>54383</v>
      </c>
      <c r="E1272" s="1">
        <v>660</v>
      </c>
      <c r="F1272" s="1">
        <v>0</v>
      </c>
      <c r="G1272" s="1">
        <v>316250</v>
      </c>
      <c r="H1272" s="1">
        <v>21</v>
      </c>
    </row>
    <row r="1273" spans="1:8" x14ac:dyDescent="0.3">
      <c r="A1273" s="1" t="s">
        <v>271</v>
      </c>
      <c r="B1273" s="1" t="s">
        <v>272</v>
      </c>
      <c r="C1273" s="1">
        <v>2016</v>
      </c>
      <c r="D1273" s="1">
        <v>24733</v>
      </c>
      <c r="E1273" s="1">
        <v>311</v>
      </c>
      <c r="F1273" s="1">
        <v>124</v>
      </c>
      <c r="G1273" s="1">
        <v>360787</v>
      </c>
      <c r="H1273" s="1">
        <v>2</v>
      </c>
    </row>
    <row r="1274" spans="1:8" x14ac:dyDescent="0.3">
      <c r="A1274" s="1" t="s">
        <v>273</v>
      </c>
      <c r="B1274" s="1" t="s">
        <v>274</v>
      </c>
      <c r="C1274" s="1">
        <v>2016</v>
      </c>
      <c r="D1274" s="1">
        <v>46968</v>
      </c>
      <c r="E1274" s="1">
        <v>540</v>
      </c>
      <c r="F1274" s="1">
        <v>151</v>
      </c>
      <c r="G1274" s="1">
        <v>1333292</v>
      </c>
      <c r="H1274" s="1">
        <v>0</v>
      </c>
    </row>
    <row r="1275" spans="1:8" x14ac:dyDescent="0.3">
      <c r="A1275" s="1" t="s">
        <v>275</v>
      </c>
      <c r="B1275" s="1" t="s">
        <v>276</v>
      </c>
      <c r="C1275" s="1">
        <v>2016</v>
      </c>
      <c r="D1275" s="1">
        <v>38177</v>
      </c>
      <c r="E1275" s="1">
        <v>786</v>
      </c>
      <c r="F1275" s="1">
        <v>369</v>
      </c>
      <c r="G1275" s="1">
        <v>240203</v>
      </c>
      <c r="H1275" s="1">
        <v>0</v>
      </c>
    </row>
    <row r="1276" spans="1:8" x14ac:dyDescent="0.3">
      <c r="A1276" s="1" t="s">
        <v>277</v>
      </c>
      <c r="B1276" s="1" t="s">
        <v>278</v>
      </c>
      <c r="C1276" s="1">
        <v>2016</v>
      </c>
      <c r="D1276" s="1">
        <v>369203</v>
      </c>
      <c r="E1276" s="1">
        <v>9363</v>
      </c>
      <c r="F1276" s="1">
        <v>10960</v>
      </c>
      <c r="G1276" s="1">
        <v>18605599</v>
      </c>
      <c r="H1276" s="1">
        <v>213</v>
      </c>
    </row>
    <row r="1277" spans="1:8" x14ac:dyDescent="0.3">
      <c r="A1277" s="1" t="s">
        <v>279</v>
      </c>
      <c r="B1277" s="1" t="s">
        <v>280</v>
      </c>
      <c r="C1277" s="1">
        <v>2016</v>
      </c>
      <c r="D1277" s="1">
        <v>29998</v>
      </c>
      <c r="E1277" s="1">
        <v>261</v>
      </c>
      <c r="F1277" s="1">
        <v>310</v>
      </c>
      <c r="G1277" s="1">
        <v>2703835</v>
      </c>
      <c r="H1277" s="1">
        <v>94</v>
      </c>
    </row>
    <row r="1278" spans="1:8" x14ac:dyDescent="0.3">
      <c r="A1278" s="1" t="s">
        <v>281</v>
      </c>
      <c r="B1278" s="1" t="s">
        <v>282</v>
      </c>
      <c r="C1278" s="1">
        <v>2016</v>
      </c>
      <c r="D1278" s="1">
        <v>43399</v>
      </c>
      <c r="E1278" s="1">
        <v>265</v>
      </c>
      <c r="F1278" s="1">
        <v>426</v>
      </c>
      <c r="G1278" s="1">
        <v>6170566</v>
      </c>
      <c r="H1278" s="1">
        <v>159</v>
      </c>
    </row>
    <row r="1279" spans="1:8" x14ac:dyDescent="0.3">
      <c r="A1279" s="1" t="s">
        <v>283</v>
      </c>
      <c r="B1279" s="1" t="s">
        <v>284</v>
      </c>
      <c r="C1279" s="1">
        <v>2016</v>
      </c>
      <c r="D1279" s="1">
        <v>11833</v>
      </c>
      <c r="E1279" s="1">
        <v>100</v>
      </c>
      <c r="F1279" s="1">
        <v>19</v>
      </c>
      <c r="G1279" s="1">
        <v>116795</v>
      </c>
      <c r="H1279" s="1">
        <v>0</v>
      </c>
    </row>
    <row r="1280" spans="1:8" x14ac:dyDescent="0.3">
      <c r="A1280" s="1" t="s">
        <v>285</v>
      </c>
      <c r="B1280" s="1" t="s">
        <v>286</v>
      </c>
      <c r="C1280" s="1">
        <v>2016</v>
      </c>
      <c r="D1280" s="1">
        <v>31131</v>
      </c>
      <c r="E1280" s="1">
        <v>171</v>
      </c>
      <c r="F1280" s="1">
        <v>190</v>
      </c>
      <c r="G1280" s="1">
        <v>2719979</v>
      </c>
      <c r="H1280" s="1">
        <v>59</v>
      </c>
    </row>
    <row r="1281" spans="1:8" x14ac:dyDescent="0.3">
      <c r="A1281" s="1" t="s">
        <v>287</v>
      </c>
      <c r="B1281" s="1" t="s">
        <v>288</v>
      </c>
      <c r="C1281" s="1">
        <v>2016</v>
      </c>
      <c r="D1281" s="1">
        <v>34836</v>
      </c>
      <c r="E1281" s="1">
        <v>439</v>
      </c>
      <c r="F1281" s="1">
        <v>31</v>
      </c>
      <c r="G1281" s="1">
        <v>462929</v>
      </c>
      <c r="H1281" s="1">
        <v>12</v>
      </c>
    </row>
    <row r="1282" spans="1:8" x14ac:dyDescent="0.3">
      <c r="A1282" s="1" t="s">
        <v>289</v>
      </c>
      <c r="B1282" s="1" t="s">
        <v>290</v>
      </c>
      <c r="C1282" s="1">
        <v>2016</v>
      </c>
      <c r="D1282" s="1">
        <v>16198</v>
      </c>
      <c r="E1282" s="1">
        <v>108</v>
      </c>
      <c r="F1282" s="1">
        <v>57</v>
      </c>
      <c r="G1282" s="1">
        <v>840548</v>
      </c>
      <c r="H1282" s="1">
        <v>8</v>
      </c>
    </row>
    <row r="1283" spans="1:8" x14ac:dyDescent="0.3">
      <c r="A1283" s="1" t="s">
        <v>291</v>
      </c>
      <c r="B1283" s="1" t="s">
        <v>292</v>
      </c>
      <c r="C1283" s="1">
        <v>2016</v>
      </c>
      <c r="D1283" s="1">
        <v>35319</v>
      </c>
      <c r="E1283" s="1">
        <v>721</v>
      </c>
      <c r="F1283" s="1">
        <v>192</v>
      </c>
      <c r="G1283" s="1">
        <v>1010532</v>
      </c>
      <c r="H1283" s="1">
        <v>57</v>
      </c>
    </row>
    <row r="1284" spans="1:8" x14ac:dyDescent="0.3">
      <c r="A1284" s="1" t="s">
        <v>293</v>
      </c>
      <c r="B1284" s="1" t="s">
        <v>294</v>
      </c>
      <c r="C1284" s="1">
        <v>2016</v>
      </c>
      <c r="D1284" s="1">
        <v>36565</v>
      </c>
      <c r="E1284" s="1">
        <v>497</v>
      </c>
      <c r="F1284" s="1">
        <v>133</v>
      </c>
      <c r="G1284" s="1">
        <v>730316</v>
      </c>
      <c r="H1284" s="1">
        <v>25</v>
      </c>
    </row>
    <row r="1285" spans="1:8" x14ac:dyDescent="0.3">
      <c r="A1285" s="1" t="s">
        <v>295</v>
      </c>
      <c r="B1285" s="1" t="s">
        <v>296</v>
      </c>
      <c r="C1285" s="1">
        <v>2016</v>
      </c>
      <c r="D1285" s="1">
        <v>22088</v>
      </c>
      <c r="E1285" s="1">
        <v>140</v>
      </c>
      <c r="F1285" s="1">
        <v>67</v>
      </c>
      <c r="G1285" s="1">
        <v>475137</v>
      </c>
      <c r="H1285" s="1">
        <v>6</v>
      </c>
    </row>
    <row r="1286" spans="1:8" x14ac:dyDescent="0.3">
      <c r="A1286" s="1" t="s">
        <v>297</v>
      </c>
      <c r="B1286" s="1" t="s">
        <v>298</v>
      </c>
      <c r="C1286" s="1">
        <v>2016</v>
      </c>
      <c r="D1286" s="1">
        <v>44131</v>
      </c>
      <c r="E1286" s="1">
        <v>963</v>
      </c>
      <c r="F1286" s="1">
        <v>407</v>
      </c>
      <c r="G1286" s="1">
        <v>1253756</v>
      </c>
      <c r="H1286" s="1">
        <v>46</v>
      </c>
    </row>
    <row r="1287" spans="1:8" x14ac:dyDescent="0.3">
      <c r="A1287" s="1" t="s">
        <v>299</v>
      </c>
      <c r="B1287" s="1" t="s">
        <v>300</v>
      </c>
      <c r="C1287" s="1">
        <v>2016</v>
      </c>
      <c r="D1287" s="1">
        <v>13264</v>
      </c>
      <c r="E1287" s="1">
        <v>78</v>
      </c>
      <c r="F1287" s="1">
        <v>0</v>
      </c>
      <c r="G1287" s="1">
        <v>127626</v>
      </c>
      <c r="H1287" s="1">
        <v>0</v>
      </c>
    </row>
    <row r="1288" spans="1:8" x14ac:dyDescent="0.3">
      <c r="A1288" s="1" t="s">
        <v>301</v>
      </c>
      <c r="B1288" s="1" t="s">
        <v>302</v>
      </c>
      <c r="C1288" s="1">
        <v>2016</v>
      </c>
      <c r="D1288" s="1">
        <v>11507</v>
      </c>
      <c r="E1288" s="1">
        <v>50</v>
      </c>
      <c r="F1288" s="1">
        <v>37</v>
      </c>
      <c r="G1288" s="1">
        <v>257645</v>
      </c>
      <c r="H1288" s="1">
        <v>0</v>
      </c>
    </row>
    <row r="1289" spans="1:8" x14ac:dyDescent="0.3">
      <c r="A1289" s="1" t="s">
        <v>303</v>
      </c>
      <c r="B1289" s="1" t="s">
        <v>304</v>
      </c>
      <c r="C1289" s="1">
        <v>2016</v>
      </c>
      <c r="D1289" s="1">
        <v>15167</v>
      </c>
      <c r="E1289" s="1">
        <v>107</v>
      </c>
      <c r="F1289" s="1">
        <v>0</v>
      </c>
      <c r="G1289" s="1">
        <v>663474</v>
      </c>
      <c r="H1289" s="1">
        <v>69</v>
      </c>
    </row>
    <row r="1290" spans="1:8" x14ac:dyDescent="0.3">
      <c r="A1290" s="1" t="s">
        <v>305</v>
      </c>
      <c r="B1290" s="1" t="s">
        <v>306</v>
      </c>
      <c r="C1290" s="1">
        <v>2016</v>
      </c>
      <c r="D1290" s="1">
        <v>55224</v>
      </c>
      <c r="E1290" s="1">
        <v>640</v>
      </c>
      <c r="F1290" s="1">
        <v>398</v>
      </c>
      <c r="G1290" s="1">
        <v>955985</v>
      </c>
      <c r="H1290" s="1">
        <v>21</v>
      </c>
    </row>
    <row r="1291" spans="1:8" x14ac:dyDescent="0.3">
      <c r="A1291" s="1" t="s">
        <v>307</v>
      </c>
      <c r="B1291" s="1" t="s">
        <v>308</v>
      </c>
      <c r="C1291" s="1">
        <v>2016</v>
      </c>
      <c r="D1291" s="1">
        <v>25091</v>
      </c>
      <c r="E1291" s="1">
        <v>238</v>
      </c>
      <c r="F1291" s="1">
        <v>213</v>
      </c>
      <c r="G1291" s="1">
        <v>1050503</v>
      </c>
      <c r="H1291" s="1">
        <v>1</v>
      </c>
    </row>
    <row r="1292" spans="1:8" x14ac:dyDescent="0.3">
      <c r="A1292" s="1" t="s">
        <v>309</v>
      </c>
      <c r="B1292" s="1" t="s">
        <v>310</v>
      </c>
      <c r="C1292" s="1">
        <v>2016</v>
      </c>
      <c r="D1292" s="1">
        <v>29774</v>
      </c>
      <c r="E1292" s="1">
        <v>573</v>
      </c>
      <c r="F1292" s="1">
        <v>336</v>
      </c>
      <c r="G1292" s="1">
        <v>947208</v>
      </c>
      <c r="H1292" s="1">
        <v>0</v>
      </c>
    </row>
    <row r="1293" spans="1:8" x14ac:dyDescent="0.3">
      <c r="A1293" s="1" t="s">
        <v>311</v>
      </c>
      <c r="B1293" s="1" t="s">
        <v>312</v>
      </c>
      <c r="C1293" s="1">
        <v>2016</v>
      </c>
      <c r="D1293" s="1">
        <v>24549</v>
      </c>
      <c r="E1293" s="1">
        <v>326</v>
      </c>
      <c r="F1293" s="1">
        <v>0</v>
      </c>
      <c r="G1293" s="1">
        <v>202236</v>
      </c>
      <c r="H1293" s="1">
        <v>0</v>
      </c>
    </row>
    <row r="1294" spans="1:8" x14ac:dyDescent="0.3">
      <c r="A1294" s="1" t="s">
        <v>313</v>
      </c>
      <c r="B1294" s="1" t="s">
        <v>314</v>
      </c>
      <c r="C1294" s="1">
        <v>2016</v>
      </c>
      <c r="D1294" s="1">
        <v>24607</v>
      </c>
      <c r="E1294" s="1">
        <v>144</v>
      </c>
      <c r="F1294" s="1">
        <v>42</v>
      </c>
      <c r="G1294" s="1">
        <v>743830</v>
      </c>
      <c r="H1294" s="1">
        <v>26</v>
      </c>
    </row>
    <row r="1295" spans="1:8" x14ac:dyDescent="0.3">
      <c r="A1295" s="1" t="s">
        <v>315</v>
      </c>
      <c r="B1295" s="1" t="s">
        <v>316</v>
      </c>
      <c r="C1295" s="1">
        <v>2016</v>
      </c>
      <c r="D1295" s="1">
        <v>46733</v>
      </c>
      <c r="E1295" s="1">
        <v>671</v>
      </c>
      <c r="F1295" s="1">
        <v>217</v>
      </c>
      <c r="G1295" s="1">
        <v>1040271</v>
      </c>
      <c r="H1295" s="1">
        <v>229</v>
      </c>
    </row>
    <row r="1296" spans="1:8" x14ac:dyDescent="0.3">
      <c r="A1296" s="1" t="s">
        <v>317</v>
      </c>
      <c r="B1296" s="1" t="s">
        <v>318</v>
      </c>
      <c r="C1296" s="1">
        <v>2016</v>
      </c>
      <c r="D1296" s="1">
        <v>74375</v>
      </c>
      <c r="E1296" s="1">
        <v>1523</v>
      </c>
      <c r="F1296" s="1">
        <v>821</v>
      </c>
      <c r="G1296" s="1">
        <v>1494325</v>
      </c>
      <c r="H1296" s="1">
        <v>25</v>
      </c>
    </row>
    <row r="1297" spans="1:8" x14ac:dyDescent="0.3">
      <c r="A1297" s="1" t="s">
        <v>319</v>
      </c>
      <c r="B1297" s="1" t="s">
        <v>320</v>
      </c>
      <c r="C1297" s="1">
        <v>2016</v>
      </c>
      <c r="D1297" s="1">
        <v>34851</v>
      </c>
      <c r="E1297" s="1">
        <v>433</v>
      </c>
      <c r="F1297" s="1">
        <v>54</v>
      </c>
      <c r="G1297" s="1">
        <v>454831</v>
      </c>
      <c r="H1297" s="1">
        <v>2</v>
      </c>
    </row>
    <row r="1298" spans="1:8" x14ac:dyDescent="0.3">
      <c r="A1298" s="1" t="s">
        <v>321</v>
      </c>
      <c r="B1298" s="1" t="s">
        <v>322</v>
      </c>
      <c r="C1298" s="1">
        <v>2016</v>
      </c>
      <c r="D1298" s="1">
        <v>30176</v>
      </c>
      <c r="E1298" s="1">
        <v>310</v>
      </c>
      <c r="F1298" s="1">
        <v>147</v>
      </c>
      <c r="G1298" s="1">
        <v>977103</v>
      </c>
      <c r="H1298" s="1">
        <v>11</v>
      </c>
    </row>
    <row r="1299" spans="1:8" x14ac:dyDescent="0.3">
      <c r="A1299" s="1" t="s">
        <v>323</v>
      </c>
      <c r="B1299" s="1" t="s">
        <v>324</v>
      </c>
      <c r="C1299" s="1">
        <v>2016</v>
      </c>
      <c r="D1299" s="1">
        <v>61701</v>
      </c>
      <c r="E1299" s="1">
        <v>561</v>
      </c>
      <c r="F1299" s="1">
        <v>866</v>
      </c>
      <c r="G1299" s="1">
        <v>1995755</v>
      </c>
      <c r="H1299" s="1">
        <v>17</v>
      </c>
    </row>
    <row r="1300" spans="1:8" x14ac:dyDescent="0.3">
      <c r="A1300" s="1" t="s">
        <v>325</v>
      </c>
      <c r="B1300" s="1" t="s">
        <v>326</v>
      </c>
      <c r="C1300" s="1">
        <v>2016</v>
      </c>
      <c r="D1300" s="1">
        <v>16105</v>
      </c>
      <c r="E1300" s="1">
        <v>137</v>
      </c>
      <c r="F1300" s="1">
        <v>56</v>
      </c>
      <c r="G1300" s="1">
        <v>573766</v>
      </c>
      <c r="H1300" s="1">
        <v>0</v>
      </c>
    </row>
    <row r="1301" spans="1:8" x14ac:dyDescent="0.3">
      <c r="A1301" s="1" t="s">
        <v>327</v>
      </c>
      <c r="B1301" s="1" t="s">
        <v>328</v>
      </c>
      <c r="C1301" s="1">
        <v>2016</v>
      </c>
      <c r="D1301" s="1">
        <v>14726</v>
      </c>
      <c r="E1301" s="1">
        <v>82</v>
      </c>
      <c r="F1301" s="1">
        <v>14</v>
      </c>
      <c r="G1301" s="1">
        <v>58848</v>
      </c>
      <c r="H1301" s="1">
        <v>1</v>
      </c>
    </row>
    <row r="1302" spans="1:8" x14ac:dyDescent="0.3">
      <c r="A1302" s="1" t="s">
        <v>329</v>
      </c>
      <c r="B1302" s="1" t="s">
        <v>330</v>
      </c>
      <c r="C1302" s="1">
        <v>2016</v>
      </c>
      <c r="D1302" s="1">
        <v>18387</v>
      </c>
      <c r="E1302" s="1">
        <v>209</v>
      </c>
      <c r="F1302" s="1">
        <v>136</v>
      </c>
      <c r="G1302" s="1">
        <v>1308212</v>
      </c>
      <c r="H1302" s="1">
        <v>30</v>
      </c>
    </row>
    <row r="1303" spans="1:8" x14ac:dyDescent="0.3">
      <c r="A1303" s="1" t="s">
        <v>331</v>
      </c>
      <c r="B1303" s="1" t="s">
        <v>332</v>
      </c>
      <c r="C1303" s="1">
        <v>2016</v>
      </c>
      <c r="D1303" s="1">
        <v>45557</v>
      </c>
      <c r="E1303" s="1">
        <v>543</v>
      </c>
      <c r="F1303" s="1">
        <v>48</v>
      </c>
      <c r="G1303" s="1">
        <v>850690</v>
      </c>
      <c r="H1303" s="1">
        <v>6</v>
      </c>
    </row>
    <row r="1304" spans="1:8" x14ac:dyDescent="0.3">
      <c r="A1304" s="1" t="s">
        <v>333</v>
      </c>
      <c r="B1304" s="1" t="s">
        <v>334</v>
      </c>
      <c r="C1304" s="1">
        <v>2016</v>
      </c>
      <c r="D1304" s="1">
        <v>26198</v>
      </c>
      <c r="E1304" s="1">
        <v>234</v>
      </c>
      <c r="F1304" s="1">
        <v>7</v>
      </c>
      <c r="G1304" s="1">
        <v>75644</v>
      </c>
      <c r="H1304" s="1">
        <v>12</v>
      </c>
    </row>
    <row r="1305" spans="1:8" x14ac:dyDescent="0.3">
      <c r="A1305" s="1" t="s">
        <v>335</v>
      </c>
      <c r="B1305" s="1" t="s">
        <v>336</v>
      </c>
      <c r="C1305" s="1">
        <v>2016</v>
      </c>
      <c r="D1305" s="1">
        <v>16746</v>
      </c>
      <c r="E1305" s="1">
        <v>117</v>
      </c>
      <c r="F1305" s="1">
        <v>48</v>
      </c>
      <c r="G1305" s="1">
        <v>1293293</v>
      </c>
      <c r="H1305" s="1">
        <v>0</v>
      </c>
    </row>
    <row r="1306" spans="1:8" x14ac:dyDescent="0.3">
      <c r="A1306" s="1" t="s">
        <v>337</v>
      </c>
      <c r="B1306" s="1" t="s">
        <v>338</v>
      </c>
      <c r="C1306" s="1">
        <v>2016</v>
      </c>
      <c r="D1306" s="1">
        <v>29318</v>
      </c>
      <c r="E1306" s="1">
        <v>203</v>
      </c>
      <c r="F1306" s="1">
        <v>135</v>
      </c>
      <c r="G1306" s="1">
        <v>1304435</v>
      </c>
      <c r="H1306" s="1">
        <v>8</v>
      </c>
    </row>
    <row r="1307" spans="1:8" x14ac:dyDescent="0.3">
      <c r="A1307" s="1" t="s">
        <v>339</v>
      </c>
      <c r="B1307" s="1" t="s">
        <v>340</v>
      </c>
      <c r="C1307" s="1">
        <v>2016</v>
      </c>
      <c r="D1307" s="1">
        <v>21017</v>
      </c>
      <c r="E1307" s="1">
        <v>149</v>
      </c>
      <c r="F1307" s="1">
        <v>82</v>
      </c>
      <c r="G1307" s="1">
        <v>277834</v>
      </c>
      <c r="H1307" s="1">
        <v>7</v>
      </c>
    </row>
    <row r="1308" spans="1:8" x14ac:dyDescent="0.3">
      <c r="A1308" s="1" t="s">
        <v>341</v>
      </c>
      <c r="B1308" s="1" t="s">
        <v>342</v>
      </c>
      <c r="C1308" s="1">
        <v>2016</v>
      </c>
      <c r="D1308" s="1">
        <v>13170</v>
      </c>
      <c r="E1308" s="1">
        <v>105</v>
      </c>
      <c r="F1308" s="1">
        <v>22</v>
      </c>
      <c r="G1308" s="1">
        <v>305540</v>
      </c>
      <c r="H1308" s="1">
        <v>7</v>
      </c>
    </row>
    <row r="1309" spans="1:8" x14ac:dyDescent="0.3">
      <c r="A1309" s="1" t="s">
        <v>343</v>
      </c>
      <c r="B1309" s="1" t="s">
        <v>344</v>
      </c>
      <c r="C1309" s="1">
        <v>2016</v>
      </c>
      <c r="D1309" s="1">
        <v>43961</v>
      </c>
      <c r="E1309" s="1">
        <v>827</v>
      </c>
      <c r="F1309" s="1">
        <v>286</v>
      </c>
      <c r="G1309" s="1">
        <v>281144</v>
      </c>
      <c r="H1309" s="1">
        <v>9</v>
      </c>
    </row>
    <row r="1310" spans="1:8" x14ac:dyDescent="0.3">
      <c r="A1310" s="1" t="s">
        <v>345</v>
      </c>
      <c r="B1310" s="1" t="s">
        <v>346</v>
      </c>
      <c r="C1310" s="1">
        <v>2016</v>
      </c>
      <c r="D1310" s="1">
        <v>24498</v>
      </c>
      <c r="E1310" s="1">
        <v>163</v>
      </c>
      <c r="F1310" s="1">
        <v>24</v>
      </c>
      <c r="G1310" s="1">
        <v>1017913</v>
      </c>
      <c r="H1310" s="1">
        <v>86</v>
      </c>
    </row>
    <row r="1311" spans="1:8" x14ac:dyDescent="0.3">
      <c r="A1311" s="1" t="s">
        <v>347</v>
      </c>
      <c r="B1311" s="1" t="s">
        <v>348</v>
      </c>
      <c r="C1311" s="1">
        <v>2016</v>
      </c>
      <c r="D1311" s="1">
        <v>83204</v>
      </c>
      <c r="E1311" s="1">
        <v>2032</v>
      </c>
      <c r="F1311" s="1">
        <v>1535</v>
      </c>
      <c r="G1311" s="1">
        <v>2214467</v>
      </c>
      <c r="H1311" s="1">
        <v>54</v>
      </c>
    </row>
    <row r="1312" spans="1:8" x14ac:dyDescent="0.3">
      <c r="A1312" s="1" t="s">
        <v>349</v>
      </c>
      <c r="B1312" s="1" t="s">
        <v>350</v>
      </c>
      <c r="C1312" s="1">
        <v>2016</v>
      </c>
      <c r="D1312" s="1">
        <v>23180</v>
      </c>
      <c r="E1312" s="1">
        <v>351</v>
      </c>
      <c r="F1312" s="1">
        <v>139</v>
      </c>
      <c r="G1312" s="1">
        <v>397271</v>
      </c>
      <c r="H1312" s="1">
        <v>48</v>
      </c>
    </row>
    <row r="1313" spans="1:8" x14ac:dyDescent="0.3">
      <c r="A1313" s="1" t="s">
        <v>351</v>
      </c>
      <c r="B1313" s="1" t="s">
        <v>352</v>
      </c>
      <c r="C1313" s="1">
        <v>2016</v>
      </c>
      <c r="D1313" s="1">
        <v>12243</v>
      </c>
      <c r="E1313" s="1">
        <v>103</v>
      </c>
      <c r="F1313" s="1">
        <v>4</v>
      </c>
      <c r="G1313" s="1">
        <v>133195</v>
      </c>
      <c r="H1313" s="1">
        <v>0</v>
      </c>
    </row>
    <row r="1314" spans="1:8" x14ac:dyDescent="0.3">
      <c r="A1314" s="1" t="s">
        <v>353</v>
      </c>
      <c r="B1314" s="1" t="s">
        <v>354</v>
      </c>
      <c r="C1314" s="1">
        <v>2016</v>
      </c>
      <c r="D1314" s="1">
        <v>12111</v>
      </c>
      <c r="E1314" s="1">
        <v>110</v>
      </c>
      <c r="F1314" s="1">
        <v>87</v>
      </c>
      <c r="G1314" s="1">
        <v>469104</v>
      </c>
      <c r="H1314" s="1">
        <v>0</v>
      </c>
    </row>
    <row r="1315" spans="1:8" x14ac:dyDescent="0.3">
      <c r="A1315" s="1" t="s">
        <v>355</v>
      </c>
      <c r="B1315" s="1" t="s">
        <v>356</v>
      </c>
      <c r="C1315" s="1">
        <v>2016</v>
      </c>
      <c r="D1315" s="1">
        <v>30649</v>
      </c>
      <c r="E1315" s="1">
        <v>217</v>
      </c>
      <c r="F1315" s="1">
        <v>183</v>
      </c>
      <c r="G1315" s="1">
        <v>2043701</v>
      </c>
      <c r="H1315" s="1">
        <v>32</v>
      </c>
    </row>
    <row r="1316" spans="1:8" x14ac:dyDescent="0.3">
      <c r="A1316" s="1" t="s">
        <v>357</v>
      </c>
      <c r="B1316" s="1" t="s">
        <v>358</v>
      </c>
      <c r="C1316" s="1">
        <v>2016</v>
      </c>
      <c r="D1316" s="1">
        <v>19107</v>
      </c>
      <c r="E1316" s="1">
        <v>107</v>
      </c>
      <c r="F1316" s="1">
        <v>242</v>
      </c>
      <c r="G1316" s="1">
        <v>2126617</v>
      </c>
      <c r="H1316" s="1">
        <v>0</v>
      </c>
    </row>
    <row r="1317" spans="1:8" x14ac:dyDescent="0.3">
      <c r="A1317" s="1" t="s">
        <v>359</v>
      </c>
      <c r="B1317" s="1" t="s">
        <v>360</v>
      </c>
      <c r="C1317" s="1">
        <v>2016</v>
      </c>
      <c r="D1317" s="1">
        <v>50768</v>
      </c>
      <c r="E1317" s="1">
        <v>476</v>
      </c>
      <c r="F1317" s="1">
        <v>611</v>
      </c>
      <c r="G1317" s="1">
        <v>6796358</v>
      </c>
      <c r="H1317" s="1">
        <v>0</v>
      </c>
    </row>
    <row r="1318" spans="1:8" x14ac:dyDescent="0.3">
      <c r="A1318" s="1" t="s">
        <v>361</v>
      </c>
      <c r="B1318" s="1" t="s">
        <v>362</v>
      </c>
      <c r="C1318" s="1">
        <v>2016</v>
      </c>
      <c r="D1318" s="1">
        <v>83015</v>
      </c>
      <c r="E1318" s="1">
        <v>499</v>
      </c>
      <c r="F1318" s="1">
        <v>535</v>
      </c>
      <c r="G1318" s="1">
        <v>9492657</v>
      </c>
      <c r="H1318" s="1">
        <v>96</v>
      </c>
    </row>
    <row r="1319" spans="1:8" x14ac:dyDescent="0.3">
      <c r="A1319" s="1" t="s">
        <v>363</v>
      </c>
      <c r="B1319" s="1" t="s">
        <v>364</v>
      </c>
      <c r="C1319" s="1">
        <v>2016</v>
      </c>
      <c r="D1319" s="1">
        <v>32225</v>
      </c>
      <c r="E1319" s="1">
        <v>473</v>
      </c>
      <c r="F1319" s="1">
        <v>726</v>
      </c>
      <c r="G1319" s="1">
        <v>2649309</v>
      </c>
      <c r="H1319" s="1">
        <v>30</v>
      </c>
    </row>
    <row r="1320" spans="1:8" x14ac:dyDescent="0.3">
      <c r="A1320" s="1" t="s">
        <v>365</v>
      </c>
      <c r="B1320" s="1" t="s">
        <v>366</v>
      </c>
      <c r="C1320" s="1">
        <v>2016</v>
      </c>
      <c r="D1320" s="1">
        <v>932574</v>
      </c>
      <c r="E1320" s="1">
        <v>20119</v>
      </c>
      <c r="F1320" s="1">
        <v>24731</v>
      </c>
      <c r="G1320" s="1">
        <v>34786631</v>
      </c>
      <c r="H1320" s="1">
        <v>3063</v>
      </c>
    </row>
    <row r="1321" spans="1:8" x14ac:dyDescent="0.3">
      <c r="A1321" s="1" t="s">
        <v>367</v>
      </c>
      <c r="B1321" s="1" t="s">
        <v>242</v>
      </c>
      <c r="C1321" s="1">
        <v>2016</v>
      </c>
      <c r="D1321" s="1">
        <v>32447</v>
      </c>
      <c r="E1321" s="1">
        <v>145</v>
      </c>
      <c r="F1321" s="1">
        <v>342</v>
      </c>
      <c r="G1321" s="1">
        <v>1827125</v>
      </c>
      <c r="H1321" s="1">
        <v>0</v>
      </c>
    </row>
    <row r="1322" spans="1:8" x14ac:dyDescent="0.3">
      <c r="A1322" s="1" t="s">
        <v>368</v>
      </c>
      <c r="B1322" s="1" t="s">
        <v>369</v>
      </c>
      <c r="C1322" s="1">
        <v>2016</v>
      </c>
      <c r="D1322" s="1">
        <v>17161</v>
      </c>
      <c r="E1322" s="1">
        <v>34</v>
      </c>
      <c r="F1322" s="1">
        <v>93</v>
      </c>
      <c r="G1322" s="1">
        <v>753912</v>
      </c>
      <c r="H1322" s="1">
        <v>14</v>
      </c>
    </row>
    <row r="1323" spans="1:8" x14ac:dyDescent="0.3">
      <c r="A1323" s="1" t="s">
        <v>370</v>
      </c>
      <c r="B1323" s="1" t="s">
        <v>371</v>
      </c>
      <c r="C1323" s="1">
        <v>2016</v>
      </c>
      <c r="D1323" s="1">
        <v>36068</v>
      </c>
      <c r="E1323" s="1">
        <v>86</v>
      </c>
      <c r="F1323" s="1">
        <v>337</v>
      </c>
      <c r="G1323" s="1">
        <v>2385636</v>
      </c>
      <c r="H1323" s="1">
        <v>46</v>
      </c>
    </row>
    <row r="1324" spans="1:8" x14ac:dyDescent="0.3">
      <c r="A1324" s="1" t="s">
        <v>372</v>
      </c>
      <c r="B1324" s="1" t="s">
        <v>373</v>
      </c>
      <c r="C1324" s="1">
        <v>2016</v>
      </c>
      <c r="D1324" s="1">
        <v>22847</v>
      </c>
      <c r="E1324" s="1">
        <v>77</v>
      </c>
      <c r="F1324" s="1">
        <v>167</v>
      </c>
      <c r="G1324" s="1">
        <v>1053565</v>
      </c>
      <c r="H1324" s="1">
        <v>20</v>
      </c>
    </row>
    <row r="1325" spans="1:8" x14ac:dyDescent="0.3">
      <c r="A1325" s="1" t="s">
        <v>374</v>
      </c>
      <c r="B1325" s="1" t="s">
        <v>375</v>
      </c>
      <c r="C1325" s="1">
        <v>2016</v>
      </c>
      <c r="D1325" s="1">
        <v>21098</v>
      </c>
      <c r="E1325" s="1">
        <v>67</v>
      </c>
      <c r="F1325" s="1">
        <v>118</v>
      </c>
      <c r="G1325" s="1">
        <v>800435</v>
      </c>
      <c r="H1325" s="1">
        <v>25</v>
      </c>
    </row>
    <row r="1326" spans="1:8" x14ac:dyDescent="0.3">
      <c r="A1326" s="1" t="s">
        <v>376</v>
      </c>
      <c r="B1326" s="1" t="s">
        <v>377</v>
      </c>
      <c r="C1326" s="1">
        <v>2016</v>
      </c>
      <c r="D1326" s="1">
        <v>15155</v>
      </c>
      <c r="E1326" s="1">
        <v>199</v>
      </c>
      <c r="F1326" s="1">
        <v>188</v>
      </c>
      <c r="G1326" s="1">
        <v>603118</v>
      </c>
      <c r="H1326" s="1">
        <v>0</v>
      </c>
    </row>
    <row r="1327" spans="1:8" x14ac:dyDescent="0.3">
      <c r="A1327" s="1" t="s">
        <v>378</v>
      </c>
      <c r="B1327" s="1" t="s">
        <v>379</v>
      </c>
      <c r="C1327" s="1">
        <v>2016</v>
      </c>
      <c r="D1327" s="1">
        <v>48767</v>
      </c>
      <c r="E1327" s="1">
        <v>148</v>
      </c>
      <c r="F1327" s="1">
        <v>394</v>
      </c>
      <c r="G1327" s="1">
        <v>1917610</v>
      </c>
      <c r="H1327" s="1">
        <v>33</v>
      </c>
    </row>
    <row r="1328" spans="1:8" x14ac:dyDescent="0.3">
      <c r="A1328" s="1" t="s">
        <v>380</v>
      </c>
      <c r="B1328" s="1" t="s">
        <v>381</v>
      </c>
      <c r="C1328" s="1">
        <v>2016</v>
      </c>
      <c r="D1328" s="1">
        <v>20909</v>
      </c>
      <c r="E1328" s="1">
        <v>94</v>
      </c>
      <c r="F1328" s="1">
        <v>49</v>
      </c>
      <c r="G1328" s="1">
        <v>477510</v>
      </c>
      <c r="H1328" s="1">
        <v>5</v>
      </c>
    </row>
    <row r="1329" spans="1:8" x14ac:dyDescent="0.3">
      <c r="A1329" s="1" t="s">
        <v>382</v>
      </c>
      <c r="B1329" s="1" t="s">
        <v>140</v>
      </c>
      <c r="C1329" s="1">
        <v>2016</v>
      </c>
      <c r="D1329" s="1">
        <v>42330</v>
      </c>
      <c r="E1329" s="1">
        <v>331</v>
      </c>
      <c r="F1329" s="1">
        <v>125</v>
      </c>
      <c r="G1329" s="1">
        <v>812465</v>
      </c>
      <c r="H1329" s="1">
        <v>6</v>
      </c>
    </row>
    <row r="1330" spans="1:8" x14ac:dyDescent="0.3">
      <c r="A1330" s="1" t="s">
        <v>383</v>
      </c>
      <c r="B1330" s="1" t="s">
        <v>384</v>
      </c>
      <c r="C1330" s="1">
        <v>2016</v>
      </c>
      <c r="D1330" s="1">
        <v>20263</v>
      </c>
      <c r="E1330" s="1">
        <v>50</v>
      </c>
      <c r="F1330" s="1">
        <v>95</v>
      </c>
      <c r="G1330" s="1">
        <v>1484593</v>
      </c>
      <c r="H1330" s="1">
        <v>27</v>
      </c>
    </row>
    <row r="1331" spans="1:8" x14ac:dyDescent="0.3">
      <c r="A1331" s="1" t="s">
        <v>385</v>
      </c>
      <c r="B1331" s="1" t="s">
        <v>386</v>
      </c>
      <c r="C1331" s="1">
        <v>2016</v>
      </c>
      <c r="D1331" s="1">
        <v>24251</v>
      </c>
      <c r="E1331" s="1">
        <v>84</v>
      </c>
      <c r="F1331" s="1">
        <v>98</v>
      </c>
      <c r="G1331" s="1">
        <v>1250685</v>
      </c>
      <c r="H1331" s="1">
        <v>76</v>
      </c>
    </row>
    <row r="1332" spans="1:8" x14ac:dyDescent="0.3">
      <c r="A1332" s="1" t="s">
        <v>387</v>
      </c>
      <c r="B1332" s="1" t="s">
        <v>388</v>
      </c>
      <c r="C1332" s="1">
        <v>2016</v>
      </c>
      <c r="D1332" s="1">
        <v>52093</v>
      </c>
      <c r="E1332" s="1">
        <v>453</v>
      </c>
      <c r="F1332" s="1">
        <v>915</v>
      </c>
      <c r="G1332" s="1">
        <v>1981753</v>
      </c>
      <c r="H1332" s="1">
        <v>37</v>
      </c>
    </row>
    <row r="1333" spans="1:8" x14ac:dyDescent="0.3">
      <c r="A1333" s="1" t="s">
        <v>389</v>
      </c>
      <c r="B1333" s="1" t="s">
        <v>390</v>
      </c>
      <c r="C1333" s="1">
        <v>2016</v>
      </c>
      <c r="D1333" s="1">
        <v>6804</v>
      </c>
      <c r="E1333" s="1">
        <v>40</v>
      </c>
      <c r="F1333" s="1">
        <v>36</v>
      </c>
      <c r="G1333" s="1">
        <v>1007644</v>
      </c>
      <c r="H1333" s="1">
        <v>33</v>
      </c>
    </row>
    <row r="1334" spans="1:8" x14ac:dyDescent="0.3">
      <c r="A1334" s="1" t="s">
        <v>391</v>
      </c>
      <c r="B1334" s="1" t="s">
        <v>392</v>
      </c>
      <c r="C1334" s="1">
        <v>2016</v>
      </c>
      <c r="D1334" s="1">
        <v>18515</v>
      </c>
      <c r="E1334" s="1">
        <v>162</v>
      </c>
      <c r="F1334" s="1">
        <v>20</v>
      </c>
      <c r="G1334" s="1">
        <v>111409</v>
      </c>
      <c r="H1334" s="1">
        <v>0</v>
      </c>
    </row>
    <row r="1335" spans="1:8" x14ac:dyDescent="0.3">
      <c r="A1335" s="1" t="s">
        <v>393</v>
      </c>
      <c r="B1335" s="1" t="s">
        <v>394</v>
      </c>
      <c r="C1335" s="1">
        <v>2016</v>
      </c>
      <c r="D1335" s="1">
        <v>37677</v>
      </c>
      <c r="E1335" s="1">
        <v>326</v>
      </c>
      <c r="F1335" s="1">
        <v>89</v>
      </c>
      <c r="G1335" s="1">
        <v>1525362</v>
      </c>
      <c r="H1335" s="1">
        <v>6</v>
      </c>
    </row>
    <row r="1336" spans="1:8" x14ac:dyDescent="0.3">
      <c r="A1336" s="1" t="s">
        <v>395</v>
      </c>
      <c r="B1336" s="1" t="s">
        <v>396</v>
      </c>
      <c r="C1336" s="1">
        <v>2016</v>
      </c>
      <c r="D1336" s="1">
        <v>35556</v>
      </c>
      <c r="E1336" s="1">
        <v>204</v>
      </c>
      <c r="F1336" s="1">
        <v>151</v>
      </c>
      <c r="G1336" s="1">
        <v>1831916</v>
      </c>
      <c r="H1336" s="1">
        <v>57</v>
      </c>
    </row>
    <row r="1337" spans="1:8" x14ac:dyDescent="0.3">
      <c r="A1337" s="1" t="s">
        <v>397</v>
      </c>
      <c r="B1337" s="1" t="s">
        <v>398</v>
      </c>
      <c r="C1337" s="1">
        <v>2016</v>
      </c>
      <c r="D1337" s="1">
        <v>33301</v>
      </c>
      <c r="E1337" s="1">
        <v>228</v>
      </c>
      <c r="F1337" s="1">
        <v>83</v>
      </c>
      <c r="G1337" s="1">
        <v>2079182</v>
      </c>
      <c r="H1337" s="1">
        <v>43</v>
      </c>
    </row>
    <row r="1338" spans="1:8" x14ac:dyDescent="0.3">
      <c r="A1338" s="1" t="s">
        <v>399</v>
      </c>
      <c r="B1338" s="1" t="s">
        <v>400</v>
      </c>
      <c r="C1338" s="1">
        <v>2016</v>
      </c>
      <c r="D1338" s="1">
        <v>16720</v>
      </c>
      <c r="E1338" s="1">
        <v>148</v>
      </c>
      <c r="F1338" s="1">
        <v>10</v>
      </c>
      <c r="G1338" s="1">
        <v>245318</v>
      </c>
      <c r="H1338" s="1">
        <v>0</v>
      </c>
    </row>
    <row r="1339" spans="1:8" x14ac:dyDescent="0.3">
      <c r="A1339" s="1" t="s">
        <v>401</v>
      </c>
      <c r="B1339" s="1" t="s">
        <v>167</v>
      </c>
      <c r="C1339" s="1">
        <v>2016</v>
      </c>
      <c r="D1339" s="1">
        <v>31417</v>
      </c>
      <c r="E1339" s="1">
        <v>272</v>
      </c>
      <c r="F1339" s="1">
        <v>18</v>
      </c>
      <c r="G1339" s="1">
        <v>218675</v>
      </c>
      <c r="H1339" s="1">
        <v>5</v>
      </c>
    </row>
    <row r="1340" spans="1:8" x14ac:dyDescent="0.3">
      <c r="A1340" s="1" t="s">
        <v>402</v>
      </c>
      <c r="B1340" s="1" t="s">
        <v>403</v>
      </c>
      <c r="C1340" s="1">
        <v>2016</v>
      </c>
      <c r="D1340" s="1">
        <v>19725</v>
      </c>
      <c r="E1340" s="1">
        <v>147</v>
      </c>
      <c r="F1340" s="1">
        <v>44</v>
      </c>
      <c r="G1340" s="1">
        <v>714663</v>
      </c>
      <c r="H1340" s="1">
        <v>2</v>
      </c>
    </row>
    <row r="1341" spans="1:8" x14ac:dyDescent="0.3">
      <c r="A1341" s="1" t="s">
        <v>404</v>
      </c>
      <c r="B1341" s="1" t="s">
        <v>405</v>
      </c>
      <c r="C1341" s="1">
        <v>2016</v>
      </c>
      <c r="D1341" s="1">
        <v>16698</v>
      </c>
      <c r="E1341" s="1">
        <v>113</v>
      </c>
      <c r="F1341" s="1">
        <v>37</v>
      </c>
      <c r="G1341" s="1">
        <v>502840</v>
      </c>
      <c r="H1341" s="1">
        <v>1</v>
      </c>
    </row>
    <row r="1342" spans="1:8" x14ac:dyDescent="0.3">
      <c r="A1342" s="1" t="s">
        <v>406</v>
      </c>
      <c r="B1342" s="1" t="s">
        <v>407</v>
      </c>
      <c r="C1342" s="1">
        <v>2016</v>
      </c>
      <c r="D1342" s="1">
        <v>23426</v>
      </c>
      <c r="E1342" s="1">
        <v>216</v>
      </c>
      <c r="F1342" s="1">
        <v>27</v>
      </c>
      <c r="G1342" s="1">
        <v>454166</v>
      </c>
      <c r="H1342" s="1">
        <v>6</v>
      </c>
    </row>
    <row r="1343" spans="1:8" x14ac:dyDescent="0.3">
      <c r="A1343" s="1" t="s">
        <v>408</v>
      </c>
      <c r="B1343" s="1" t="s">
        <v>409</v>
      </c>
      <c r="C1343" s="1">
        <v>2016</v>
      </c>
      <c r="D1343" s="1">
        <v>41089</v>
      </c>
      <c r="E1343" s="1">
        <v>459</v>
      </c>
      <c r="F1343" s="1">
        <v>175</v>
      </c>
      <c r="G1343" s="1">
        <v>960211</v>
      </c>
      <c r="H1343" s="1">
        <v>109</v>
      </c>
    </row>
    <row r="1344" spans="1:8" x14ac:dyDescent="0.3">
      <c r="A1344" s="1" t="s">
        <v>410</v>
      </c>
      <c r="B1344" s="1" t="s">
        <v>411</v>
      </c>
      <c r="C1344" s="1">
        <v>2016</v>
      </c>
      <c r="D1344" s="1">
        <v>19772</v>
      </c>
      <c r="E1344" s="1">
        <v>150</v>
      </c>
      <c r="F1344" s="1">
        <v>18</v>
      </c>
      <c r="G1344" s="1">
        <v>429947</v>
      </c>
      <c r="H1344" s="1">
        <v>2</v>
      </c>
    </row>
    <row r="1345" spans="1:8" x14ac:dyDescent="0.3">
      <c r="A1345" s="1" t="s">
        <v>412</v>
      </c>
      <c r="B1345" s="1" t="s">
        <v>413</v>
      </c>
      <c r="C1345" s="1">
        <v>2016</v>
      </c>
      <c r="D1345" s="1">
        <v>20261</v>
      </c>
      <c r="E1345" s="1">
        <v>194</v>
      </c>
      <c r="F1345" s="1">
        <v>43</v>
      </c>
      <c r="G1345" s="1">
        <v>178506</v>
      </c>
      <c r="H1345" s="1">
        <v>2</v>
      </c>
    </row>
    <row r="1346" spans="1:8" x14ac:dyDescent="0.3">
      <c r="A1346" s="1" t="s">
        <v>414</v>
      </c>
      <c r="B1346" s="1" t="s">
        <v>415</v>
      </c>
      <c r="C1346" s="1">
        <v>2016</v>
      </c>
      <c r="D1346" s="1">
        <v>23534</v>
      </c>
      <c r="E1346" s="1">
        <v>168</v>
      </c>
      <c r="F1346" s="1">
        <v>39</v>
      </c>
      <c r="G1346" s="1">
        <v>388206</v>
      </c>
      <c r="H1346" s="1">
        <v>0</v>
      </c>
    </row>
    <row r="1347" spans="1:8" x14ac:dyDescent="0.3">
      <c r="A1347" s="1" t="s">
        <v>416</v>
      </c>
      <c r="B1347" s="1" t="s">
        <v>417</v>
      </c>
      <c r="C1347" s="1">
        <v>2016</v>
      </c>
      <c r="D1347" s="1">
        <v>20383</v>
      </c>
      <c r="E1347" s="1">
        <v>207</v>
      </c>
      <c r="F1347" s="1">
        <v>65</v>
      </c>
      <c r="G1347" s="1">
        <v>160151</v>
      </c>
      <c r="H1347" s="1">
        <v>1</v>
      </c>
    </row>
    <row r="1348" spans="1:8" x14ac:dyDescent="0.3">
      <c r="A1348" s="1" t="s">
        <v>418</v>
      </c>
      <c r="B1348" s="1" t="s">
        <v>419</v>
      </c>
      <c r="C1348" s="1">
        <v>2016</v>
      </c>
      <c r="D1348" s="1">
        <v>48537</v>
      </c>
      <c r="E1348" s="1">
        <v>799</v>
      </c>
      <c r="F1348" s="1">
        <v>134</v>
      </c>
      <c r="G1348" s="1">
        <v>263683</v>
      </c>
      <c r="H1348" s="1">
        <v>4</v>
      </c>
    </row>
    <row r="1349" spans="1:8" x14ac:dyDescent="0.3">
      <c r="A1349" s="1" t="s">
        <v>420</v>
      </c>
      <c r="B1349" s="1" t="s">
        <v>421</v>
      </c>
      <c r="C1349" s="1">
        <v>2016</v>
      </c>
      <c r="D1349" s="1">
        <v>28817</v>
      </c>
      <c r="E1349" s="1">
        <v>187</v>
      </c>
      <c r="F1349" s="1">
        <v>47</v>
      </c>
      <c r="G1349" s="1">
        <v>1865895</v>
      </c>
      <c r="H1349" s="1">
        <v>27</v>
      </c>
    </row>
    <row r="1350" spans="1:8" x14ac:dyDescent="0.3">
      <c r="A1350" s="1" t="s">
        <v>422</v>
      </c>
      <c r="B1350" s="1" t="s">
        <v>423</v>
      </c>
      <c r="C1350" s="1">
        <v>2016</v>
      </c>
      <c r="D1350" s="1">
        <v>35918</v>
      </c>
      <c r="E1350" s="1">
        <v>266</v>
      </c>
      <c r="F1350" s="1">
        <v>312</v>
      </c>
      <c r="G1350" s="1">
        <v>798087</v>
      </c>
      <c r="H1350" s="1">
        <v>14</v>
      </c>
    </row>
    <row r="1351" spans="1:8" x14ac:dyDescent="0.3">
      <c r="A1351" s="1" t="s">
        <v>424</v>
      </c>
      <c r="B1351" s="1" t="s">
        <v>425</v>
      </c>
      <c r="C1351" s="1">
        <v>2016</v>
      </c>
      <c r="D1351" s="1">
        <v>17354</v>
      </c>
      <c r="E1351" s="1">
        <v>164</v>
      </c>
      <c r="F1351" s="1">
        <v>16</v>
      </c>
      <c r="G1351" s="1">
        <v>229456</v>
      </c>
      <c r="H1351" s="1">
        <v>1</v>
      </c>
    </row>
    <row r="1352" spans="1:8" x14ac:dyDescent="0.3">
      <c r="A1352" s="1" t="s">
        <v>426</v>
      </c>
      <c r="B1352" s="1" t="s">
        <v>427</v>
      </c>
      <c r="C1352" s="1">
        <v>2016</v>
      </c>
      <c r="D1352" s="1">
        <v>15834</v>
      </c>
      <c r="E1352" s="1">
        <v>98</v>
      </c>
      <c r="F1352" s="1">
        <v>41</v>
      </c>
      <c r="G1352" s="1">
        <v>511168</v>
      </c>
      <c r="H1352" s="1">
        <v>0</v>
      </c>
    </row>
    <row r="1353" spans="1:8" x14ac:dyDescent="0.3">
      <c r="A1353" s="1" t="s">
        <v>428</v>
      </c>
      <c r="B1353" s="1" t="s">
        <v>429</v>
      </c>
      <c r="C1353" s="1">
        <v>2016</v>
      </c>
      <c r="D1353" s="1">
        <v>7901</v>
      </c>
      <c r="E1353" s="1">
        <v>70</v>
      </c>
      <c r="F1353" s="1">
        <v>26</v>
      </c>
      <c r="G1353" s="1">
        <v>318872</v>
      </c>
      <c r="H1353" s="1">
        <v>16</v>
      </c>
    </row>
    <row r="1354" spans="1:8" x14ac:dyDescent="0.3">
      <c r="A1354" s="1" t="s">
        <v>430</v>
      </c>
      <c r="B1354" s="1" t="s">
        <v>431</v>
      </c>
      <c r="C1354" s="1">
        <v>2016</v>
      </c>
      <c r="D1354" s="1">
        <v>17584</v>
      </c>
      <c r="E1354" s="1">
        <v>115</v>
      </c>
      <c r="F1354" s="1">
        <v>104</v>
      </c>
      <c r="G1354" s="1">
        <v>706128</v>
      </c>
      <c r="H1354" s="1">
        <v>0</v>
      </c>
    </row>
    <row r="1355" spans="1:8" x14ac:dyDescent="0.3">
      <c r="A1355" s="1" t="s">
        <v>432</v>
      </c>
      <c r="B1355" s="1" t="s">
        <v>433</v>
      </c>
      <c r="C1355" s="1">
        <v>2016</v>
      </c>
      <c r="D1355" s="1">
        <v>24814</v>
      </c>
      <c r="E1355" s="1">
        <v>103</v>
      </c>
      <c r="F1355" s="1">
        <v>212</v>
      </c>
      <c r="G1355" s="1">
        <v>4227972</v>
      </c>
      <c r="H1355" s="1">
        <v>1</v>
      </c>
    </row>
    <row r="1356" spans="1:8" x14ac:dyDescent="0.3">
      <c r="A1356" s="1" t="s">
        <v>434</v>
      </c>
      <c r="B1356" s="1" t="s">
        <v>435</v>
      </c>
      <c r="C1356" s="1">
        <v>2016</v>
      </c>
      <c r="D1356" s="1">
        <v>76621</v>
      </c>
      <c r="E1356" s="1">
        <v>2958</v>
      </c>
      <c r="F1356" s="1">
        <v>1052</v>
      </c>
      <c r="G1356" s="1">
        <v>5288706</v>
      </c>
      <c r="H1356" s="1">
        <v>634</v>
      </c>
    </row>
    <row r="1357" spans="1:8" x14ac:dyDescent="0.3">
      <c r="A1357" s="1" t="s">
        <v>436</v>
      </c>
      <c r="B1357" s="1" t="s">
        <v>437</v>
      </c>
      <c r="C1357" s="1">
        <v>2016</v>
      </c>
      <c r="D1357" s="1">
        <v>17481</v>
      </c>
      <c r="E1357" s="1">
        <v>81</v>
      </c>
      <c r="F1357" s="1">
        <v>47</v>
      </c>
      <c r="G1357" s="1">
        <v>1455697</v>
      </c>
      <c r="H1357" s="1">
        <v>0</v>
      </c>
    </row>
    <row r="1358" spans="1:8" x14ac:dyDescent="0.3">
      <c r="A1358" s="1" t="s">
        <v>438</v>
      </c>
      <c r="B1358" s="1" t="s">
        <v>439</v>
      </c>
      <c r="C1358" s="1">
        <v>2016</v>
      </c>
      <c r="D1358" s="1">
        <v>19872</v>
      </c>
      <c r="E1358" s="1">
        <v>87</v>
      </c>
      <c r="F1358" s="1">
        <v>98</v>
      </c>
      <c r="G1358" s="1">
        <v>644269</v>
      </c>
      <c r="H1358" s="1">
        <v>0</v>
      </c>
    </row>
    <row r="1359" spans="1:8" x14ac:dyDescent="0.3">
      <c r="A1359" s="1" t="s">
        <v>440</v>
      </c>
      <c r="B1359" s="1" t="s">
        <v>441</v>
      </c>
      <c r="C1359" s="1">
        <v>2016</v>
      </c>
      <c r="D1359" s="1">
        <v>54038</v>
      </c>
      <c r="E1359" s="1">
        <v>885</v>
      </c>
      <c r="F1359" s="1">
        <v>279</v>
      </c>
      <c r="G1359" s="1">
        <v>2217511</v>
      </c>
      <c r="H1359" s="1">
        <v>3</v>
      </c>
    </row>
    <row r="1360" spans="1:8" x14ac:dyDescent="0.3">
      <c r="A1360" s="1" t="s">
        <v>442</v>
      </c>
      <c r="B1360" s="1" t="s">
        <v>443</v>
      </c>
      <c r="C1360" s="1">
        <v>2016</v>
      </c>
      <c r="D1360" s="1">
        <v>23651</v>
      </c>
      <c r="E1360" s="1">
        <v>130</v>
      </c>
      <c r="F1360" s="1">
        <v>0</v>
      </c>
      <c r="G1360" s="1">
        <v>841728</v>
      </c>
      <c r="H1360" s="1">
        <v>19</v>
      </c>
    </row>
    <row r="1361" spans="1:8" x14ac:dyDescent="0.3">
      <c r="A1361" s="1" t="s">
        <v>444</v>
      </c>
      <c r="B1361" s="1" t="s">
        <v>445</v>
      </c>
      <c r="C1361" s="1">
        <v>2016</v>
      </c>
      <c r="D1361" s="1">
        <v>15421</v>
      </c>
      <c r="E1361" s="1">
        <v>147</v>
      </c>
      <c r="F1361" s="1">
        <v>105</v>
      </c>
      <c r="G1361" s="1">
        <v>1005784</v>
      </c>
      <c r="H1361" s="1">
        <v>148</v>
      </c>
    </row>
    <row r="1362" spans="1:8" x14ac:dyDescent="0.3">
      <c r="A1362" s="1" t="s">
        <v>446</v>
      </c>
      <c r="B1362" s="1" t="s">
        <v>447</v>
      </c>
      <c r="C1362" s="1">
        <v>2016</v>
      </c>
      <c r="D1362" s="1">
        <v>21916</v>
      </c>
      <c r="E1362" s="1">
        <v>95</v>
      </c>
      <c r="F1362" s="1">
        <v>39</v>
      </c>
      <c r="G1362" s="1">
        <v>1266468</v>
      </c>
      <c r="H1362" s="1">
        <v>59</v>
      </c>
    </row>
    <row r="1363" spans="1:8" x14ac:dyDescent="0.3">
      <c r="A1363" s="1" t="s">
        <v>448</v>
      </c>
      <c r="B1363" s="1" t="s">
        <v>449</v>
      </c>
      <c r="C1363" s="1">
        <v>2016</v>
      </c>
      <c r="D1363" s="1">
        <v>10742</v>
      </c>
      <c r="E1363" s="1">
        <v>79</v>
      </c>
      <c r="F1363" s="1">
        <v>49</v>
      </c>
      <c r="G1363" s="1">
        <v>409904</v>
      </c>
      <c r="H1363" s="1">
        <v>0</v>
      </c>
    </row>
    <row r="1364" spans="1:8" x14ac:dyDescent="0.3">
      <c r="A1364" s="1" t="s">
        <v>450</v>
      </c>
      <c r="B1364" s="1" t="s">
        <v>451</v>
      </c>
      <c r="C1364" s="1">
        <v>2016</v>
      </c>
      <c r="D1364" s="1">
        <v>14974</v>
      </c>
      <c r="E1364" s="1">
        <v>140</v>
      </c>
      <c r="F1364" s="1">
        <v>4</v>
      </c>
      <c r="G1364" s="1">
        <v>153888</v>
      </c>
      <c r="H1364" s="1">
        <v>4</v>
      </c>
    </row>
    <row r="1365" spans="1:8" x14ac:dyDescent="0.3">
      <c r="A1365" s="1" t="s">
        <v>452</v>
      </c>
      <c r="B1365" s="1" t="s">
        <v>453</v>
      </c>
      <c r="C1365" s="1">
        <v>2016</v>
      </c>
      <c r="D1365" s="1">
        <v>13570</v>
      </c>
      <c r="E1365" s="1">
        <v>53</v>
      </c>
      <c r="F1365" s="1">
        <v>19</v>
      </c>
      <c r="G1365" s="1">
        <v>522673</v>
      </c>
      <c r="H1365" s="1">
        <v>0</v>
      </c>
    </row>
    <row r="1366" spans="1:8" x14ac:dyDescent="0.3">
      <c r="A1366" s="1" t="s">
        <v>454</v>
      </c>
      <c r="B1366" s="1" t="s">
        <v>455</v>
      </c>
      <c r="C1366" s="1">
        <v>2016</v>
      </c>
      <c r="D1366" s="1">
        <v>7087</v>
      </c>
      <c r="E1366" s="1">
        <v>61</v>
      </c>
      <c r="F1366" s="1">
        <v>32</v>
      </c>
      <c r="G1366" s="1">
        <v>197485</v>
      </c>
      <c r="H1366" s="1">
        <v>0</v>
      </c>
    </row>
    <row r="1367" spans="1:8" x14ac:dyDescent="0.3">
      <c r="A1367" s="1" t="s">
        <v>456</v>
      </c>
      <c r="B1367" s="1" t="s">
        <v>457</v>
      </c>
      <c r="C1367" s="1">
        <v>2016</v>
      </c>
      <c r="D1367" s="1">
        <v>18070</v>
      </c>
      <c r="E1367" s="1">
        <v>107</v>
      </c>
      <c r="F1367" s="1">
        <v>17</v>
      </c>
      <c r="G1367" s="1">
        <v>267429</v>
      </c>
      <c r="H1367" s="1">
        <v>14</v>
      </c>
    </row>
    <row r="1368" spans="1:8" x14ac:dyDescent="0.3">
      <c r="A1368" s="1" t="s">
        <v>458</v>
      </c>
      <c r="B1368" s="1" t="s">
        <v>459</v>
      </c>
      <c r="C1368" s="1">
        <v>2016</v>
      </c>
      <c r="D1368" s="1">
        <v>25458</v>
      </c>
      <c r="E1368" s="1">
        <v>101</v>
      </c>
      <c r="F1368" s="1">
        <v>39</v>
      </c>
      <c r="G1368" s="1">
        <v>1084379</v>
      </c>
      <c r="H1368" s="1">
        <v>112</v>
      </c>
    </row>
    <row r="1369" spans="1:8" x14ac:dyDescent="0.3">
      <c r="A1369" s="1" t="s">
        <v>460</v>
      </c>
      <c r="B1369" s="1" t="s">
        <v>461</v>
      </c>
      <c r="C1369" s="1">
        <v>2016</v>
      </c>
      <c r="D1369" s="1">
        <v>11194</v>
      </c>
      <c r="E1369" s="1">
        <v>99</v>
      </c>
      <c r="F1369" s="1">
        <v>21</v>
      </c>
      <c r="G1369" s="1">
        <v>290307</v>
      </c>
      <c r="H1369" s="1">
        <v>0</v>
      </c>
    </row>
    <row r="1370" spans="1:8" x14ac:dyDescent="0.3">
      <c r="A1370" s="1" t="s">
        <v>462</v>
      </c>
      <c r="B1370" s="1" t="s">
        <v>463</v>
      </c>
      <c r="C1370" s="1">
        <v>2016</v>
      </c>
      <c r="D1370" s="1">
        <v>17880</v>
      </c>
      <c r="E1370" s="1">
        <v>100</v>
      </c>
      <c r="F1370" s="1">
        <v>37</v>
      </c>
      <c r="G1370" s="1">
        <v>299468</v>
      </c>
      <c r="H1370" s="1">
        <v>4</v>
      </c>
    </row>
    <row r="1371" spans="1:8" x14ac:dyDescent="0.3">
      <c r="A1371" s="1" t="s">
        <v>464</v>
      </c>
      <c r="B1371" s="1" t="s">
        <v>465</v>
      </c>
      <c r="C1371" s="1">
        <v>2016</v>
      </c>
      <c r="D1371" s="1">
        <v>14385</v>
      </c>
      <c r="E1371" s="1">
        <v>92</v>
      </c>
      <c r="F1371" s="1">
        <v>85</v>
      </c>
      <c r="G1371" s="1">
        <v>541974</v>
      </c>
      <c r="H1371" s="1">
        <v>12</v>
      </c>
    </row>
    <row r="1372" spans="1:8" x14ac:dyDescent="0.3">
      <c r="A1372" s="1" t="s">
        <v>466</v>
      </c>
      <c r="B1372" s="1" t="s">
        <v>467</v>
      </c>
      <c r="C1372" s="1">
        <v>2016</v>
      </c>
      <c r="D1372" s="1">
        <v>128089</v>
      </c>
      <c r="E1372" s="1">
        <v>1795</v>
      </c>
      <c r="F1372" s="1">
        <v>2864</v>
      </c>
      <c r="G1372" s="1">
        <v>13480749</v>
      </c>
      <c r="H1372" s="1">
        <v>0</v>
      </c>
    </row>
    <row r="1373" spans="1:8" x14ac:dyDescent="0.3">
      <c r="A1373" s="1" t="s">
        <v>468</v>
      </c>
      <c r="B1373" s="1" t="s">
        <v>469</v>
      </c>
      <c r="C1373" s="1">
        <v>2016</v>
      </c>
      <c r="D1373" s="1">
        <v>23383</v>
      </c>
      <c r="E1373" s="1">
        <v>336</v>
      </c>
      <c r="F1373" s="1">
        <v>413</v>
      </c>
      <c r="G1373" s="1">
        <v>2353394</v>
      </c>
      <c r="H1373" s="1">
        <v>0</v>
      </c>
    </row>
    <row r="1374" spans="1:8" x14ac:dyDescent="0.3">
      <c r="A1374" s="1" t="s">
        <v>470</v>
      </c>
      <c r="B1374" s="1" t="s">
        <v>471</v>
      </c>
      <c r="C1374" s="1">
        <v>2016</v>
      </c>
      <c r="D1374" s="1">
        <v>25489</v>
      </c>
      <c r="E1374" s="1">
        <v>392</v>
      </c>
      <c r="F1374" s="1">
        <v>47</v>
      </c>
      <c r="G1374" s="1">
        <v>2638807</v>
      </c>
      <c r="H1374" s="1">
        <v>57</v>
      </c>
    </row>
    <row r="1375" spans="1:8" x14ac:dyDescent="0.3">
      <c r="A1375" s="1" t="s">
        <v>472</v>
      </c>
      <c r="B1375" s="1" t="s">
        <v>473</v>
      </c>
      <c r="C1375" s="1">
        <v>2016</v>
      </c>
      <c r="D1375" s="1">
        <v>22583</v>
      </c>
      <c r="E1375" s="1">
        <v>176</v>
      </c>
      <c r="F1375" s="1">
        <v>226</v>
      </c>
      <c r="G1375" s="1">
        <v>894678</v>
      </c>
      <c r="H1375" s="1">
        <v>6</v>
      </c>
    </row>
    <row r="1376" spans="1:8" x14ac:dyDescent="0.3">
      <c r="A1376" s="1" t="s">
        <v>474</v>
      </c>
      <c r="B1376" s="1" t="s">
        <v>475</v>
      </c>
      <c r="C1376" s="1">
        <v>2016</v>
      </c>
      <c r="D1376" s="1">
        <v>29058</v>
      </c>
      <c r="E1376" s="1">
        <v>332</v>
      </c>
      <c r="F1376" s="1">
        <v>154</v>
      </c>
      <c r="G1376" s="1">
        <v>2392269</v>
      </c>
      <c r="H1376" s="1">
        <v>103</v>
      </c>
    </row>
    <row r="1377" spans="1:8" x14ac:dyDescent="0.3">
      <c r="A1377" s="1" t="s">
        <v>476</v>
      </c>
      <c r="B1377" s="1" t="s">
        <v>477</v>
      </c>
      <c r="C1377" s="1">
        <v>2016</v>
      </c>
      <c r="D1377" s="1">
        <v>17887</v>
      </c>
      <c r="E1377" s="1">
        <v>106</v>
      </c>
      <c r="F1377" s="1">
        <v>160</v>
      </c>
      <c r="G1377" s="1">
        <v>2087336</v>
      </c>
      <c r="H1377" s="1">
        <v>3</v>
      </c>
    </row>
    <row r="1378" spans="1:8" x14ac:dyDescent="0.3">
      <c r="A1378" s="1" t="s">
        <v>478</v>
      </c>
      <c r="B1378" s="1" t="s">
        <v>479</v>
      </c>
      <c r="C1378" s="1">
        <v>2016</v>
      </c>
      <c r="D1378" s="1">
        <v>36633</v>
      </c>
      <c r="E1378" s="1">
        <v>895</v>
      </c>
      <c r="F1378" s="1">
        <v>770</v>
      </c>
      <c r="G1378" s="1">
        <v>1798293</v>
      </c>
      <c r="H1378" s="1">
        <v>16</v>
      </c>
    </row>
    <row r="1379" spans="1:8" x14ac:dyDescent="0.3">
      <c r="A1379" s="1" t="s">
        <v>480</v>
      </c>
      <c r="B1379" s="1" t="s">
        <v>481</v>
      </c>
      <c r="C1379" s="1">
        <v>2016</v>
      </c>
      <c r="D1379" s="1">
        <v>34953</v>
      </c>
      <c r="E1379" s="1">
        <v>988</v>
      </c>
      <c r="F1379" s="1">
        <v>362</v>
      </c>
      <c r="G1379" s="1">
        <v>2360244</v>
      </c>
      <c r="H1379" s="1">
        <v>19</v>
      </c>
    </row>
    <row r="1380" spans="1:8" x14ac:dyDescent="0.3">
      <c r="A1380" s="1" t="s">
        <v>482</v>
      </c>
      <c r="B1380" s="1" t="s">
        <v>483</v>
      </c>
      <c r="C1380" s="1">
        <v>2016</v>
      </c>
      <c r="D1380" s="1">
        <v>21155</v>
      </c>
      <c r="E1380" s="1">
        <v>254</v>
      </c>
      <c r="F1380" s="1">
        <v>144</v>
      </c>
      <c r="G1380" s="1">
        <v>1940902</v>
      </c>
      <c r="H1380" s="1">
        <v>192</v>
      </c>
    </row>
    <row r="1381" spans="1:8" x14ac:dyDescent="0.3">
      <c r="A1381" s="1" t="s">
        <v>484</v>
      </c>
      <c r="B1381" s="1" t="s">
        <v>485</v>
      </c>
      <c r="C1381" s="1">
        <v>2016</v>
      </c>
      <c r="D1381" s="1">
        <v>25801</v>
      </c>
      <c r="E1381" s="1">
        <v>183</v>
      </c>
      <c r="F1381" s="1">
        <v>236</v>
      </c>
      <c r="G1381" s="1">
        <v>1706192</v>
      </c>
      <c r="H1381" s="1">
        <v>26</v>
      </c>
    </row>
    <row r="1382" spans="1:8" x14ac:dyDescent="0.3">
      <c r="A1382" s="1" t="s">
        <v>486</v>
      </c>
      <c r="B1382" s="1" t="s">
        <v>487</v>
      </c>
      <c r="C1382" s="1">
        <v>2016</v>
      </c>
      <c r="D1382" s="1">
        <v>21906</v>
      </c>
      <c r="E1382" s="1">
        <v>261</v>
      </c>
      <c r="F1382" s="1">
        <v>381</v>
      </c>
      <c r="G1382" s="1">
        <v>1322324</v>
      </c>
      <c r="H1382" s="1">
        <v>8</v>
      </c>
    </row>
    <row r="1383" spans="1:8" x14ac:dyDescent="0.3">
      <c r="A1383" s="1" t="s">
        <v>488</v>
      </c>
      <c r="B1383" s="1" t="s">
        <v>489</v>
      </c>
      <c r="C1383" s="1">
        <v>2016</v>
      </c>
      <c r="D1383" s="1">
        <v>21690</v>
      </c>
      <c r="E1383" s="1">
        <v>138</v>
      </c>
      <c r="F1383" s="1">
        <v>249</v>
      </c>
      <c r="G1383" s="1">
        <v>2579522</v>
      </c>
      <c r="H1383" s="1">
        <v>23</v>
      </c>
    </row>
    <row r="1384" spans="1:8" x14ac:dyDescent="0.3">
      <c r="A1384" s="1" t="s">
        <v>490</v>
      </c>
      <c r="B1384" s="1" t="s">
        <v>310</v>
      </c>
      <c r="C1384" s="1">
        <v>2016</v>
      </c>
      <c r="D1384" s="1">
        <v>12935</v>
      </c>
      <c r="E1384" s="1">
        <v>110</v>
      </c>
      <c r="F1384" s="1">
        <v>161</v>
      </c>
      <c r="G1384" s="1">
        <v>1063635</v>
      </c>
      <c r="H1384" s="1">
        <v>1</v>
      </c>
    </row>
    <row r="1385" spans="1:8" x14ac:dyDescent="0.3">
      <c r="A1385" s="1" t="s">
        <v>491</v>
      </c>
      <c r="B1385" s="1" t="s">
        <v>492</v>
      </c>
      <c r="C1385" s="1">
        <v>2016</v>
      </c>
      <c r="D1385" s="1">
        <v>28013</v>
      </c>
      <c r="E1385" s="1">
        <v>598</v>
      </c>
      <c r="F1385" s="1">
        <v>489</v>
      </c>
      <c r="G1385" s="1">
        <v>1291979</v>
      </c>
      <c r="H1385" s="1">
        <v>2</v>
      </c>
    </row>
    <row r="1386" spans="1:8" x14ac:dyDescent="0.3">
      <c r="A1386" s="1" t="s">
        <v>493</v>
      </c>
      <c r="B1386" s="1" t="s">
        <v>494</v>
      </c>
      <c r="C1386" s="1">
        <v>2016</v>
      </c>
      <c r="D1386" s="1">
        <v>32258</v>
      </c>
      <c r="E1386" s="1">
        <v>585</v>
      </c>
      <c r="F1386" s="1">
        <v>345</v>
      </c>
      <c r="G1386" s="1">
        <v>1187523</v>
      </c>
      <c r="H1386" s="1">
        <v>161</v>
      </c>
    </row>
    <row r="1387" spans="1:8" x14ac:dyDescent="0.3">
      <c r="A1387" s="1" t="s">
        <v>495</v>
      </c>
      <c r="B1387" s="1" t="s">
        <v>496</v>
      </c>
      <c r="C1387" s="1">
        <v>2016</v>
      </c>
      <c r="D1387" s="1">
        <v>39399</v>
      </c>
      <c r="E1387" s="1">
        <v>413</v>
      </c>
      <c r="F1387" s="1">
        <v>229</v>
      </c>
      <c r="G1387" s="1">
        <v>4242042</v>
      </c>
      <c r="H1387" s="1">
        <v>21</v>
      </c>
    </row>
    <row r="1388" spans="1:8" x14ac:dyDescent="0.3">
      <c r="A1388" s="1" t="s">
        <v>497</v>
      </c>
      <c r="B1388" s="1" t="s">
        <v>498</v>
      </c>
      <c r="C1388" s="1">
        <v>2016</v>
      </c>
      <c r="D1388" s="1">
        <v>37420</v>
      </c>
      <c r="E1388" s="1">
        <v>444</v>
      </c>
      <c r="F1388" s="1">
        <v>596</v>
      </c>
      <c r="G1388" s="1">
        <v>4318076</v>
      </c>
      <c r="H1388" s="1">
        <v>0</v>
      </c>
    </row>
    <row r="1389" spans="1:8" x14ac:dyDescent="0.3">
      <c r="A1389" s="1" t="s">
        <v>499</v>
      </c>
      <c r="B1389" s="1" t="s">
        <v>500</v>
      </c>
      <c r="C1389" s="1">
        <v>2016</v>
      </c>
      <c r="D1389" s="1">
        <v>68107</v>
      </c>
      <c r="E1389" s="1">
        <v>971</v>
      </c>
      <c r="F1389" s="1">
        <v>1228</v>
      </c>
      <c r="G1389" s="1">
        <v>3122668</v>
      </c>
      <c r="H1389" s="1">
        <v>28</v>
      </c>
    </row>
    <row r="1390" spans="1:8" x14ac:dyDescent="0.3">
      <c r="A1390" s="1" t="s">
        <v>501</v>
      </c>
      <c r="B1390" s="1" t="s">
        <v>502</v>
      </c>
      <c r="C1390" s="1">
        <v>2016</v>
      </c>
      <c r="D1390" s="1">
        <v>12877</v>
      </c>
      <c r="E1390" s="1">
        <v>65</v>
      </c>
      <c r="F1390" s="1">
        <v>80</v>
      </c>
      <c r="G1390" s="1">
        <v>2008059</v>
      </c>
      <c r="H1390" s="1">
        <v>1</v>
      </c>
    </row>
    <row r="1391" spans="1:8" x14ac:dyDescent="0.3">
      <c r="A1391" s="1" t="s">
        <v>503</v>
      </c>
      <c r="B1391" s="1" t="s">
        <v>504</v>
      </c>
      <c r="C1391" s="1">
        <v>2016</v>
      </c>
      <c r="D1391" s="1">
        <v>216092</v>
      </c>
      <c r="E1391" s="1">
        <v>5080</v>
      </c>
      <c r="F1391" s="1">
        <v>7704</v>
      </c>
      <c r="G1391" s="1">
        <v>13924159</v>
      </c>
      <c r="H1391" s="1">
        <v>53</v>
      </c>
    </row>
    <row r="1392" spans="1:8" x14ac:dyDescent="0.3">
      <c r="A1392" s="1" t="s">
        <v>505</v>
      </c>
      <c r="B1392" s="1" t="s">
        <v>506</v>
      </c>
      <c r="C1392" s="1">
        <v>2016</v>
      </c>
      <c r="D1392" s="1">
        <v>112077</v>
      </c>
      <c r="E1392" s="1">
        <v>1216</v>
      </c>
      <c r="F1392" s="1">
        <v>1933</v>
      </c>
      <c r="G1392" s="1">
        <v>4866307</v>
      </c>
      <c r="H1392" s="1">
        <v>21</v>
      </c>
    </row>
    <row r="1393" spans="1:8" x14ac:dyDescent="0.3">
      <c r="A1393" s="1" t="s">
        <v>507</v>
      </c>
      <c r="B1393" s="1" t="s">
        <v>508</v>
      </c>
      <c r="C1393" s="1">
        <v>2016</v>
      </c>
      <c r="D1393" s="1">
        <v>38800</v>
      </c>
      <c r="E1393" s="1">
        <v>295</v>
      </c>
      <c r="F1393" s="1">
        <v>665</v>
      </c>
      <c r="G1393" s="1">
        <v>1905039</v>
      </c>
      <c r="H1393" s="1">
        <v>0</v>
      </c>
    </row>
    <row r="1394" spans="1:8" x14ac:dyDescent="0.3">
      <c r="A1394" s="1" t="s">
        <v>509</v>
      </c>
      <c r="B1394" s="1" t="s">
        <v>510</v>
      </c>
      <c r="C1394" s="1">
        <v>2016</v>
      </c>
      <c r="D1394" s="1">
        <v>19136</v>
      </c>
      <c r="E1394" s="1">
        <v>45</v>
      </c>
      <c r="F1394" s="1">
        <v>470</v>
      </c>
      <c r="G1394" s="1">
        <v>622252</v>
      </c>
      <c r="H1394" s="1">
        <v>3</v>
      </c>
    </row>
    <row r="1395" spans="1:8" x14ac:dyDescent="0.3">
      <c r="A1395" s="1" t="s">
        <v>511</v>
      </c>
      <c r="B1395" s="1" t="s">
        <v>512</v>
      </c>
      <c r="C1395" s="1">
        <v>2016</v>
      </c>
      <c r="D1395" s="1">
        <v>61269</v>
      </c>
      <c r="E1395" s="1">
        <v>271</v>
      </c>
      <c r="F1395" s="1">
        <v>371</v>
      </c>
      <c r="G1395" s="1">
        <v>5445992</v>
      </c>
      <c r="H1395" s="1">
        <v>18</v>
      </c>
    </row>
    <row r="1396" spans="1:8" x14ac:dyDescent="0.3">
      <c r="A1396" s="1" t="s">
        <v>513</v>
      </c>
      <c r="B1396" s="1" t="s">
        <v>443</v>
      </c>
      <c r="C1396" s="1">
        <v>2016</v>
      </c>
      <c r="D1396" s="1">
        <v>49666</v>
      </c>
      <c r="E1396" s="1">
        <v>505</v>
      </c>
      <c r="F1396" s="1">
        <v>203</v>
      </c>
      <c r="G1396" s="1">
        <v>922916</v>
      </c>
      <c r="H1396" s="1">
        <v>17</v>
      </c>
    </row>
    <row r="1397" spans="1:8" x14ac:dyDescent="0.3">
      <c r="A1397" s="1" t="s">
        <v>514</v>
      </c>
      <c r="B1397" s="1" t="s">
        <v>515</v>
      </c>
      <c r="C1397" s="1">
        <v>2016</v>
      </c>
      <c r="D1397" s="1">
        <v>60814</v>
      </c>
      <c r="E1397" s="1">
        <v>554</v>
      </c>
      <c r="F1397" s="1">
        <v>336</v>
      </c>
      <c r="G1397" s="1">
        <v>1991812</v>
      </c>
      <c r="H1397" s="1">
        <v>30</v>
      </c>
    </row>
    <row r="1398" spans="1:8" x14ac:dyDescent="0.3">
      <c r="A1398" s="1" t="s">
        <v>516</v>
      </c>
      <c r="B1398" s="1" t="s">
        <v>517</v>
      </c>
      <c r="C1398" s="1">
        <v>2016</v>
      </c>
      <c r="D1398" s="1">
        <v>46567</v>
      </c>
      <c r="E1398" s="1">
        <v>412</v>
      </c>
      <c r="F1398" s="1">
        <v>74</v>
      </c>
      <c r="G1398" s="1">
        <v>583295</v>
      </c>
      <c r="H1398" s="1">
        <v>8</v>
      </c>
    </row>
    <row r="1399" spans="1:8" x14ac:dyDescent="0.3">
      <c r="A1399" s="1" t="s">
        <v>518</v>
      </c>
      <c r="B1399" s="1" t="s">
        <v>519</v>
      </c>
      <c r="C1399" s="1">
        <v>2016</v>
      </c>
      <c r="D1399" s="1">
        <v>38335</v>
      </c>
      <c r="E1399" s="1">
        <v>376</v>
      </c>
      <c r="F1399" s="1">
        <v>325</v>
      </c>
      <c r="G1399" s="1">
        <v>2326673</v>
      </c>
      <c r="H1399" s="1">
        <v>146</v>
      </c>
    </row>
    <row r="1400" spans="1:8" x14ac:dyDescent="0.3">
      <c r="A1400" s="1" t="s">
        <v>520</v>
      </c>
      <c r="B1400" s="1" t="s">
        <v>521</v>
      </c>
      <c r="C1400" s="1">
        <v>2016</v>
      </c>
      <c r="D1400" s="1">
        <v>26732</v>
      </c>
      <c r="E1400" s="1">
        <v>226</v>
      </c>
      <c r="F1400" s="1">
        <v>20</v>
      </c>
      <c r="G1400" s="1">
        <v>215350</v>
      </c>
      <c r="H1400" s="1">
        <v>0</v>
      </c>
    </row>
    <row r="1401" spans="1:8" x14ac:dyDescent="0.3">
      <c r="A1401" s="1" t="s">
        <v>522</v>
      </c>
      <c r="B1401" s="1" t="s">
        <v>523</v>
      </c>
      <c r="C1401" s="1">
        <v>2016</v>
      </c>
      <c r="D1401" s="1">
        <v>25217</v>
      </c>
      <c r="E1401" s="1">
        <v>194</v>
      </c>
      <c r="F1401" s="1">
        <v>65</v>
      </c>
      <c r="G1401" s="1">
        <v>718229</v>
      </c>
      <c r="H1401" s="1">
        <v>3</v>
      </c>
    </row>
    <row r="1402" spans="1:8" x14ac:dyDescent="0.3">
      <c r="A1402" s="1" t="s">
        <v>524</v>
      </c>
      <c r="B1402" s="1" t="s">
        <v>525</v>
      </c>
      <c r="C1402" s="1">
        <v>2016</v>
      </c>
      <c r="D1402" s="1">
        <v>33329</v>
      </c>
      <c r="E1402" s="1">
        <v>445</v>
      </c>
      <c r="F1402" s="1">
        <v>147</v>
      </c>
      <c r="G1402" s="1">
        <v>2139980</v>
      </c>
      <c r="H1402" s="1">
        <v>0</v>
      </c>
    </row>
    <row r="1403" spans="1:8" x14ac:dyDescent="0.3">
      <c r="A1403" s="1" t="s">
        <v>526</v>
      </c>
      <c r="B1403" s="1" t="s">
        <v>527</v>
      </c>
      <c r="C1403" s="1">
        <v>2016</v>
      </c>
      <c r="D1403" s="1">
        <v>26674</v>
      </c>
      <c r="E1403" s="1">
        <v>129</v>
      </c>
      <c r="F1403" s="1">
        <v>52</v>
      </c>
      <c r="G1403" s="1">
        <v>1125121</v>
      </c>
      <c r="H1403" s="1">
        <v>0</v>
      </c>
    </row>
    <row r="1404" spans="1:8" x14ac:dyDescent="0.3">
      <c r="A1404" s="1" t="s">
        <v>528</v>
      </c>
      <c r="B1404" s="1" t="s">
        <v>529</v>
      </c>
      <c r="C1404" s="1">
        <v>2016</v>
      </c>
      <c r="D1404" s="1">
        <v>31863</v>
      </c>
      <c r="E1404" s="1">
        <v>340</v>
      </c>
      <c r="F1404" s="1">
        <v>292</v>
      </c>
      <c r="G1404" s="1">
        <v>768023</v>
      </c>
      <c r="H1404" s="1">
        <v>0</v>
      </c>
    </row>
    <row r="1405" spans="1:8" x14ac:dyDescent="0.3">
      <c r="A1405" s="1" t="s">
        <v>530</v>
      </c>
      <c r="B1405" s="1" t="s">
        <v>531</v>
      </c>
      <c r="C1405" s="1">
        <v>2016</v>
      </c>
      <c r="D1405" s="1">
        <v>35896</v>
      </c>
      <c r="E1405" s="1">
        <v>101</v>
      </c>
      <c r="F1405" s="1">
        <v>224</v>
      </c>
      <c r="G1405" s="1">
        <v>3157158</v>
      </c>
      <c r="H1405" s="1">
        <v>41</v>
      </c>
    </row>
    <row r="1406" spans="1:8" x14ac:dyDescent="0.3">
      <c r="A1406" s="1" t="s">
        <v>532</v>
      </c>
      <c r="B1406" s="1" t="s">
        <v>533</v>
      </c>
      <c r="C1406" s="1">
        <v>2016</v>
      </c>
      <c r="D1406" s="1">
        <v>24419</v>
      </c>
      <c r="E1406" s="1">
        <v>224</v>
      </c>
      <c r="F1406" s="1">
        <v>69</v>
      </c>
      <c r="G1406" s="1">
        <v>726456</v>
      </c>
      <c r="H1406" s="1">
        <v>3</v>
      </c>
    </row>
    <row r="1407" spans="1:8" x14ac:dyDescent="0.3">
      <c r="A1407" s="1" t="s">
        <v>534</v>
      </c>
      <c r="B1407" s="1" t="s">
        <v>535</v>
      </c>
      <c r="C1407" s="1">
        <v>2016</v>
      </c>
      <c r="D1407" s="1">
        <v>48899</v>
      </c>
      <c r="E1407" s="1">
        <v>502</v>
      </c>
      <c r="F1407" s="1">
        <v>205</v>
      </c>
      <c r="G1407" s="1">
        <v>3167283</v>
      </c>
      <c r="H1407" s="1">
        <v>42</v>
      </c>
    </row>
    <row r="1408" spans="1:8" x14ac:dyDescent="0.3">
      <c r="A1408" s="1" t="s">
        <v>536</v>
      </c>
      <c r="B1408" s="1" t="s">
        <v>537</v>
      </c>
      <c r="C1408" s="1">
        <v>2016</v>
      </c>
      <c r="D1408" s="1">
        <v>18340</v>
      </c>
      <c r="E1408" s="1">
        <v>229</v>
      </c>
      <c r="F1408" s="1">
        <v>100</v>
      </c>
      <c r="G1408" s="1">
        <v>384243</v>
      </c>
      <c r="H1408" s="1">
        <v>0</v>
      </c>
    </row>
    <row r="1409" spans="1:8" x14ac:dyDescent="0.3">
      <c r="A1409" s="1" t="s">
        <v>538</v>
      </c>
      <c r="B1409" s="1" t="s">
        <v>539</v>
      </c>
      <c r="C1409" s="1">
        <v>2016</v>
      </c>
      <c r="D1409" s="1">
        <v>49104</v>
      </c>
      <c r="E1409" s="1">
        <v>322</v>
      </c>
      <c r="F1409" s="1">
        <v>200</v>
      </c>
      <c r="G1409" s="1">
        <v>2870405</v>
      </c>
      <c r="H1409" s="1">
        <v>4</v>
      </c>
    </row>
    <row r="1410" spans="1:8" x14ac:dyDescent="0.3">
      <c r="A1410" s="1" t="s">
        <v>540</v>
      </c>
      <c r="B1410" s="1" t="s">
        <v>541</v>
      </c>
      <c r="C1410" s="1">
        <v>2016</v>
      </c>
      <c r="D1410" s="1">
        <v>47612</v>
      </c>
      <c r="E1410" s="1">
        <v>165</v>
      </c>
      <c r="F1410" s="1">
        <v>97</v>
      </c>
      <c r="G1410" s="1">
        <v>3373136</v>
      </c>
      <c r="H1410" s="1">
        <v>17</v>
      </c>
    </row>
    <row r="1411" spans="1:8" x14ac:dyDescent="0.3">
      <c r="A1411" s="1" t="s">
        <v>542</v>
      </c>
      <c r="B1411" s="1" t="s">
        <v>543</v>
      </c>
      <c r="C1411" s="1">
        <v>2016</v>
      </c>
      <c r="D1411" s="1">
        <v>50854</v>
      </c>
      <c r="E1411" s="1">
        <v>463</v>
      </c>
      <c r="F1411" s="1">
        <v>76</v>
      </c>
      <c r="G1411" s="1">
        <v>954233</v>
      </c>
      <c r="H1411" s="1">
        <v>28</v>
      </c>
    </row>
    <row r="1412" spans="1:8" x14ac:dyDescent="0.3">
      <c r="A1412" s="1" t="s">
        <v>544</v>
      </c>
      <c r="B1412" s="1" t="s">
        <v>545</v>
      </c>
      <c r="C1412" s="1">
        <v>2016</v>
      </c>
      <c r="D1412" s="1">
        <v>70419</v>
      </c>
      <c r="E1412" s="1">
        <v>554</v>
      </c>
      <c r="F1412" s="1">
        <v>729</v>
      </c>
      <c r="G1412" s="1">
        <v>5141152</v>
      </c>
      <c r="H1412" s="1">
        <v>62</v>
      </c>
    </row>
    <row r="1413" spans="1:8" x14ac:dyDescent="0.3">
      <c r="A1413" s="1" t="s">
        <v>546</v>
      </c>
      <c r="B1413" s="1" t="s">
        <v>547</v>
      </c>
      <c r="C1413" s="1">
        <v>2016</v>
      </c>
      <c r="D1413" s="1">
        <v>73403</v>
      </c>
      <c r="E1413" s="1">
        <v>60</v>
      </c>
      <c r="F1413" s="1">
        <v>902</v>
      </c>
      <c r="G1413" s="1">
        <v>7125832</v>
      </c>
      <c r="H1413" s="1">
        <v>12</v>
      </c>
    </row>
    <row r="1414" spans="1:8" x14ac:dyDescent="0.3">
      <c r="A1414" s="1" t="s">
        <v>548</v>
      </c>
      <c r="B1414" s="1" t="s">
        <v>549</v>
      </c>
      <c r="C1414" s="1">
        <v>2016</v>
      </c>
      <c r="D1414" s="1">
        <v>52738</v>
      </c>
      <c r="E1414" s="1">
        <v>89</v>
      </c>
      <c r="F1414" s="1">
        <v>427</v>
      </c>
      <c r="G1414" s="1">
        <v>12571016</v>
      </c>
      <c r="H1414" s="1">
        <v>210</v>
      </c>
    </row>
    <row r="1415" spans="1:8" x14ac:dyDescent="0.3">
      <c r="A1415" s="1" t="s">
        <v>550</v>
      </c>
      <c r="B1415" s="1" t="s">
        <v>551</v>
      </c>
      <c r="C1415" s="1">
        <v>2016</v>
      </c>
      <c r="D1415" s="1">
        <v>98740</v>
      </c>
      <c r="E1415" s="1">
        <v>447</v>
      </c>
      <c r="F1415" s="1">
        <v>619</v>
      </c>
      <c r="G1415" s="1">
        <v>10862638</v>
      </c>
      <c r="H1415" s="1">
        <v>0</v>
      </c>
    </row>
    <row r="1416" spans="1:8" x14ac:dyDescent="0.3">
      <c r="A1416" s="1" t="s">
        <v>552</v>
      </c>
      <c r="B1416" s="1" t="s">
        <v>553</v>
      </c>
      <c r="C1416" s="1">
        <v>2016</v>
      </c>
      <c r="D1416" s="1">
        <v>49934</v>
      </c>
      <c r="E1416" s="1">
        <v>239</v>
      </c>
      <c r="F1416" s="1">
        <v>385</v>
      </c>
      <c r="G1416" s="1">
        <v>3262135</v>
      </c>
      <c r="H1416" s="1">
        <v>110</v>
      </c>
    </row>
    <row r="1417" spans="1:8" x14ac:dyDescent="0.3">
      <c r="A1417" s="1" t="s">
        <v>554</v>
      </c>
      <c r="B1417" s="1" t="s">
        <v>555</v>
      </c>
      <c r="C1417" s="1">
        <v>2016</v>
      </c>
      <c r="D1417" s="1">
        <v>78468</v>
      </c>
      <c r="E1417" s="1">
        <v>374</v>
      </c>
      <c r="F1417" s="1">
        <v>1135</v>
      </c>
      <c r="G1417" s="1">
        <v>6045029</v>
      </c>
      <c r="H1417" s="1">
        <v>559</v>
      </c>
    </row>
    <row r="1418" spans="1:8" x14ac:dyDescent="0.3">
      <c r="A1418" s="1" t="s">
        <v>556</v>
      </c>
      <c r="B1418" s="1" t="s">
        <v>557</v>
      </c>
      <c r="C1418" s="1">
        <v>2016</v>
      </c>
      <c r="D1418" s="1">
        <v>31992</v>
      </c>
      <c r="E1418" s="1">
        <v>161</v>
      </c>
      <c r="F1418" s="1">
        <v>129</v>
      </c>
      <c r="G1418" s="1">
        <v>2833315</v>
      </c>
      <c r="H1418" s="1">
        <v>0</v>
      </c>
    </row>
    <row r="1419" spans="1:8" x14ac:dyDescent="0.3">
      <c r="A1419" s="1" t="s">
        <v>558</v>
      </c>
      <c r="B1419" s="1" t="s">
        <v>559</v>
      </c>
      <c r="C1419" s="1">
        <v>2016</v>
      </c>
      <c r="D1419" s="1">
        <v>34578</v>
      </c>
      <c r="E1419" s="1">
        <v>213</v>
      </c>
      <c r="F1419" s="1">
        <v>387</v>
      </c>
      <c r="G1419" s="1">
        <v>2133313</v>
      </c>
      <c r="H1419" s="1">
        <v>34</v>
      </c>
    </row>
    <row r="1420" spans="1:8" x14ac:dyDescent="0.3">
      <c r="A1420" s="1" t="s">
        <v>560</v>
      </c>
      <c r="B1420" s="1" t="s">
        <v>561</v>
      </c>
      <c r="C1420" s="1">
        <v>2016</v>
      </c>
      <c r="D1420" s="1">
        <v>142681</v>
      </c>
      <c r="E1420" s="1">
        <v>1675</v>
      </c>
      <c r="F1420" s="1">
        <v>1349</v>
      </c>
      <c r="G1420" s="1">
        <v>15767343</v>
      </c>
      <c r="H1420" s="1">
        <v>121</v>
      </c>
    </row>
    <row r="1421" spans="1:8" x14ac:dyDescent="0.3">
      <c r="A1421" s="1" t="s">
        <v>562</v>
      </c>
      <c r="B1421" s="1" t="s">
        <v>563</v>
      </c>
      <c r="C1421" s="1">
        <v>2016</v>
      </c>
      <c r="D1421" s="1">
        <v>28517</v>
      </c>
      <c r="E1421" s="1">
        <v>218</v>
      </c>
      <c r="F1421" s="1">
        <v>419</v>
      </c>
      <c r="G1421" s="1">
        <v>3369074</v>
      </c>
      <c r="H1421" s="1">
        <v>8</v>
      </c>
    </row>
    <row r="1422" spans="1:8" x14ac:dyDescent="0.3">
      <c r="A1422" s="1" t="s">
        <v>564</v>
      </c>
      <c r="B1422" s="1" t="s">
        <v>565</v>
      </c>
      <c r="C1422" s="1">
        <v>2016</v>
      </c>
      <c r="D1422" s="1">
        <v>22167</v>
      </c>
      <c r="E1422" s="1">
        <v>36</v>
      </c>
      <c r="F1422" s="1">
        <v>199</v>
      </c>
      <c r="G1422" s="1">
        <v>3016904</v>
      </c>
      <c r="H1422" s="1">
        <v>0</v>
      </c>
    </row>
    <row r="1423" spans="1:8" x14ac:dyDescent="0.3">
      <c r="A1423" s="1" t="s">
        <v>566</v>
      </c>
      <c r="B1423" s="1" t="s">
        <v>567</v>
      </c>
      <c r="C1423" s="1">
        <v>2016</v>
      </c>
      <c r="D1423" s="1">
        <v>58175</v>
      </c>
      <c r="E1423" s="1">
        <v>164</v>
      </c>
      <c r="F1423" s="1">
        <v>650</v>
      </c>
      <c r="G1423" s="1">
        <v>5742965</v>
      </c>
      <c r="H1423" s="1">
        <v>360</v>
      </c>
    </row>
    <row r="1424" spans="1:8" x14ac:dyDescent="0.3">
      <c r="A1424" s="1" t="s">
        <v>568</v>
      </c>
      <c r="B1424" s="1" t="s">
        <v>569</v>
      </c>
      <c r="C1424" s="1">
        <v>2016</v>
      </c>
      <c r="D1424" s="1">
        <v>47794</v>
      </c>
      <c r="E1424" s="1">
        <v>393</v>
      </c>
      <c r="F1424" s="1">
        <v>326</v>
      </c>
      <c r="G1424" s="1">
        <v>5121701</v>
      </c>
      <c r="H1424" s="1">
        <v>221</v>
      </c>
    </row>
    <row r="1425" spans="1:8" x14ac:dyDescent="0.3">
      <c r="A1425" s="1" t="s">
        <v>570</v>
      </c>
      <c r="B1425" s="1" t="s">
        <v>571</v>
      </c>
      <c r="C1425" s="1">
        <v>2016</v>
      </c>
      <c r="D1425" s="1">
        <v>30980</v>
      </c>
      <c r="E1425" s="1">
        <v>27</v>
      </c>
      <c r="F1425" s="1">
        <v>347</v>
      </c>
      <c r="G1425" s="1">
        <v>3991615</v>
      </c>
      <c r="H1425" s="1">
        <v>0</v>
      </c>
    </row>
    <row r="1426" spans="1:8" x14ac:dyDescent="0.3">
      <c r="A1426" s="1" t="s">
        <v>572</v>
      </c>
      <c r="B1426" s="1" t="s">
        <v>573</v>
      </c>
      <c r="C1426" s="1">
        <v>2016</v>
      </c>
      <c r="D1426" s="1">
        <v>91768</v>
      </c>
      <c r="E1426" s="1">
        <v>182</v>
      </c>
      <c r="F1426" s="1">
        <v>354</v>
      </c>
      <c r="G1426" s="1">
        <v>12435034</v>
      </c>
      <c r="H1426" s="1">
        <v>190</v>
      </c>
    </row>
    <row r="1427" spans="1:8" x14ac:dyDescent="0.3">
      <c r="A1427" s="1" t="s">
        <v>574</v>
      </c>
      <c r="B1427" s="1" t="s">
        <v>575</v>
      </c>
      <c r="C1427" s="1">
        <v>2016</v>
      </c>
      <c r="D1427" s="1">
        <v>22607</v>
      </c>
      <c r="E1427" s="1">
        <v>63</v>
      </c>
      <c r="F1427" s="1">
        <v>236</v>
      </c>
      <c r="G1427" s="1">
        <v>2367873</v>
      </c>
      <c r="H1427" s="1">
        <v>0</v>
      </c>
    </row>
    <row r="1428" spans="1:8" x14ac:dyDescent="0.3">
      <c r="A1428" s="1" t="s">
        <v>576</v>
      </c>
      <c r="B1428" s="1" t="s">
        <v>577</v>
      </c>
      <c r="C1428" s="1">
        <v>2016</v>
      </c>
      <c r="D1428" s="1">
        <v>49729</v>
      </c>
      <c r="E1428" s="1">
        <v>273</v>
      </c>
      <c r="F1428" s="1">
        <v>712</v>
      </c>
      <c r="G1428" s="1">
        <v>4439924</v>
      </c>
      <c r="H1428" s="1">
        <v>6</v>
      </c>
    </row>
    <row r="1429" spans="1:8" x14ac:dyDescent="0.3">
      <c r="A1429" s="1" t="s">
        <v>578</v>
      </c>
      <c r="B1429" s="1" t="s">
        <v>579</v>
      </c>
      <c r="C1429" s="1">
        <v>2016</v>
      </c>
      <c r="D1429" s="1">
        <v>70200</v>
      </c>
      <c r="E1429" s="1">
        <v>173</v>
      </c>
      <c r="F1429" s="1">
        <v>719</v>
      </c>
      <c r="G1429" s="1">
        <v>10827050</v>
      </c>
      <c r="H1429" s="1">
        <v>28</v>
      </c>
    </row>
    <row r="1430" spans="1:8" x14ac:dyDescent="0.3">
      <c r="A1430" s="1" t="s">
        <v>580</v>
      </c>
      <c r="B1430" s="1" t="s">
        <v>581</v>
      </c>
      <c r="C1430" s="1">
        <v>2016</v>
      </c>
      <c r="D1430" s="1">
        <v>20059</v>
      </c>
      <c r="E1430" s="1">
        <v>221</v>
      </c>
      <c r="F1430" s="1">
        <v>192</v>
      </c>
      <c r="G1430" s="1">
        <v>1165246</v>
      </c>
      <c r="H1430" s="1">
        <v>156</v>
      </c>
    </row>
    <row r="1431" spans="1:8" x14ac:dyDescent="0.3">
      <c r="A1431" s="1" t="s">
        <v>582</v>
      </c>
      <c r="B1431" s="1" t="s">
        <v>583</v>
      </c>
      <c r="C1431" s="1">
        <v>2016</v>
      </c>
      <c r="D1431" s="1">
        <v>24866</v>
      </c>
      <c r="E1431" s="1">
        <v>148</v>
      </c>
      <c r="F1431" s="1">
        <v>45</v>
      </c>
      <c r="G1431" s="1">
        <v>650743</v>
      </c>
      <c r="H1431" s="1">
        <v>8</v>
      </c>
    </row>
    <row r="1432" spans="1:8" x14ac:dyDescent="0.3">
      <c r="A1432" s="1" t="s">
        <v>584</v>
      </c>
      <c r="B1432" s="1" t="s">
        <v>585</v>
      </c>
      <c r="C1432" s="1">
        <v>2016</v>
      </c>
      <c r="D1432" s="1">
        <v>29872</v>
      </c>
      <c r="E1432" s="1">
        <v>227</v>
      </c>
      <c r="F1432" s="1">
        <v>71</v>
      </c>
      <c r="G1432" s="1">
        <v>555408</v>
      </c>
      <c r="H1432" s="1">
        <v>18</v>
      </c>
    </row>
    <row r="1433" spans="1:8" x14ac:dyDescent="0.3">
      <c r="A1433" s="1" t="s">
        <v>586</v>
      </c>
      <c r="B1433" s="1" t="s">
        <v>587</v>
      </c>
      <c r="C1433" s="1">
        <v>2016</v>
      </c>
      <c r="D1433" s="1">
        <v>10964</v>
      </c>
      <c r="E1433" s="1">
        <v>31</v>
      </c>
      <c r="F1433" s="1">
        <v>19</v>
      </c>
      <c r="G1433" s="1">
        <v>135407</v>
      </c>
      <c r="H1433" s="1">
        <v>0</v>
      </c>
    </row>
    <row r="1434" spans="1:8" x14ac:dyDescent="0.3">
      <c r="A1434" s="1" t="s">
        <v>588</v>
      </c>
      <c r="B1434" s="1" t="s">
        <v>589</v>
      </c>
      <c r="C1434" s="1">
        <v>2016</v>
      </c>
      <c r="D1434" s="1">
        <v>59926</v>
      </c>
      <c r="E1434" s="1">
        <v>779</v>
      </c>
      <c r="F1434" s="1">
        <v>6</v>
      </c>
      <c r="G1434" s="1">
        <v>296563</v>
      </c>
      <c r="H1434" s="1">
        <v>20</v>
      </c>
    </row>
    <row r="1435" spans="1:8" x14ac:dyDescent="0.3">
      <c r="A1435" s="1" t="s">
        <v>590</v>
      </c>
      <c r="B1435" s="1" t="s">
        <v>591</v>
      </c>
      <c r="C1435" s="1">
        <v>2016</v>
      </c>
      <c r="D1435" s="1">
        <v>29889</v>
      </c>
      <c r="E1435" s="1">
        <v>152</v>
      </c>
      <c r="F1435" s="1">
        <v>59</v>
      </c>
      <c r="G1435" s="1">
        <v>454013</v>
      </c>
      <c r="H1435" s="1">
        <v>36</v>
      </c>
    </row>
    <row r="1436" spans="1:8" x14ac:dyDescent="0.3">
      <c r="A1436" s="1" t="s">
        <v>592</v>
      </c>
      <c r="B1436" s="1" t="s">
        <v>593</v>
      </c>
      <c r="C1436" s="1">
        <v>2016</v>
      </c>
      <c r="D1436" s="1">
        <v>18621</v>
      </c>
      <c r="E1436" s="1">
        <v>67</v>
      </c>
      <c r="F1436" s="1">
        <v>15</v>
      </c>
      <c r="G1436" s="1">
        <v>257309</v>
      </c>
      <c r="H1436" s="1">
        <v>9</v>
      </c>
    </row>
    <row r="1437" spans="1:8" x14ac:dyDescent="0.3">
      <c r="A1437" s="1" t="s">
        <v>594</v>
      </c>
      <c r="B1437" s="1" t="s">
        <v>595</v>
      </c>
      <c r="C1437" s="1">
        <v>2016</v>
      </c>
      <c r="D1437" s="1">
        <v>41012</v>
      </c>
      <c r="E1437" s="1">
        <v>125</v>
      </c>
      <c r="F1437" s="1">
        <v>96</v>
      </c>
      <c r="G1437" s="1">
        <v>1478534</v>
      </c>
      <c r="H1437" s="1">
        <v>2</v>
      </c>
    </row>
    <row r="1438" spans="1:8" x14ac:dyDescent="0.3">
      <c r="A1438" s="1" t="s">
        <v>596</v>
      </c>
      <c r="B1438" s="1" t="s">
        <v>597</v>
      </c>
      <c r="C1438" s="1">
        <v>2016</v>
      </c>
      <c r="D1438" s="1">
        <v>14367</v>
      </c>
      <c r="E1438" s="1">
        <v>77</v>
      </c>
      <c r="F1438" s="1">
        <v>36</v>
      </c>
      <c r="G1438" s="1">
        <v>532588</v>
      </c>
      <c r="H1438" s="1">
        <v>0</v>
      </c>
    </row>
    <row r="1439" spans="1:8" x14ac:dyDescent="0.3">
      <c r="A1439" s="1" t="s">
        <v>598</v>
      </c>
      <c r="B1439" s="1" t="s">
        <v>599</v>
      </c>
      <c r="C1439" s="1">
        <v>2016</v>
      </c>
      <c r="D1439" s="1">
        <v>25646</v>
      </c>
      <c r="E1439" s="1">
        <v>106</v>
      </c>
      <c r="F1439" s="1">
        <v>49</v>
      </c>
      <c r="G1439" s="1">
        <v>615503</v>
      </c>
      <c r="H1439" s="1">
        <v>0</v>
      </c>
    </row>
    <row r="1440" spans="1:8" x14ac:dyDescent="0.3">
      <c r="A1440" s="1" t="s">
        <v>600</v>
      </c>
      <c r="B1440" s="1" t="s">
        <v>601</v>
      </c>
      <c r="C1440" s="1">
        <v>2016</v>
      </c>
      <c r="D1440" s="1">
        <v>30377</v>
      </c>
      <c r="E1440" s="1">
        <v>88</v>
      </c>
      <c r="F1440" s="1">
        <v>146</v>
      </c>
      <c r="G1440" s="1">
        <v>1542650</v>
      </c>
      <c r="H1440" s="1">
        <v>0</v>
      </c>
    </row>
    <row r="1441" spans="1:8" x14ac:dyDescent="0.3">
      <c r="A1441" s="1" t="s">
        <v>602</v>
      </c>
      <c r="B1441" s="1" t="s">
        <v>603</v>
      </c>
      <c r="C1441" s="1">
        <v>2016</v>
      </c>
      <c r="D1441" s="1">
        <v>32393</v>
      </c>
      <c r="E1441" s="1">
        <v>173</v>
      </c>
      <c r="F1441" s="1">
        <v>185</v>
      </c>
      <c r="G1441" s="1">
        <v>2210687</v>
      </c>
      <c r="H1441" s="1">
        <v>14</v>
      </c>
    </row>
    <row r="1442" spans="1:8" x14ac:dyDescent="0.3">
      <c r="A1442" s="1" t="s">
        <v>604</v>
      </c>
      <c r="B1442" s="1" t="s">
        <v>605</v>
      </c>
      <c r="C1442" s="1">
        <v>2016</v>
      </c>
      <c r="D1442" s="1">
        <v>23704</v>
      </c>
      <c r="E1442" s="1">
        <v>169</v>
      </c>
      <c r="F1442" s="1">
        <v>39</v>
      </c>
      <c r="G1442" s="1">
        <v>505848</v>
      </c>
      <c r="H1442" s="1">
        <v>4</v>
      </c>
    </row>
    <row r="1443" spans="1:8" x14ac:dyDescent="0.3">
      <c r="A1443" s="1" t="s">
        <v>606</v>
      </c>
      <c r="B1443" s="1" t="s">
        <v>607</v>
      </c>
      <c r="C1443" s="1">
        <v>2016</v>
      </c>
      <c r="D1443" s="1">
        <v>16296</v>
      </c>
      <c r="E1443" s="1">
        <v>123</v>
      </c>
      <c r="F1443" s="1">
        <v>34</v>
      </c>
      <c r="G1443" s="1">
        <v>182231</v>
      </c>
      <c r="H1443" s="1">
        <v>1</v>
      </c>
    </row>
    <row r="1444" spans="1:8" x14ac:dyDescent="0.3">
      <c r="A1444" s="1" t="s">
        <v>608</v>
      </c>
      <c r="B1444" s="1" t="s">
        <v>609</v>
      </c>
      <c r="C1444" s="1">
        <v>2016</v>
      </c>
      <c r="D1444" s="1">
        <v>83646</v>
      </c>
      <c r="E1444" s="1">
        <v>755</v>
      </c>
      <c r="F1444" s="1">
        <v>1301</v>
      </c>
      <c r="G1444" s="1">
        <v>3694298</v>
      </c>
      <c r="H1444" s="1">
        <v>41</v>
      </c>
    </row>
    <row r="1445" spans="1:8" x14ac:dyDescent="0.3">
      <c r="A1445" s="1" t="s">
        <v>610</v>
      </c>
      <c r="B1445" s="1" t="s">
        <v>611</v>
      </c>
      <c r="C1445" s="1">
        <v>2016</v>
      </c>
      <c r="D1445" s="1">
        <v>20767</v>
      </c>
      <c r="E1445" s="1">
        <v>55</v>
      </c>
      <c r="F1445" s="1">
        <v>165</v>
      </c>
      <c r="G1445" s="1">
        <v>2751214</v>
      </c>
      <c r="H1445" s="1">
        <v>0</v>
      </c>
    </row>
    <row r="1446" spans="1:8" x14ac:dyDescent="0.3">
      <c r="A1446" s="1" t="s">
        <v>612</v>
      </c>
      <c r="B1446" s="1" t="s">
        <v>613</v>
      </c>
      <c r="C1446" s="1">
        <v>2016</v>
      </c>
      <c r="D1446" s="1">
        <v>14274</v>
      </c>
      <c r="E1446" s="1">
        <v>103</v>
      </c>
      <c r="F1446" s="1">
        <v>141</v>
      </c>
      <c r="G1446" s="1">
        <v>1557776</v>
      </c>
      <c r="H1446" s="1">
        <v>4</v>
      </c>
    </row>
    <row r="1447" spans="1:8" x14ac:dyDescent="0.3">
      <c r="A1447" s="1" t="s">
        <v>614</v>
      </c>
      <c r="B1447" s="1" t="s">
        <v>615</v>
      </c>
      <c r="C1447" s="1">
        <v>2016</v>
      </c>
      <c r="D1447" s="1">
        <v>21626</v>
      </c>
      <c r="E1447" s="1">
        <v>200</v>
      </c>
      <c r="F1447" s="1">
        <v>173</v>
      </c>
      <c r="G1447" s="1">
        <v>1267673</v>
      </c>
      <c r="H1447" s="1">
        <v>0</v>
      </c>
    </row>
    <row r="1448" spans="1:8" x14ac:dyDescent="0.3">
      <c r="A1448" s="1" t="s">
        <v>616</v>
      </c>
      <c r="B1448" s="1" t="s">
        <v>617</v>
      </c>
      <c r="C1448" s="1">
        <v>2016</v>
      </c>
      <c r="D1448" s="1">
        <v>18111</v>
      </c>
      <c r="E1448" s="1">
        <v>141</v>
      </c>
      <c r="F1448" s="1">
        <v>109</v>
      </c>
      <c r="G1448" s="1">
        <v>740731</v>
      </c>
      <c r="H1448" s="1">
        <v>2</v>
      </c>
    </row>
    <row r="1449" spans="1:8" x14ac:dyDescent="0.3">
      <c r="A1449" s="1" t="s">
        <v>618</v>
      </c>
      <c r="B1449" s="1" t="s">
        <v>619</v>
      </c>
      <c r="C1449" s="1">
        <v>2016</v>
      </c>
      <c r="D1449" s="1">
        <v>32099</v>
      </c>
      <c r="E1449" s="1">
        <v>507</v>
      </c>
      <c r="F1449" s="1">
        <v>405</v>
      </c>
      <c r="G1449" s="1">
        <v>1713280</v>
      </c>
      <c r="H1449" s="1">
        <v>170</v>
      </c>
    </row>
    <row r="1450" spans="1:8" x14ac:dyDescent="0.3">
      <c r="A1450" s="1" t="s">
        <v>620</v>
      </c>
      <c r="B1450" s="1" t="s">
        <v>621</v>
      </c>
      <c r="C1450" s="1">
        <v>2016</v>
      </c>
      <c r="D1450" s="1">
        <v>20766</v>
      </c>
      <c r="E1450" s="1">
        <v>296</v>
      </c>
      <c r="F1450" s="1">
        <v>252</v>
      </c>
      <c r="G1450" s="1">
        <v>1991181</v>
      </c>
      <c r="H1450" s="1">
        <v>9</v>
      </c>
    </row>
    <row r="1451" spans="1:8" x14ac:dyDescent="0.3">
      <c r="A1451" s="1" t="s">
        <v>622</v>
      </c>
      <c r="B1451" s="1" t="s">
        <v>623</v>
      </c>
      <c r="C1451" s="1">
        <v>2016</v>
      </c>
      <c r="D1451" s="1">
        <v>29727</v>
      </c>
      <c r="E1451" s="1">
        <v>309</v>
      </c>
      <c r="F1451" s="1">
        <v>463</v>
      </c>
      <c r="G1451" s="1">
        <v>1150319</v>
      </c>
      <c r="H1451" s="1">
        <v>167</v>
      </c>
    </row>
    <row r="1452" spans="1:8" x14ac:dyDescent="0.3">
      <c r="A1452" s="1" t="s">
        <v>624</v>
      </c>
      <c r="B1452" s="1" t="s">
        <v>625</v>
      </c>
      <c r="C1452" s="1">
        <v>2016</v>
      </c>
      <c r="D1452" s="1">
        <v>23549</v>
      </c>
      <c r="E1452" s="1">
        <v>60</v>
      </c>
      <c r="F1452" s="1">
        <v>249</v>
      </c>
      <c r="G1452" s="1">
        <v>2150136</v>
      </c>
      <c r="H1452" s="1">
        <v>0</v>
      </c>
    </row>
    <row r="1453" spans="1:8" x14ac:dyDescent="0.3">
      <c r="A1453" s="1" t="s">
        <v>626</v>
      </c>
      <c r="B1453" s="1" t="s">
        <v>627</v>
      </c>
      <c r="C1453" s="1">
        <v>2016</v>
      </c>
      <c r="D1453" s="1">
        <v>14899</v>
      </c>
      <c r="E1453" s="1">
        <v>53</v>
      </c>
      <c r="F1453" s="1">
        <v>124</v>
      </c>
      <c r="G1453" s="1">
        <v>1337527</v>
      </c>
      <c r="H1453" s="1">
        <v>40</v>
      </c>
    </row>
    <row r="1454" spans="1:8" x14ac:dyDescent="0.3">
      <c r="A1454" s="1" t="s">
        <v>628</v>
      </c>
      <c r="B1454" s="1" t="s">
        <v>629</v>
      </c>
      <c r="C1454" s="1">
        <v>2016</v>
      </c>
      <c r="D1454" s="1">
        <v>18023</v>
      </c>
      <c r="E1454" s="1">
        <v>221</v>
      </c>
      <c r="F1454" s="1">
        <v>203</v>
      </c>
      <c r="G1454" s="1">
        <v>1750405</v>
      </c>
      <c r="H1454" s="1">
        <v>6</v>
      </c>
    </row>
    <row r="1455" spans="1:8" x14ac:dyDescent="0.3">
      <c r="A1455" s="1" t="s">
        <v>630</v>
      </c>
      <c r="B1455" s="1" t="s">
        <v>631</v>
      </c>
      <c r="C1455" s="1">
        <v>2016</v>
      </c>
      <c r="D1455" s="1">
        <v>10689</v>
      </c>
      <c r="E1455" s="1">
        <v>98</v>
      </c>
      <c r="F1455" s="1">
        <v>103</v>
      </c>
      <c r="G1455" s="1">
        <v>529321</v>
      </c>
      <c r="H1455" s="1">
        <v>0</v>
      </c>
    </row>
    <row r="1456" spans="1:8" x14ac:dyDescent="0.3">
      <c r="A1456" s="1" t="s">
        <v>632</v>
      </c>
      <c r="B1456" s="1" t="s">
        <v>633</v>
      </c>
      <c r="C1456" s="1">
        <v>2016</v>
      </c>
      <c r="D1456" s="1">
        <v>13471</v>
      </c>
      <c r="E1456" s="1">
        <v>95</v>
      </c>
      <c r="F1456" s="1">
        <v>51</v>
      </c>
      <c r="G1456" s="1">
        <v>461328</v>
      </c>
      <c r="H1456" s="1">
        <v>0</v>
      </c>
    </row>
    <row r="1457" spans="1:8" x14ac:dyDescent="0.3">
      <c r="A1457" s="1" t="s">
        <v>634</v>
      </c>
      <c r="B1457" s="1" t="s">
        <v>635</v>
      </c>
      <c r="C1457" s="1">
        <v>2016</v>
      </c>
      <c r="D1457" s="1">
        <v>11791</v>
      </c>
      <c r="E1457" s="1">
        <v>88</v>
      </c>
      <c r="F1457" s="1">
        <v>176</v>
      </c>
      <c r="G1457" s="1">
        <v>1328175</v>
      </c>
      <c r="H1457" s="1">
        <v>25</v>
      </c>
    </row>
    <row r="1458" spans="1:8" x14ac:dyDescent="0.3">
      <c r="A1458" s="1" t="s">
        <v>636</v>
      </c>
      <c r="B1458" s="1" t="s">
        <v>637</v>
      </c>
      <c r="C1458" s="1">
        <v>2016</v>
      </c>
      <c r="D1458" s="1">
        <v>41240</v>
      </c>
      <c r="E1458" s="1">
        <v>841</v>
      </c>
      <c r="F1458" s="1">
        <v>677</v>
      </c>
      <c r="G1458" s="1">
        <v>2496198</v>
      </c>
      <c r="H1458" s="1">
        <v>32</v>
      </c>
    </row>
    <row r="1459" spans="1:8" x14ac:dyDescent="0.3">
      <c r="A1459" s="1" t="s">
        <v>638</v>
      </c>
      <c r="B1459" s="1" t="s">
        <v>639</v>
      </c>
      <c r="C1459" s="1">
        <v>2016</v>
      </c>
      <c r="D1459" s="1">
        <v>36142</v>
      </c>
      <c r="E1459" s="1">
        <v>165</v>
      </c>
      <c r="F1459" s="1">
        <v>343</v>
      </c>
      <c r="G1459" s="1">
        <v>1716546</v>
      </c>
      <c r="H1459" s="1">
        <v>74</v>
      </c>
    </row>
    <row r="1460" spans="1:8" x14ac:dyDescent="0.3">
      <c r="A1460" s="1" t="s">
        <v>640</v>
      </c>
      <c r="B1460" s="1" t="s">
        <v>641</v>
      </c>
      <c r="C1460" s="1">
        <v>2016</v>
      </c>
      <c r="D1460" s="1">
        <v>19054</v>
      </c>
      <c r="E1460" s="1">
        <v>128</v>
      </c>
      <c r="F1460" s="1">
        <v>231</v>
      </c>
      <c r="G1460" s="1">
        <v>1963469</v>
      </c>
      <c r="H1460" s="1">
        <v>0</v>
      </c>
    </row>
    <row r="1461" spans="1:8" x14ac:dyDescent="0.3">
      <c r="A1461" s="1" t="s">
        <v>642</v>
      </c>
      <c r="B1461" s="1" t="s">
        <v>643</v>
      </c>
      <c r="C1461" s="1">
        <v>2016</v>
      </c>
      <c r="D1461" s="1">
        <v>22740</v>
      </c>
      <c r="E1461" s="1">
        <v>199</v>
      </c>
      <c r="F1461" s="1">
        <v>230</v>
      </c>
      <c r="G1461" s="1">
        <v>1012687</v>
      </c>
      <c r="H1461" s="1">
        <v>4</v>
      </c>
    </row>
    <row r="1462" spans="1:8" x14ac:dyDescent="0.3">
      <c r="A1462" s="1" t="s">
        <v>644</v>
      </c>
      <c r="B1462" s="1" t="s">
        <v>645</v>
      </c>
      <c r="C1462" s="1">
        <v>2016</v>
      </c>
      <c r="D1462" s="1">
        <v>9073</v>
      </c>
      <c r="E1462" s="1">
        <v>90</v>
      </c>
      <c r="F1462" s="1">
        <v>103</v>
      </c>
      <c r="G1462" s="1">
        <v>1866636</v>
      </c>
      <c r="H1462" s="1">
        <v>0</v>
      </c>
    </row>
    <row r="1463" spans="1:8" x14ac:dyDescent="0.3">
      <c r="A1463" s="1" t="s">
        <v>646</v>
      </c>
      <c r="B1463" s="1" t="s">
        <v>647</v>
      </c>
      <c r="C1463" s="1">
        <v>2016</v>
      </c>
      <c r="D1463" s="1">
        <v>8405</v>
      </c>
      <c r="E1463" s="1">
        <v>65</v>
      </c>
      <c r="F1463" s="1">
        <v>68</v>
      </c>
      <c r="G1463" s="1">
        <v>829845</v>
      </c>
      <c r="H1463" s="1">
        <v>0</v>
      </c>
    </row>
    <row r="1464" spans="1:8" x14ac:dyDescent="0.3">
      <c r="A1464" s="1" t="s">
        <v>648</v>
      </c>
      <c r="B1464" s="1" t="s">
        <v>649</v>
      </c>
      <c r="C1464" s="1">
        <v>2016</v>
      </c>
      <c r="D1464" s="1">
        <v>46442</v>
      </c>
      <c r="E1464" s="1">
        <v>309</v>
      </c>
      <c r="F1464" s="1">
        <v>561</v>
      </c>
      <c r="G1464" s="1">
        <v>5722230</v>
      </c>
      <c r="H1464" s="1">
        <v>0</v>
      </c>
    </row>
    <row r="1465" spans="1:8" x14ac:dyDescent="0.3">
      <c r="A1465" s="1" t="s">
        <v>650</v>
      </c>
      <c r="B1465" s="1" t="s">
        <v>651</v>
      </c>
      <c r="C1465" s="1">
        <v>2016</v>
      </c>
      <c r="D1465" s="1">
        <v>76680</v>
      </c>
      <c r="E1465" s="1">
        <v>548</v>
      </c>
      <c r="F1465" s="1">
        <v>1450</v>
      </c>
      <c r="G1465" s="1">
        <v>5748768</v>
      </c>
      <c r="H1465" s="1">
        <v>36</v>
      </c>
    </row>
    <row r="1466" spans="1:8" x14ac:dyDescent="0.3">
      <c r="A1466" s="1" t="s">
        <v>652</v>
      </c>
      <c r="B1466" s="1" t="s">
        <v>653</v>
      </c>
      <c r="C1466" s="1">
        <v>2016</v>
      </c>
      <c r="D1466" s="1">
        <v>14652</v>
      </c>
      <c r="E1466" s="1">
        <v>103</v>
      </c>
      <c r="F1466" s="1">
        <v>78</v>
      </c>
      <c r="G1466" s="1">
        <v>1087291</v>
      </c>
      <c r="H1466" s="1">
        <v>17</v>
      </c>
    </row>
    <row r="1467" spans="1:8" x14ac:dyDescent="0.3">
      <c r="A1467" s="1" t="s">
        <v>654</v>
      </c>
      <c r="B1467" s="1" t="s">
        <v>655</v>
      </c>
      <c r="C1467" s="1">
        <v>2016</v>
      </c>
      <c r="D1467" s="1">
        <v>27122</v>
      </c>
      <c r="E1467" s="1">
        <v>140</v>
      </c>
      <c r="F1467" s="1">
        <v>124</v>
      </c>
      <c r="G1467" s="1">
        <v>1469799</v>
      </c>
      <c r="H1467" s="1">
        <v>17</v>
      </c>
    </row>
    <row r="1468" spans="1:8" x14ac:dyDescent="0.3">
      <c r="A1468" s="1" t="s">
        <v>656</v>
      </c>
      <c r="B1468" s="1" t="s">
        <v>657</v>
      </c>
      <c r="C1468" s="1">
        <v>2016</v>
      </c>
      <c r="D1468" s="1">
        <v>48909</v>
      </c>
      <c r="E1468" s="1">
        <v>718</v>
      </c>
      <c r="F1468" s="1">
        <v>338</v>
      </c>
      <c r="G1468" s="1">
        <v>7213303</v>
      </c>
      <c r="H1468" s="1">
        <v>10</v>
      </c>
    </row>
    <row r="1469" spans="1:8" x14ac:dyDescent="0.3">
      <c r="A1469" s="1" t="s">
        <v>658</v>
      </c>
      <c r="B1469" s="1" t="s">
        <v>659</v>
      </c>
      <c r="C1469" s="1">
        <v>2016</v>
      </c>
      <c r="D1469" s="1">
        <v>21575</v>
      </c>
      <c r="E1469" s="1">
        <v>276</v>
      </c>
      <c r="F1469" s="1">
        <v>132</v>
      </c>
      <c r="G1469" s="1">
        <v>1164305</v>
      </c>
      <c r="H1469" s="1">
        <v>4</v>
      </c>
    </row>
    <row r="1470" spans="1:8" x14ac:dyDescent="0.3">
      <c r="A1470" s="1" t="s">
        <v>660</v>
      </c>
      <c r="B1470" s="1" t="s">
        <v>292</v>
      </c>
      <c r="C1470" s="1">
        <v>2016</v>
      </c>
      <c r="D1470" s="1">
        <v>14467</v>
      </c>
      <c r="E1470" s="1">
        <v>215</v>
      </c>
      <c r="F1470" s="1">
        <v>101</v>
      </c>
      <c r="G1470" s="1">
        <v>866535</v>
      </c>
      <c r="H1470" s="1">
        <v>0</v>
      </c>
    </row>
    <row r="1471" spans="1:8" x14ac:dyDescent="0.3">
      <c r="A1471" s="1" t="s">
        <v>661</v>
      </c>
      <c r="B1471" s="1" t="s">
        <v>662</v>
      </c>
      <c r="C1471" s="1">
        <v>2016</v>
      </c>
      <c r="D1471" s="1">
        <v>21077</v>
      </c>
      <c r="E1471" s="1">
        <v>167</v>
      </c>
      <c r="F1471" s="1">
        <v>109</v>
      </c>
      <c r="G1471" s="1">
        <v>1046735</v>
      </c>
      <c r="H1471" s="1">
        <v>0</v>
      </c>
    </row>
    <row r="1472" spans="1:8" x14ac:dyDescent="0.3">
      <c r="A1472" s="1" t="s">
        <v>663</v>
      </c>
      <c r="B1472" s="1" t="s">
        <v>664</v>
      </c>
      <c r="C1472" s="1">
        <v>2016</v>
      </c>
      <c r="D1472" s="1">
        <v>22932</v>
      </c>
      <c r="E1472" s="1">
        <v>206</v>
      </c>
      <c r="F1472" s="1">
        <v>19</v>
      </c>
      <c r="G1472" s="1">
        <v>210380</v>
      </c>
      <c r="H1472" s="1">
        <v>0</v>
      </c>
    </row>
    <row r="1473" spans="1:8" x14ac:dyDescent="0.3">
      <c r="A1473" s="1" t="s">
        <v>665</v>
      </c>
      <c r="B1473" s="1" t="s">
        <v>666</v>
      </c>
      <c r="C1473" s="1">
        <v>2016</v>
      </c>
      <c r="D1473" s="1">
        <v>17013</v>
      </c>
      <c r="E1473" s="1">
        <v>260</v>
      </c>
      <c r="F1473" s="1">
        <v>8</v>
      </c>
      <c r="G1473" s="1">
        <v>577613</v>
      </c>
      <c r="H1473" s="1">
        <v>2</v>
      </c>
    </row>
    <row r="1474" spans="1:8" x14ac:dyDescent="0.3">
      <c r="A1474" s="1" t="s">
        <v>667</v>
      </c>
      <c r="B1474" s="1" t="s">
        <v>668</v>
      </c>
      <c r="C1474" s="1">
        <v>2016</v>
      </c>
      <c r="D1474" s="1">
        <v>29021</v>
      </c>
      <c r="E1474" s="1">
        <v>165</v>
      </c>
      <c r="F1474" s="1">
        <v>65</v>
      </c>
      <c r="G1474" s="1">
        <v>1736419</v>
      </c>
      <c r="H1474" s="1">
        <v>11</v>
      </c>
    </row>
    <row r="1475" spans="1:8" x14ac:dyDescent="0.3">
      <c r="A1475" s="1" t="s">
        <v>669</v>
      </c>
      <c r="B1475" s="1" t="s">
        <v>670</v>
      </c>
      <c r="C1475" s="1">
        <v>2016</v>
      </c>
      <c r="D1475" s="1">
        <v>36171</v>
      </c>
      <c r="E1475" s="1">
        <v>389</v>
      </c>
      <c r="F1475" s="1">
        <v>47</v>
      </c>
      <c r="G1475" s="1">
        <v>569136</v>
      </c>
      <c r="H1475" s="1">
        <v>0</v>
      </c>
    </row>
    <row r="1476" spans="1:8" x14ac:dyDescent="0.3">
      <c r="A1476" s="1" t="s">
        <v>671</v>
      </c>
      <c r="B1476" s="1" t="s">
        <v>672</v>
      </c>
      <c r="C1476" s="1">
        <v>2016</v>
      </c>
      <c r="D1476" s="1">
        <v>24321</v>
      </c>
      <c r="E1476" s="1">
        <v>260</v>
      </c>
      <c r="F1476" s="1">
        <v>168</v>
      </c>
      <c r="G1476" s="1">
        <v>2226632</v>
      </c>
      <c r="H1476" s="1">
        <v>0</v>
      </c>
    </row>
    <row r="1477" spans="1:8" x14ac:dyDescent="0.3">
      <c r="A1477" s="1" t="s">
        <v>673</v>
      </c>
      <c r="B1477" s="1" t="s">
        <v>674</v>
      </c>
      <c r="C1477" s="1">
        <v>2016</v>
      </c>
      <c r="D1477" s="1">
        <v>23242</v>
      </c>
      <c r="E1477" s="1">
        <v>241</v>
      </c>
      <c r="F1477" s="1">
        <v>204</v>
      </c>
      <c r="G1477" s="1">
        <v>1932618</v>
      </c>
      <c r="H1477" s="1">
        <v>2</v>
      </c>
    </row>
    <row r="1478" spans="1:8" x14ac:dyDescent="0.3">
      <c r="A1478" s="1" t="s">
        <v>675</v>
      </c>
      <c r="B1478" s="1" t="s">
        <v>676</v>
      </c>
      <c r="C1478" s="1">
        <v>2016</v>
      </c>
      <c r="D1478" s="1">
        <v>15259</v>
      </c>
      <c r="E1478" s="1">
        <v>374</v>
      </c>
      <c r="F1478" s="1">
        <v>69</v>
      </c>
      <c r="G1478" s="1">
        <v>183719</v>
      </c>
      <c r="H1478" s="1">
        <v>2</v>
      </c>
    </row>
    <row r="1479" spans="1:8" x14ac:dyDescent="0.3">
      <c r="A1479" s="1" t="s">
        <v>677</v>
      </c>
      <c r="B1479" s="1" t="s">
        <v>678</v>
      </c>
      <c r="C1479" s="1">
        <v>2016</v>
      </c>
      <c r="D1479" s="1">
        <v>12377</v>
      </c>
      <c r="E1479" s="1">
        <v>137</v>
      </c>
      <c r="F1479" s="1">
        <v>94</v>
      </c>
      <c r="G1479" s="1">
        <v>784601</v>
      </c>
      <c r="H1479" s="1">
        <v>0</v>
      </c>
    </row>
    <row r="1480" spans="1:8" x14ac:dyDescent="0.3">
      <c r="A1480" s="1" t="s">
        <v>679</v>
      </c>
      <c r="B1480" s="1" t="s">
        <v>680</v>
      </c>
      <c r="C1480" s="1">
        <v>2016</v>
      </c>
      <c r="D1480" s="1">
        <v>23490</v>
      </c>
      <c r="E1480" s="1">
        <v>443</v>
      </c>
      <c r="F1480" s="1">
        <v>178</v>
      </c>
      <c r="G1480" s="1">
        <v>521440</v>
      </c>
      <c r="H1480" s="1">
        <v>10</v>
      </c>
    </row>
    <row r="1481" spans="1:8" x14ac:dyDescent="0.3">
      <c r="A1481" s="1" t="s">
        <v>681</v>
      </c>
      <c r="B1481" s="1" t="s">
        <v>682</v>
      </c>
      <c r="C1481" s="1">
        <v>2016</v>
      </c>
      <c r="D1481" s="1">
        <v>18877</v>
      </c>
      <c r="E1481" s="1">
        <v>285</v>
      </c>
      <c r="F1481" s="1">
        <v>225</v>
      </c>
      <c r="G1481" s="1">
        <v>856994</v>
      </c>
      <c r="H1481" s="1">
        <v>0</v>
      </c>
    </row>
    <row r="1482" spans="1:8" x14ac:dyDescent="0.3">
      <c r="A1482" s="1" t="s">
        <v>683</v>
      </c>
      <c r="B1482" s="1" t="s">
        <v>314</v>
      </c>
      <c r="C1482" s="1">
        <v>2016</v>
      </c>
      <c r="D1482" s="1">
        <v>51057</v>
      </c>
      <c r="E1482" s="1">
        <v>518</v>
      </c>
      <c r="F1482" s="1">
        <v>170</v>
      </c>
      <c r="G1482" s="1">
        <v>4267061</v>
      </c>
      <c r="H1482" s="1">
        <v>30</v>
      </c>
    </row>
    <row r="1483" spans="1:8" x14ac:dyDescent="0.3">
      <c r="A1483" s="1" t="s">
        <v>684</v>
      </c>
      <c r="B1483" s="1" t="s">
        <v>685</v>
      </c>
      <c r="C1483" s="1">
        <v>2016</v>
      </c>
      <c r="D1483" s="1">
        <v>16674</v>
      </c>
      <c r="E1483" s="1">
        <v>158</v>
      </c>
      <c r="F1483" s="1">
        <v>67</v>
      </c>
      <c r="G1483" s="1">
        <v>739690</v>
      </c>
      <c r="H1483" s="1">
        <v>24</v>
      </c>
    </row>
    <row r="1484" spans="1:8" x14ac:dyDescent="0.3">
      <c r="A1484" s="1" t="s">
        <v>686</v>
      </c>
      <c r="B1484" s="1" t="s">
        <v>687</v>
      </c>
      <c r="C1484" s="1">
        <v>2016</v>
      </c>
      <c r="D1484" s="1">
        <v>45625</v>
      </c>
      <c r="E1484" s="1">
        <v>351</v>
      </c>
      <c r="F1484" s="1">
        <v>457</v>
      </c>
      <c r="G1484" s="1">
        <v>4016679</v>
      </c>
      <c r="H1484" s="1">
        <v>16</v>
      </c>
    </row>
    <row r="1485" spans="1:8" x14ac:dyDescent="0.3">
      <c r="A1485" s="1" t="s">
        <v>688</v>
      </c>
      <c r="B1485" s="1" t="s">
        <v>689</v>
      </c>
      <c r="C1485" s="1">
        <v>2016</v>
      </c>
      <c r="D1485" s="1">
        <v>18412</v>
      </c>
      <c r="E1485" s="1">
        <v>130</v>
      </c>
      <c r="F1485" s="1">
        <v>95</v>
      </c>
      <c r="G1485" s="1">
        <v>1409211</v>
      </c>
      <c r="H1485" s="1">
        <v>0</v>
      </c>
    </row>
    <row r="1486" spans="1:8" x14ac:dyDescent="0.3">
      <c r="A1486" s="1" t="s">
        <v>690</v>
      </c>
      <c r="B1486" s="1" t="s">
        <v>691</v>
      </c>
      <c r="C1486" s="1">
        <v>2016</v>
      </c>
      <c r="D1486" s="1">
        <v>124821</v>
      </c>
      <c r="E1486" s="1">
        <v>4068</v>
      </c>
      <c r="F1486" s="1">
        <v>1650</v>
      </c>
      <c r="G1486" s="1">
        <v>3594623</v>
      </c>
      <c r="H1486" s="1">
        <v>8</v>
      </c>
    </row>
    <row r="1487" spans="1:8" x14ac:dyDescent="0.3">
      <c r="A1487" s="1" t="s">
        <v>692</v>
      </c>
      <c r="B1487" s="1" t="s">
        <v>693</v>
      </c>
      <c r="C1487" s="1">
        <v>2016</v>
      </c>
      <c r="D1487" s="1">
        <v>18978</v>
      </c>
      <c r="E1487" s="1">
        <v>180</v>
      </c>
      <c r="F1487" s="1">
        <v>101</v>
      </c>
      <c r="G1487" s="1">
        <v>885474</v>
      </c>
      <c r="H1487" s="1">
        <v>0</v>
      </c>
    </row>
    <row r="1488" spans="1:8" x14ac:dyDescent="0.3">
      <c r="A1488" s="1" t="s">
        <v>694</v>
      </c>
      <c r="B1488" s="1" t="s">
        <v>695</v>
      </c>
      <c r="C1488" s="1">
        <v>2016</v>
      </c>
      <c r="D1488" s="1">
        <v>18413</v>
      </c>
      <c r="E1488" s="1">
        <v>137</v>
      </c>
      <c r="F1488" s="1">
        <v>51</v>
      </c>
      <c r="G1488" s="1">
        <v>974699</v>
      </c>
      <c r="H1488" s="1">
        <v>2</v>
      </c>
    </row>
    <row r="1489" spans="1:8" x14ac:dyDescent="0.3">
      <c r="A1489" s="1" t="s">
        <v>696</v>
      </c>
      <c r="B1489" s="1" t="s">
        <v>697</v>
      </c>
      <c r="C1489" s="1">
        <v>2016</v>
      </c>
      <c r="D1489" s="1">
        <v>28946</v>
      </c>
      <c r="E1489" s="1">
        <v>560</v>
      </c>
      <c r="F1489" s="1">
        <v>230</v>
      </c>
      <c r="G1489" s="1">
        <v>1578809</v>
      </c>
      <c r="H1489" s="1">
        <v>3</v>
      </c>
    </row>
    <row r="1490" spans="1:8" x14ac:dyDescent="0.3">
      <c r="A1490" s="1" t="s">
        <v>698</v>
      </c>
      <c r="B1490" s="1" t="s">
        <v>45</v>
      </c>
      <c r="C1490" s="1">
        <v>2016</v>
      </c>
      <c r="D1490" s="1">
        <v>18120</v>
      </c>
      <c r="E1490" s="1">
        <v>459</v>
      </c>
      <c r="F1490" s="1">
        <v>172</v>
      </c>
      <c r="G1490" s="1">
        <v>501971</v>
      </c>
      <c r="H1490" s="1">
        <v>0</v>
      </c>
    </row>
    <row r="1491" spans="1:8" x14ac:dyDescent="0.3">
      <c r="A1491" s="1" t="s">
        <v>699</v>
      </c>
      <c r="B1491" s="1" t="s">
        <v>700</v>
      </c>
      <c r="C1491" s="1">
        <v>2016</v>
      </c>
      <c r="D1491" s="1">
        <v>19356</v>
      </c>
      <c r="E1491" s="1">
        <v>385</v>
      </c>
      <c r="F1491" s="1">
        <v>71</v>
      </c>
      <c r="G1491" s="1">
        <v>1835506</v>
      </c>
      <c r="H1491" s="1">
        <v>0</v>
      </c>
    </row>
    <row r="1492" spans="1:8" x14ac:dyDescent="0.3">
      <c r="A1492" s="1" t="s">
        <v>701</v>
      </c>
      <c r="B1492" s="1" t="s">
        <v>702</v>
      </c>
      <c r="C1492" s="1">
        <v>2016</v>
      </c>
      <c r="D1492" s="1">
        <v>26199</v>
      </c>
      <c r="E1492" s="1">
        <v>136</v>
      </c>
      <c r="F1492" s="1">
        <v>152</v>
      </c>
      <c r="G1492" s="1">
        <v>874081</v>
      </c>
      <c r="H1492" s="1">
        <v>0</v>
      </c>
    </row>
    <row r="1493" spans="1:8" x14ac:dyDescent="0.3">
      <c r="A1493" s="1" t="s">
        <v>703</v>
      </c>
      <c r="B1493" s="1" t="s">
        <v>704</v>
      </c>
      <c r="C1493" s="1">
        <v>2016</v>
      </c>
      <c r="D1493" s="1">
        <v>21951</v>
      </c>
      <c r="E1493" s="1">
        <v>313</v>
      </c>
      <c r="F1493" s="1">
        <v>224</v>
      </c>
      <c r="G1493" s="1">
        <v>1635398</v>
      </c>
      <c r="H1493" s="1">
        <v>9</v>
      </c>
    </row>
    <row r="1494" spans="1:8" x14ac:dyDescent="0.3">
      <c r="A1494" s="1" t="s">
        <v>705</v>
      </c>
      <c r="B1494" s="1" t="s">
        <v>706</v>
      </c>
      <c r="C1494" s="1">
        <v>2016</v>
      </c>
      <c r="D1494" s="1">
        <v>15878</v>
      </c>
      <c r="E1494" s="1">
        <v>187</v>
      </c>
      <c r="F1494" s="1">
        <v>32</v>
      </c>
      <c r="G1494" s="1">
        <v>619291</v>
      </c>
      <c r="H1494" s="1">
        <v>64</v>
      </c>
    </row>
    <row r="1495" spans="1:8" x14ac:dyDescent="0.3">
      <c r="A1495" s="1" t="s">
        <v>707</v>
      </c>
      <c r="B1495" s="1" t="s">
        <v>708</v>
      </c>
      <c r="C1495" s="1">
        <v>2016</v>
      </c>
      <c r="D1495" s="1">
        <v>25499</v>
      </c>
      <c r="E1495" s="1">
        <v>638</v>
      </c>
      <c r="F1495" s="1">
        <v>414</v>
      </c>
      <c r="G1495" s="1">
        <v>2075020</v>
      </c>
      <c r="H1495" s="1">
        <v>0</v>
      </c>
    </row>
    <row r="1496" spans="1:8" x14ac:dyDescent="0.3">
      <c r="A1496" s="1" t="s">
        <v>709</v>
      </c>
      <c r="B1496" s="1" t="s">
        <v>710</v>
      </c>
      <c r="C1496" s="1">
        <v>2016</v>
      </c>
      <c r="D1496" s="1">
        <v>21844</v>
      </c>
      <c r="E1496" s="1">
        <v>233</v>
      </c>
      <c r="F1496" s="1">
        <v>201</v>
      </c>
      <c r="G1496" s="1">
        <v>2759610</v>
      </c>
      <c r="H1496" s="1">
        <v>3</v>
      </c>
    </row>
    <row r="1497" spans="1:8" x14ac:dyDescent="0.3">
      <c r="A1497" s="1" t="s">
        <v>711</v>
      </c>
      <c r="B1497" s="1" t="s">
        <v>712</v>
      </c>
      <c r="C1497" s="1">
        <v>2016</v>
      </c>
      <c r="D1497" s="1">
        <v>43370</v>
      </c>
      <c r="E1497" s="1">
        <v>163</v>
      </c>
      <c r="F1497" s="1">
        <v>397</v>
      </c>
      <c r="G1497" s="1">
        <v>5529164</v>
      </c>
      <c r="H1497" s="1">
        <v>31</v>
      </c>
    </row>
    <row r="1498" spans="1:8" x14ac:dyDescent="0.3">
      <c r="A1498" s="1" t="s">
        <v>713</v>
      </c>
      <c r="B1498" s="1" t="s">
        <v>714</v>
      </c>
      <c r="C1498" s="1">
        <v>2016</v>
      </c>
      <c r="D1498" s="1">
        <v>29478</v>
      </c>
      <c r="E1498" s="1">
        <v>188</v>
      </c>
      <c r="F1498" s="1">
        <v>334</v>
      </c>
      <c r="G1498" s="1">
        <v>3331781</v>
      </c>
      <c r="H1498" s="1">
        <v>0</v>
      </c>
    </row>
    <row r="1499" spans="1:8" x14ac:dyDescent="0.3">
      <c r="A1499" s="1" t="s">
        <v>715</v>
      </c>
      <c r="B1499" s="1" t="s">
        <v>716</v>
      </c>
      <c r="C1499" s="1">
        <v>2016</v>
      </c>
      <c r="D1499" s="1">
        <v>24277</v>
      </c>
      <c r="E1499" s="1">
        <v>314</v>
      </c>
      <c r="F1499" s="1">
        <v>230</v>
      </c>
      <c r="G1499" s="1">
        <v>1659397</v>
      </c>
      <c r="H1499" s="1">
        <v>0</v>
      </c>
    </row>
    <row r="1500" spans="1:8" x14ac:dyDescent="0.3">
      <c r="A1500" s="1" t="s">
        <v>717</v>
      </c>
      <c r="B1500" s="1" t="s">
        <v>718</v>
      </c>
      <c r="C1500" s="1">
        <v>2016</v>
      </c>
      <c r="D1500" s="1">
        <v>254074</v>
      </c>
      <c r="E1500" s="1">
        <v>2915</v>
      </c>
      <c r="F1500" s="1">
        <v>6115</v>
      </c>
      <c r="G1500" s="1">
        <v>17113493</v>
      </c>
      <c r="H1500" s="1">
        <v>28</v>
      </c>
    </row>
    <row r="1501" spans="1:8" x14ac:dyDescent="0.3">
      <c r="A1501" s="1" t="s">
        <v>719</v>
      </c>
      <c r="B1501" s="1" t="s">
        <v>720</v>
      </c>
      <c r="C1501" s="1">
        <v>2016</v>
      </c>
      <c r="D1501" s="1">
        <v>16698</v>
      </c>
      <c r="E1501" s="1">
        <v>50</v>
      </c>
      <c r="F1501" s="1">
        <v>157</v>
      </c>
      <c r="G1501" s="1">
        <v>1484605</v>
      </c>
      <c r="H1501" s="1">
        <v>57</v>
      </c>
    </row>
    <row r="1502" spans="1:8" x14ac:dyDescent="0.3">
      <c r="A1502" s="1" t="s">
        <v>721</v>
      </c>
      <c r="B1502" s="1" t="s">
        <v>722</v>
      </c>
      <c r="C1502" s="1">
        <v>2016</v>
      </c>
      <c r="D1502" s="1">
        <v>16547</v>
      </c>
      <c r="E1502" s="1">
        <v>127</v>
      </c>
      <c r="F1502" s="1">
        <v>154</v>
      </c>
      <c r="G1502" s="1">
        <v>1385337</v>
      </c>
      <c r="H1502" s="1">
        <v>4</v>
      </c>
    </row>
    <row r="1503" spans="1:8" x14ac:dyDescent="0.3">
      <c r="A1503" s="1" t="s">
        <v>723</v>
      </c>
      <c r="B1503" s="1" t="s">
        <v>724</v>
      </c>
      <c r="C1503" s="1">
        <v>2016</v>
      </c>
      <c r="D1503" s="1">
        <v>20150</v>
      </c>
      <c r="E1503" s="1">
        <v>170</v>
      </c>
      <c r="F1503" s="1">
        <v>189</v>
      </c>
      <c r="G1503" s="1">
        <v>3395433</v>
      </c>
      <c r="H1503" s="1">
        <v>25</v>
      </c>
    </row>
    <row r="1504" spans="1:8" x14ac:dyDescent="0.3">
      <c r="A1504" s="1" t="s">
        <v>725</v>
      </c>
      <c r="B1504" s="1" t="s">
        <v>726</v>
      </c>
      <c r="C1504" s="1">
        <v>2016</v>
      </c>
      <c r="D1504" s="1">
        <v>27220</v>
      </c>
      <c r="E1504" s="1">
        <v>243</v>
      </c>
      <c r="F1504" s="1">
        <v>272</v>
      </c>
      <c r="G1504" s="1">
        <v>1237128</v>
      </c>
      <c r="H1504" s="1">
        <v>4</v>
      </c>
    </row>
    <row r="1505" spans="1:8" x14ac:dyDescent="0.3">
      <c r="A1505" s="1" t="s">
        <v>727</v>
      </c>
      <c r="B1505" s="1" t="s">
        <v>728</v>
      </c>
      <c r="C1505" s="1">
        <v>2016</v>
      </c>
      <c r="D1505" s="1">
        <v>20760</v>
      </c>
      <c r="E1505" s="1">
        <v>69</v>
      </c>
      <c r="F1505" s="1">
        <v>180</v>
      </c>
      <c r="G1505" s="1">
        <v>1803503</v>
      </c>
      <c r="H1505" s="1">
        <v>2</v>
      </c>
    </row>
    <row r="1506" spans="1:8" x14ac:dyDescent="0.3">
      <c r="A1506" s="1" t="s">
        <v>729</v>
      </c>
      <c r="B1506" s="1" t="s">
        <v>730</v>
      </c>
      <c r="C1506" s="1">
        <v>2016</v>
      </c>
      <c r="D1506" s="1">
        <v>27073</v>
      </c>
      <c r="E1506" s="1">
        <v>163</v>
      </c>
      <c r="F1506" s="1">
        <v>244</v>
      </c>
      <c r="G1506" s="1">
        <v>1282464</v>
      </c>
      <c r="H1506" s="1">
        <v>20</v>
      </c>
    </row>
    <row r="1507" spans="1:8" x14ac:dyDescent="0.3">
      <c r="A1507" s="1" t="s">
        <v>731</v>
      </c>
      <c r="B1507" s="1" t="s">
        <v>732</v>
      </c>
      <c r="C1507" s="1">
        <v>2016</v>
      </c>
      <c r="D1507" s="1">
        <v>20431</v>
      </c>
      <c r="E1507" s="1">
        <v>159</v>
      </c>
      <c r="F1507" s="1">
        <v>332</v>
      </c>
      <c r="G1507" s="1">
        <v>832842</v>
      </c>
      <c r="H1507" s="1">
        <v>15</v>
      </c>
    </row>
    <row r="1508" spans="1:8" x14ac:dyDescent="0.3">
      <c r="A1508" s="1" t="s">
        <v>733</v>
      </c>
      <c r="B1508" s="1" t="s">
        <v>734</v>
      </c>
      <c r="C1508" s="1">
        <v>2016</v>
      </c>
      <c r="D1508" s="1">
        <v>34161</v>
      </c>
      <c r="E1508" s="1">
        <v>621</v>
      </c>
      <c r="F1508" s="1">
        <v>591</v>
      </c>
      <c r="G1508" s="1">
        <v>1530581</v>
      </c>
      <c r="H1508" s="1">
        <v>39</v>
      </c>
    </row>
    <row r="1509" spans="1:8" x14ac:dyDescent="0.3">
      <c r="A1509" s="1" t="s">
        <v>735</v>
      </c>
      <c r="B1509" s="1" t="s">
        <v>736</v>
      </c>
      <c r="C1509" s="1">
        <v>2016</v>
      </c>
      <c r="D1509" s="1">
        <v>22113</v>
      </c>
      <c r="E1509" s="1">
        <v>412</v>
      </c>
      <c r="F1509" s="1">
        <v>268</v>
      </c>
      <c r="G1509" s="1">
        <v>886132</v>
      </c>
      <c r="H1509" s="1">
        <v>9</v>
      </c>
    </row>
    <row r="1510" spans="1:8" x14ac:dyDescent="0.3">
      <c r="A1510" s="1" t="s">
        <v>737</v>
      </c>
      <c r="B1510" s="1" t="s">
        <v>738</v>
      </c>
      <c r="C1510" s="1">
        <v>2016</v>
      </c>
      <c r="D1510" s="1">
        <v>22240</v>
      </c>
      <c r="E1510" s="1">
        <v>125</v>
      </c>
      <c r="F1510" s="1">
        <v>216</v>
      </c>
      <c r="G1510" s="1">
        <v>1589937</v>
      </c>
      <c r="H1510" s="1">
        <v>114</v>
      </c>
    </row>
    <row r="1511" spans="1:8" x14ac:dyDescent="0.3">
      <c r="A1511" s="1" t="s">
        <v>739</v>
      </c>
      <c r="B1511" s="1" t="s">
        <v>740</v>
      </c>
      <c r="C1511" s="1">
        <v>2016</v>
      </c>
      <c r="D1511" s="1">
        <v>27716</v>
      </c>
      <c r="E1511" s="1">
        <v>476</v>
      </c>
      <c r="F1511" s="1">
        <v>428</v>
      </c>
      <c r="G1511" s="1">
        <v>1004170</v>
      </c>
      <c r="H1511" s="1">
        <v>29</v>
      </c>
    </row>
    <row r="1512" spans="1:8" x14ac:dyDescent="0.3">
      <c r="A1512" s="1" t="s">
        <v>741</v>
      </c>
      <c r="B1512" s="1" t="s">
        <v>742</v>
      </c>
      <c r="C1512" s="1">
        <v>2016</v>
      </c>
      <c r="D1512" s="1">
        <v>12679</v>
      </c>
      <c r="E1512" s="1">
        <v>62</v>
      </c>
      <c r="F1512" s="1">
        <v>99</v>
      </c>
      <c r="G1512" s="1">
        <v>827650</v>
      </c>
      <c r="H1512" s="1">
        <v>0</v>
      </c>
    </row>
    <row r="1513" spans="1:8" x14ac:dyDescent="0.3">
      <c r="A1513" s="1" t="s">
        <v>743</v>
      </c>
      <c r="B1513" s="1" t="s">
        <v>744</v>
      </c>
      <c r="C1513" s="1">
        <v>2016</v>
      </c>
      <c r="D1513" s="1">
        <v>18776</v>
      </c>
      <c r="E1513" s="1">
        <v>203</v>
      </c>
      <c r="F1513" s="1">
        <v>197</v>
      </c>
      <c r="G1513" s="1">
        <v>944248</v>
      </c>
      <c r="H1513" s="1">
        <v>1</v>
      </c>
    </row>
    <row r="1514" spans="1:8" x14ac:dyDescent="0.3">
      <c r="A1514" s="1" t="s">
        <v>745</v>
      </c>
      <c r="B1514" s="1" t="s">
        <v>746</v>
      </c>
      <c r="C1514" s="1">
        <v>2016</v>
      </c>
      <c r="D1514" s="1">
        <v>41204</v>
      </c>
      <c r="E1514" s="1">
        <v>204</v>
      </c>
      <c r="F1514" s="1">
        <v>543</v>
      </c>
      <c r="G1514" s="1">
        <v>3712080</v>
      </c>
      <c r="H1514" s="1">
        <v>0</v>
      </c>
    </row>
    <row r="1515" spans="1:8" x14ac:dyDescent="0.3">
      <c r="A1515" s="1" t="s">
        <v>747</v>
      </c>
      <c r="B1515" s="1" t="s">
        <v>748</v>
      </c>
      <c r="C1515" s="1">
        <v>2016</v>
      </c>
      <c r="D1515" s="1">
        <v>28095</v>
      </c>
      <c r="E1515" s="1">
        <v>109</v>
      </c>
      <c r="F1515" s="1">
        <v>292</v>
      </c>
      <c r="G1515" s="1">
        <v>3241376</v>
      </c>
      <c r="H1515" s="1">
        <v>112</v>
      </c>
    </row>
    <row r="1516" spans="1:8" x14ac:dyDescent="0.3">
      <c r="A1516" s="1" t="s">
        <v>749</v>
      </c>
      <c r="B1516" s="1" t="s">
        <v>750</v>
      </c>
      <c r="C1516" s="1">
        <v>2016</v>
      </c>
      <c r="D1516" s="1">
        <v>16598</v>
      </c>
      <c r="E1516" s="1">
        <v>120</v>
      </c>
      <c r="F1516" s="1">
        <v>155</v>
      </c>
      <c r="G1516" s="1">
        <v>1649716</v>
      </c>
      <c r="H1516" s="1">
        <v>5</v>
      </c>
    </row>
    <row r="1517" spans="1:8" x14ac:dyDescent="0.3">
      <c r="A1517" s="1" t="s">
        <v>751</v>
      </c>
      <c r="B1517" s="1" t="s">
        <v>752</v>
      </c>
      <c r="C1517" s="1">
        <v>2016</v>
      </c>
      <c r="D1517" s="1">
        <v>18825</v>
      </c>
      <c r="E1517" s="1">
        <v>92</v>
      </c>
      <c r="F1517" s="1">
        <v>149</v>
      </c>
      <c r="G1517" s="1">
        <v>1457359</v>
      </c>
      <c r="H1517" s="1">
        <v>0</v>
      </c>
    </row>
    <row r="1518" spans="1:8" x14ac:dyDescent="0.3">
      <c r="A1518" s="1" t="s">
        <v>753</v>
      </c>
      <c r="B1518" s="1" t="s">
        <v>754</v>
      </c>
      <c r="C1518" s="1">
        <v>2016</v>
      </c>
      <c r="D1518" s="1">
        <v>12814</v>
      </c>
      <c r="E1518" s="1">
        <v>39</v>
      </c>
      <c r="F1518" s="1">
        <v>118</v>
      </c>
      <c r="G1518" s="1">
        <v>772635</v>
      </c>
      <c r="H1518" s="1">
        <v>15</v>
      </c>
    </row>
    <row r="1519" spans="1:8" x14ac:dyDescent="0.3">
      <c r="A1519" s="1" t="s">
        <v>755</v>
      </c>
      <c r="B1519" s="1" t="s">
        <v>756</v>
      </c>
      <c r="C1519" s="1">
        <v>2016</v>
      </c>
      <c r="D1519" s="1">
        <v>45809</v>
      </c>
      <c r="E1519" s="1">
        <v>430</v>
      </c>
      <c r="F1519" s="1">
        <v>593</v>
      </c>
      <c r="G1519" s="1">
        <v>4185495</v>
      </c>
      <c r="H1519" s="1">
        <v>167</v>
      </c>
    </row>
    <row r="1520" spans="1:8" x14ac:dyDescent="0.3">
      <c r="A1520" s="1" t="s">
        <v>757</v>
      </c>
      <c r="B1520" s="1" t="s">
        <v>758</v>
      </c>
      <c r="C1520" s="1">
        <v>2016</v>
      </c>
      <c r="D1520" s="1">
        <v>175163</v>
      </c>
      <c r="E1520" s="1">
        <v>2955</v>
      </c>
      <c r="F1520" s="1">
        <v>3758</v>
      </c>
      <c r="G1520" s="1">
        <v>11441782</v>
      </c>
      <c r="H1520" s="1">
        <v>329</v>
      </c>
    </row>
    <row r="1521" spans="1:8" x14ac:dyDescent="0.3">
      <c r="A1521" s="1" t="s">
        <v>759</v>
      </c>
      <c r="B1521" s="1" t="s">
        <v>760</v>
      </c>
      <c r="C1521" s="1">
        <v>2016</v>
      </c>
      <c r="D1521" s="1">
        <v>20393</v>
      </c>
      <c r="E1521" s="1">
        <v>112</v>
      </c>
      <c r="F1521" s="1">
        <v>253</v>
      </c>
      <c r="G1521" s="1">
        <v>1033020</v>
      </c>
      <c r="H1521" s="1">
        <v>0</v>
      </c>
    </row>
    <row r="1522" spans="1:8" x14ac:dyDescent="0.3">
      <c r="A1522" s="2" t="s">
        <v>10</v>
      </c>
      <c r="B1522" s="2" t="s">
        <v>11</v>
      </c>
      <c r="C1522" s="1">
        <v>2017</v>
      </c>
      <c r="D1522" s="2">
        <v>31816</v>
      </c>
      <c r="E1522" s="2">
        <v>391</v>
      </c>
      <c r="F1522" s="2">
        <v>581</v>
      </c>
      <c r="G1522" s="2">
        <v>1286418</v>
      </c>
      <c r="H1522" s="1" t="s">
        <v>70</v>
      </c>
    </row>
    <row r="1523" spans="1:8" x14ac:dyDescent="0.3">
      <c r="A1523" s="1" t="s">
        <v>12</v>
      </c>
      <c r="B1523" s="1" t="s">
        <v>13</v>
      </c>
      <c r="C1523" s="1">
        <v>2017</v>
      </c>
      <c r="D1523" s="1">
        <v>39712</v>
      </c>
      <c r="E1523" s="1">
        <v>126</v>
      </c>
      <c r="F1523" s="1">
        <v>325</v>
      </c>
      <c r="G1523" s="1">
        <v>2553403</v>
      </c>
      <c r="H1523" s="1" t="s">
        <v>70</v>
      </c>
    </row>
    <row r="1524" spans="1:8" x14ac:dyDescent="0.3">
      <c r="A1524" s="1" t="s">
        <v>14</v>
      </c>
      <c r="B1524" s="1" t="s">
        <v>15</v>
      </c>
      <c r="C1524" s="1">
        <v>2017</v>
      </c>
      <c r="D1524" s="1">
        <v>32689</v>
      </c>
      <c r="E1524" s="1">
        <v>283</v>
      </c>
      <c r="F1524" s="1">
        <v>498</v>
      </c>
      <c r="G1524" s="1">
        <v>1895543</v>
      </c>
      <c r="H1524" s="1" t="s">
        <v>70</v>
      </c>
    </row>
    <row r="1525" spans="1:8" x14ac:dyDescent="0.3">
      <c r="A1525" s="1" t="s">
        <v>16</v>
      </c>
      <c r="B1525" s="1" t="s">
        <v>17</v>
      </c>
      <c r="C1525" s="1">
        <v>2017</v>
      </c>
      <c r="D1525" s="1">
        <v>11914</v>
      </c>
      <c r="E1525" s="1">
        <v>73</v>
      </c>
      <c r="F1525" s="1">
        <v>7</v>
      </c>
      <c r="G1525" s="1">
        <v>820635</v>
      </c>
      <c r="H1525" s="1" t="s">
        <v>70</v>
      </c>
    </row>
    <row r="1526" spans="1:8" x14ac:dyDescent="0.3">
      <c r="A1526" s="1" t="s">
        <v>18</v>
      </c>
      <c r="B1526" s="1" t="s">
        <v>19</v>
      </c>
      <c r="C1526" s="1">
        <v>2017</v>
      </c>
      <c r="D1526" s="1">
        <v>17965</v>
      </c>
      <c r="E1526" s="1">
        <v>87</v>
      </c>
      <c r="F1526" s="1">
        <v>138</v>
      </c>
      <c r="G1526" s="1">
        <v>701826</v>
      </c>
      <c r="H1526" s="1" t="s">
        <v>70</v>
      </c>
    </row>
    <row r="1527" spans="1:8" x14ac:dyDescent="0.3">
      <c r="A1527" s="1" t="s">
        <v>20</v>
      </c>
      <c r="B1527" s="1" t="s">
        <v>21</v>
      </c>
      <c r="C1527" s="1">
        <v>2017</v>
      </c>
      <c r="D1527" s="1">
        <v>25543</v>
      </c>
      <c r="E1527" s="1">
        <v>590</v>
      </c>
      <c r="F1527" s="1">
        <v>209</v>
      </c>
      <c r="G1527" s="1">
        <v>980700</v>
      </c>
      <c r="H1527" s="1" t="s">
        <v>70</v>
      </c>
    </row>
    <row r="1528" spans="1:8" x14ac:dyDescent="0.3">
      <c r="A1528" s="1" t="s">
        <v>22</v>
      </c>
      <c r="B1528" s="1" t="s">
        <v>23</v>
      </c>
      <c r="C1528" s="1">
        <v>2017</v>
      </c>
      <c r="D1528" s="1">
        <v>16769</v>
      </c>
      <c r="E1528" s="1">
        <v>40</v>
      </c>
      <c r="F1528" s="1">
        <v>128</v>
      </c>
      <c r="G1528" s="1">
        <v>960176</v>
      </c>
      <c r="H1528" s="1" t="s">
        <v>70</v>
      </c>
    </row>
    <row r="1529" spans="1:8" x14ac:dyDescent="0.3">
      <c r="A1529" s="1" t="s">
        <v>24</v>
      </c>
      <c r="B1529" s="1" t="s">
        <v>25</v>
      </c>
      <c r="C1529" s="1">
        <v>2017</v>
      </c>
      <c r="D1529" s="1">
        <v>64313</v>
      </c>
      <c r="E1529" s="1">
        <v>201</v>
      </c>
      <c r="F1529" s="1">
        <v>600</v>
      </c>
      <c r="G1529" s="1">
        <v>3927879</v>
      </c>
      <c r="H1529" s="1" t="s">
        <v>70</v>
      </c>
    </row>
    <row r="1530" spans="1:8" x14ac:dyDescent="0.3">
      <c r="A1530" s="1" t="s">
        <v>26</v>
      </c>
      <c r="B1530" s="1" t="s">
        <v>27</v>
      </c>
      <c r="C1530" s="1">
        <v>2017</v>
      </c>
      <c r="D1530" s="1">
        <v>18336</v>
      </c>
      <c r="E1530" s="1">
        <v>179</v>
      </c>
      <c r="F1530" s="1">
        <v>98</v>
      </c>
      <c r="G1530" s="1">
        <v>583158</v>
      </c>
      <c r="H1530" s="1" t="s">
        <v>70</v>
      </c>
    </row>
    <row r="1531" spans="1:8" x14ac:dyDescent="0.3">
      <c r="A1531" s="1" t="s">
        <v>28</v>
      </c>
      <c r="B1531" s="1" t="s">
        <v>29</v>
      </c>
      <c r="C1531" s="1">
        <v>2017</v>
      </c>
      <c r="D1531" s="1">
        <v>20347</v>
      </c>
      <c r="E1531" s="1">
        <v>128</v>
      </c>
      <c r="F1531" s="1">
        <v>281</v>
      </c>
      <c r="G1531" s="1">
        <v>924767</v>
      </c>
      <c r="H1531" s="1" t="s">
        <v>70</v>
      </c>
    </row>
    <row r="1532" spans="1:8" x14ac:dyDescent="0.3">
      <c r="A1532" s="1" t="s">
        <v>30</v>
      </c>
      <c r="B1532" s="1" t="s">
        <v>31</v>
      </c>
      <c r="C1532" s="1">
        <v>2017</v>
      </c>
      <c r="D1532" s="1">
        <v>40419</v>
      </c>
      <c r="E1532" s="1">
        <v>244</v>
      </c>
      <c r="F1532" s="1">
        <v>645</v>
      </c>
      <c r="G1532" s="1">
        <v>1497487</v>
      </c>
      <c r="H1532" s="1" t="s">
        <v>70</v>
      </c>
    </row>
    <row r="1533" spans="1:8" x14ac:dyDescent="0.3">
      <c r="A1533" s="1" t="s">
        <v>32</v>
      </c>
      <c r="B1533" s="1" t="s">
        <v>33</v>
      </c>
      <c r="C1533" s="1">
        <v>2017</v>
      </c>
      <c r="D1533" s="1">
        <v>16804</v>
      </c>
      <c r="E1533" s="1">
        <v>66</v>
      </c>
      <c r="F1533" s="1">
        <v>112</v>
      </c>
      <c r="G1533" s="1">
        <v>637472</v>
      </c>
      <c r="H1533" s="1" t="s">
        <v>70</v>
      </c>
    </row>
    <row r="1534" spans="1:8" x14ac:dyDescent="0.3">
      <c r="A1534" s="1" t="s">
        <v>34</v>
      </c>
      <c r="B1534" s="1" t="s">
        <v>35</v>
      </c>
      <c r="C1534" s="1">
        <v>2017</v>
      </c>
      <c r="D1534" s="1">
        <v>11598</v>
      </c>
      <c r="E1534" s="1">
        <v>66</v>
      </c>
      <c r="F1534" s="1">
        <v>80</v>
      </c>
      <c r="G1534" s="1">
        <v>181534</v>
      </c>
      <c r="H1534" s="1" t="s">
        <v>70</v>
      </c>
    </row>
    <row r="1535" spans="1:8" x14ac:dyDescent="0.3">
      <c r="A1535" s="1" t="s">
        <v>36</v>
      </c>
      <c r="B1535" s="1" t="s">
        <v>37</v>
      </c>
      <c r="C1535" s="1">
        <v>2017</v>
      </c>
      <c r="D1535" s="1">
        <v>36111</v>
      </c>
      <c r="E1535" s="1">
        <v>496</v>
      </c>
      <c r="F1535" s="1">
        <v>445</v>
      </c>
      <c r="G1535" s="1">
        <v>1769161</v>
      </c>
      <c r="H1535" s="1" t="s">
        <v>70</v>
      </c>
    </row>
    <row r="1536" spans="1:8" x14ac:dyDescent="0.3">
      <c r="A1536" s="1" t="s">
        <v>38</v>
      </c>
      <c r="B1536" s="1" t="s">
        <v>39</v>
      </c>
      <c r="C1536" s="1">
        <v>2017</v>
      </c>
      <c r="D1536" s="1">
        <v>27748</v>
      </c>
      <c r="E1536" s="1">
        <v>521</v>
      </c>
      <c r="F1536" s="1">
        <v>374</v>
      </c>
      <c r="G1536" s="1">
        <v>1209851</v>
      </c>
      <c r="H1536" s="1" t="s">
        <v>70</v>
      </c>
    </row>
    <row r="1537" spans="1:8" x14ac:dyDescent="0.3">
      <c r="A1537" s="1" t="s">
        <v>40</v>
      </c>
      <c r="B1537" s="1" t="s">
        <v>41</v>
      </c>
      <c r="C1537" s="1">
        <v>2017</v>
      </c>
      <c r="D1537" s="1">
        <v>21623</v>
      </c>
      <c r="E1537" s="1">
        <v>286</v>
      </c>
      <c r="F1537" s="1">
        <v>216</v>
      </c>
      <c r="G1537" s="1">
        <v>1223324</v>
      </c>
      <c r="H1537" s="1" t="s">
        <v>70</v>
      </c>
    </row>
    <row r="1538" spans="1:8" x14ac:dyDescent="0.3">
      <c r="A1538" s="1" t="s">
        <v>42</v>
      </c>
      <c r="B1538" s="1" t="s">
        <v>43</v>
      </c>
      <c r="C1538" s="1">
        <v>2017</v>
      </c>
      <c r="D1538" s="1">
        <v>15296</v>
      </c>
      <c r="E1538" s="1">
        <v>167</v>
      </c>
      <c r="F1538" s="1">
        <v>124</v>
      </c>
      <c r="G1538" s="1">
        <v>742753</v>
      </c>
      <c r="H1538" s="1" t="s">
        <v>70</v>
      </c>
    </row>
    <row r="1539" spans="1:8" x14ac:dyDescent="0.3">
      <c r="A1539" s="1" t="s">
        <v>44</v>
      </c>
      <c r="B1539" s="1" t="s">
        <v>45</v>
      </c>
      <c r="C1539" s="1">
        <v>2017</v>
      </c>
      <c r="D1539" s="1">
        <v>18004</v>
      </c>
      <c r="E1539" s="1">
        <v>353</v>
      </c>
      <c r="F1539" s="1">
        <v>130</v>
      </c>
      <c r="G1539" s="1">
        <v>200311</v>
      </c>
      <c r="H1539" s="1" t="s">
        <v>70</v>
      </c>
    </row>
    <row r="1540" spans="1:8" x14ac:dyDescent="0.3">
      <c r="A1540" s="1" t="s">
        <v>46</v>
      </c>
      <c r="B1540" s="1" t="s">
        <v>47</v>
      </c>
      <c r="C1540" s="1">
        <v>2017</v>
      </c>
      <c r="D1540" s="1">
        <v>60314</v>
      </c>
      <c r="E1540" s="1">
        <v>463</v>
      </c>
      <c r="F1540" s="1">
        <v>861</v>
      </c>
      <c r="G1540" s="1">
        <v>1173033</v>
      </c>
      <c r="H1540" s="1" t="s">
        <v>70</v>
      </c>
    </row>
    <row r="1541" spans="1:8" x14ac:dyDescent="0.3">
      <c r="A1541" s="1" t="s">
        <v>48</v>
      </c>
      <c r="B1541" s="1" t="s">
        <v>49</v>
      </c>
      <c r="C1541" s="1">
        <v>2017</v>
      </c>
      <c r="D1541" s="1">
        <v>27321</v>
      </c>
      <c r="E1541" s="1">
        <v>397</v>
      </c>
      <c r="F1541" s="1">
        <v>321</v>
      </c>
      <c r="G1541" s="1">
        <v>848376</v>
      </c>
      <c r="H1541" s="1" t="s">
        <v>70</v>
      </c>
    </row>
    <row r="1542" spans="1:8" x14ac:dyDescent="0.3">
      <c r="A1542" s="1" t="s">
        <v>50</v>
      </c>
      <c r="B1542" s="1" t="s">
        <v>51</v>
      </c>
      <c r="C1542" s="1">
        <v>2017</v>
      </c>
      <c r="D1542" s="1">
        <v>22228</v>
      </c>
      <c r="E1542" s="1">
        <v>71</v>
      </c>
      <c r="F1542" s="1">
        <v>315</v>
      </c>
      <c r="G1542" s="1">
        <v>1380809</v>
      </c>
      <c r="H1542" s="1" t="s">
        <v>70</v>
      </c>
    </row>
    <row r="1543" spans="1:8" x14ac:dyDescent="0.3">
      <c r="A1543" s="1" t="s">
        <v>52</v>
      </c>
      <c r="B1543" s="1" t="s">
        <v>53</v>
      </c>
      <c r="C1543" s="1">
        <v>2017</v>
      </c>
      <c r="D1543" s="1">
        <v>17144</v>
      </c>
      <c r="E1543" s="1">
        <v>131</v>
      </c>
      <c r="F1543" s="1">
        <v>372</v>
      </c>
      <c r="G1543" s="1">
        <v>720214</v>
      </c>
      <c r="H1543" s="1" t="s">
        <v>70</v>
      </c>
    </row>
    <row r="1544" spans="1:8" x14ac:dyDescent="0.3">
      <c r="A1544" s="1" t="s">
        <v>54</v>
      </c>
      <c r="B1544" s="1" t="s">
        <v>55</v>
      </c>
      <c r="C1544" s="1">
        <v>2017</v>
      </c>
      <c r="D1544" s="1">
        <v>52892</v>
      </c>
      <c r="E1544" s="1">
        <v>2007</v>
      </c>
      <c r="F1544" s="1">
        <v>1142</v>
      </c>
      <c r="G1544" s="1">
        <v>465224</v>
      </c>
      <c r="H1544" s="1" t="s">
        <v>70</v>
      </c>
    </row>
    <row r="1545" spans="1:8" x14ac:dyDescent="0.3">
      <c r="A1545" s="1" t="s">
        <v>56</v>
      </c>
      <c r="B1545" s="1" t="s">
        <v>57</v>
      </c>
      <c r="C1545" s="1">
        <v>2017</v>
      </c>
      <c r="D1545" s="1">
        <v>24067</v>
      </c>
      <c r="E1545" s="1">
        <v>168</v>
      </c>
      <c r="F1545" s="1">
        <v>203</v>
      </c>
      <c r="G1545" s="1">
        <v>796559</v>
      </c>
      <c r="H1545" s="1" t="s">
        <v>70</v>
      </c>
    </row>
    <row r="1546" spans="1:8" x14ac:dyDescent="0.3">
      <c r="A1546" s="1" t="s">
        <v>58</v>
      </c>
      <c r="B1546" s="1" t="s">
        <v>59</v>
      </c>
      <c r="C1546" s="1">
        <v>2017</v>
      </c>
      <c r="D1546" s="1">
        <v>34213</v>
      </c>
      <c r="E1546" s="1">
        <v>126</v>
      </c>
      <c r="F1546" s="1">
        <v>387</v>
      </c>
      <c r="G1546" s="1">
        <v>1059417</v>
      </c>
      <c r="H1546" s="1" t="s">
        <v>70</v>
      </c>
    </row>
    <row r="1547" spans="1:8" x14ac:dyDescent="0.3">
      <c r="A1547" s="1" t="s">
        <v>60</v>
      </c>
      <c r="B1547" s="1" t="s">
        <v>61</v>
      </c>
      <c r="C1547" s="1">
        <v>2017</v>
      </c>
      <c r="D1547" s="1">
        <v>15686</v>
      </c>
      <c r="E1547" s="1">
        <v>72</v>
      </c>
      <c r="F1547" s="1">
        <v>141</v>
      </c>
      <c r="G1547" s="1">
        <v>944287</v>
      </c>
      <c r="H1547" s="1" t="s">
        <v>70</v>
      </c>
    </row>
    <row r="1548" spans="1:8" x14ac:dyDescent="0.3">
      <c r="A1548" s="1" t="s">
        <v>62</v>
      </c>
      <c r="B1548" s="1" t="s">
        <v>63</v>
      </c>
      <c r="C1548" s="1">
        <v>2017</v>
      </c>
      <c r="D1548" s="1">
        <v>35368</v>
      </c>
      <c r="E1548" s="1">
        <v>179</v>
      </c>
      <c r="F1548" s="1">
        <v>993</v>
      </c>
      <c r="G1548" s="1">
        <v>1810465</v>
      </c>
      <c r="H1548" s="1" t="s">
        <v>70</v>
      </c>
    </row>
    <row r="1549" spans="1:8" x14ac:dyDescent="0.3">
      <c r="A1549" s="1" t="s">
        <v>64</v>
      </c>
      <c r="B1549" s="1" t="s">
        <v>65</v>
      </c>
      <c r="C1549" s="1">
        <v>2017</v>
      </c>
      <c r="D1549" s="1">
        <v>42276</v>
      </c>
      <c r="E1549" s="1">
        <v>275</v>
      </c>
      <c r="F1549" s="1">
        <v>784</v>
      </c>
      <c r="G1549" s="1">
        <v>3159128</v>
      </c>
      <c r="H1549" s="1" t="s">
        <v>70</v>
      </c>
    </row>
    <row r="1550" spans="1:8" x14ac:dyDescent="0.3">
      <c r="A1550" s="1" t="s">
        <v>66</v>
      </c>
      <c r="B1550" s="1" t="s">
        <v>67</v>
      </c>
      <c r="C1550" s="1">
        <v>2017</v>
      </c>
      <c r="D1550" s="1">
        <v>319767</v>
      </c>
      <c r="E1550" s="1">
        <v>8844</v>
      </c>
      <c r="F1550" s="1">
        <v>12045</v>
      </c>
      <c r="G1550" s="1">
        <v>9175155</v>
      </c>
      <c r="H1550" s="1" t="s">
        <v>70</v>
      </c>
    </row>
    <row r="1551" spans="1:8" x14ac:dyDescent="0.3">
      <c r="A1551" s="1" t="s">
        <v>68</v>
      </c>
      <c r="B1551" s="1" t="s">
        <v>69</v>
      </c>
      <c r="C1551" s="1">
        <v>2017</v>
      </c>
      <c r="D1551" s="1">
        <v>50575</v>
      </c>
      <c r="E1551" s="1">
        <v>35</v>
      </c>
      <c r="F1551" s="1">
        <v>685</v>
      </c>
      <c r="G1551" s="1">
        <v>4412240</v>
      </c>
      <c r="H1551" s="1" t="s">
        <v>70</v>
      </c>
    </row>
    <row r="1552" spans="1:8" x14ac:dyDescent="0.3">
      <c r="A1552" s="1" t="s">
        <v>71</v>
      </c>
      <c r="B1552" s="1" t="s">
        <v>72</v>
      </c>
      <c r="C1552" s="1">
        <v>2017</v>
      </c>
      <c r="D1552" s="1">
        <v>19840</v>
      </c>
      <c r="E1552" s="1">
        <v>230</v>
      </c>
      <c r="F1552" s="1">
        <v>192</v>
      </c>
      <c r="G1552" s="1">
        <v>878223</v>
      </c>
      <c r="H1552" s="1" t="s">
        <v>70</v>
      </c>
    </row>
    <row r="1553" spans="1:8" x14ac:dyDescent="0.3">
      <c r="A1553" s="1" t="s">
        <v>73</v>
      </c>
      <c r="B1553" s="1" t="s">
        <v>74</v>
      </c>
      <c r="C1553" s="1">
        <v>2017</v>
      </c>
      <c r="D1553" s="1">
        <v>26022</v>
      </c>
      <c r="E1553" s="1">
        <v>377</v>
      </c>
      <c r="F1553" s="1">
        <v>333</v>
      </c>
      <c r="G1553" s="1">
        <v>1502030</v>
      </c>
      <c r="H1553" s="1" t="s">
        <v>70</v>
      </c>
    </row>
    <row r="1554" spans="1:8" x14ac:dyDescent="0.3">
      <c r="A1554" s="1" t="s">
        <v>75</v>
      </c>
      <c r="B1554" s="1" t="s">
        <v>76</v>
      </c>
      <c r="C1554" s="1">
        <v>2017</v>
      </c>
      <c r="D1554" s="1">
        <v>36825</v>
      </c>
      <c r="E1554" s="1">
        <v>806</v>
      </c>
      <c r="F1554" s="1">
        <v>204</v>
      </c>
      <c r="G1554" s="1">
        <v>2067324</v>
      </c>
      <c r="H1554" s="1" t="s">
        <v>70</v>
      </c>
    </row>
    <row r="1555" spans="1:8" x14ac:dyDescent="0.3">
      <c r="A1555" s="1" t="s">
        <v>77</v>
      </c>
      <c r="B1555" s="1" t="s">
        <v>78</v>
      </c>
      <c r="C1555" s="1">
        <v>2017</v>
      </c>
      <c r="D1555" s="1">
        <v>16564</v>
      </c>
      <c r="E1555" s="1">
        <v>119</v>
      </c>
      <c r="F1555" s="1">
        <v>132</v>
      </c>
      <c r="G1555" s="1">
        <v>1202568</v>
      </c>
      <c r="H1555" s="1" t="s">
        <v>70</v>
      </c>
    </row>
    <row r="1556" spans="1:8" x14ac:dyDescent="0.3">
      <c r="A1556" s="1" t="s">
        <v>79</v>
      </c>
      <c r="B1556" s="1" t="s">
        <v>80</v>
      </c>
      <c r="C1556" s="1">
        <v>2017</v>
      </c>
      <c r="D1556" s="1">
        <v>14404</v>
      </c>
      <c r="E1556" s="1">
        <v>185</v>
      </c>
      <c r="F1556" s="1">
        <v>132</v>
      </c>
      <c r="G1556" s="1">
        <v>1413689</v>
      </c>
      <c r="H1556" s="1" t="s">
        <v>70</v>
      </c>
    </row>
    <row r="1557" spans="1:8" x14ac:dyDescent="0.3">
      <c r="A1557" s="1" t="s">
        <v>81</v>
      </c>
      <c r="B1557" s="1" t="s">
        <v>82</v>
      </c>
      <c r="C1557" s="1">
        <v>2017</v>
      </c>
      <c r="D1557" s="1">
        <v>12137</v>
      </c>
      <c r="E1557" s="1">
        <v>122</v>
      </c>
      <c r="F1557" s="1">
        <v>55</v>
      </c>
      <c r="G1557" s="1">
        <v>753824</v>
      </c>
      <c r="H1557" s="1" t="s">
        <v>70</v>
      </c>
    </row>
    <row r="1558" spans="1:8" x14ac:dyDescent="0.3">
      <c r="A1558" s="1" t="s">
        <v>83</v>
      </c>
      <c r="B1558" s="1" t="s">
        <v>84</v>
      </c>
      <c r="C1558" s="1">
        <v>2017</v>
      </c>
      <c r="D1558" s="1">
        <v>57961</v>
      </c>
      <c r="E1558" s="1">
        <v>494</v>
      </c>
      <c r="F1558" s="1">
        <v>710</v>
      </c>
      <c r="G1558" s="1">
        <v>6201209</v>
      </c>
      <c r="H1558" s="1" t="s">
        <v>70</v>
      </c>
    </row>
    <row r="1559" spans="1:8" x14ac:dyDescent="0.3">
      <c r="A1559" s="1" t="s">
        <v>85</v>
      </c>
      <c r="B1559" s="1" t="s">
        <v>86</v>
      </c>
      <c r="C1559" s="1">
        <v>2017</v>
      </c>
      <c r="D1559" s="1">
        <v>19959</v>
      </c>
      <c r="E1559" s="1">
        <v>149</v>
      </c>
      <c r="F1559" s="1">
        <v>49</v>
      </c>
      <c r="G1559" s="1">
        <v>959729</v>
      </c>
      <c r="H1559" s="1" t="s">
        <v>70</v>
      </c>
    </row>
    <row r="1560" spans="1:8" x14ac:dyDescent="0.3">
      <c r="A1560" s="1" t="s">
        <v>87</v>
      </c>
      <c r="B1560" s="1" t="s">
        <v>88</v>
      </c>
      <c r="C1560" s="1">
        <v>2017</v>
      </c>
      <c r="D1560" s="1">
        <v>14421</v>
      </c>
      <c r="E1560" s="1">
        <v>115</v>
      </c>
      <c r="F1560" s="1">
        <v>57</v>
      </c>
      <c r="G1560" s="1">
        <v>982769</v>
      </c>
      <c r="H1560" s="1" t="s">
        <v>70</v>
      </c>
    </row>
    <row r="1561" spans="1:8" x14ac:dyDescent="0.3">
      <c r="A1561" s="1" t="s">
        <v>89</v>
      </c>
      <c r="B1561" s="1" t="s">
        <v>90</v>
      </c>
      <c r="C1561" s="1">
        <v>2017</v>
      </c>
      <c r="D1561" s="1">
        <v>26202</v>
      </c>
      <c r="E1561" s="1">
        <v>288</v>
      </c>
      <c r="F1561" s="1">
        <v>207</v>
      </c>
      <c r="G1561" s="1">
        <v>3047467</v>
      </c>
      <c r="H1561" s="1" t="s">
        <v>70</v>
      </c>
    </row>
    <row r="1562" spans="1:8" x14ac:dyDescent="0.3">
      <c r="A1562" s="1" t="s">
        <v>91</v>
      </c>
      <c r="B1562" s="1" t="s">
        <v>92</v>
      </c>
      <c r="C1562" s="1">
        <v>2017</v>
      </c>
      <c r="D1562" s="1">
        <v>12351</v>
      </c>
      <c r="E1562" s="1">
        <v>53</v>
      </c>
      <c r="F1562" s="1">
        <v>54</v>
      </c>
      <c r="G1562" s="1">
        <v>458356</v>
      </c>
      <c r="H1562" s="1" t="s">
        <v>70</v>
      </c>
    </row>
    <row r="1563" spans="1:8" x14ac:dyDescent="0.3">
      <c r="A1563" s="1" t="s">
        <v>93</v>
      </c>
      <c r="B1563" s="1" t="s">
        <v>94</v>
      </c>
      <c r="C1563" s="1">
        <v>2017</v>
      </c>
      <c r="D1563" s="1">
        <v>13958</v>
      </c>
      <c r="E1563" s="1">
        <v>101</v>
      </c>
      <c r="F1563" s="1">
        <v>34</v>
      </c>
      <c r="G1563" s="1">
        <v>1103127</v>
      </c>
      <c r="H1563" s="1" t="s">
        <v>70</v>
      </c>
    </row>
    <row r="1564" spans="1:8" x14ac:dyDescent="0.3">
      <c r="A1564" s="1" t="s">
        <v>95</v>
      </c>
      <c r="B1564" s="1" t="s">
        <v>96</v>
      </c>
      <c r="C1564" s="1">
        <v>2017</v>
      </c>
      <c r="D1564" s="1">
        <v>12245</v>
      </c>
      <c r="E1564" s="1">
        <v>91</v>
      </c>
      <c r="F1564" s="1">
        <v>60</v>
      </c>
      <c r="G1564" s="1">
        <v>1058851</v>
      </c>
      <c r="H1564" s="1" t="s">
        <v>70</v>
      </c>
    </row>
    <row r="1565" spans="1:8" x14ac:dyDescent="0.3">
      <c r="A1565" s="1" t="s">
        <v>97</v>
      </c>
      <c r="B1565" s="1" t="s">
        <v>98</v>
      </c>
      <c r="C1565" s="1">
        <v>2017</v>
      </c>
      <c r="D1565" s="1">
        <v>31431</v>
      </c>
      <c r="E1565" s="1">
        <v>260</v>
      </c>
      <c r="F1565" s="1">
        <v>183</v>
      </c>
      <c r="G1565" s="1">
        <v>1803815</v>
      </c>
      <c r="H1565" s="1" t="s">
        <v>70</v>
      </c>
    </row>
    <row r="1566" spans="1:8" x14ac:dyDescent="0.3">
      <c r="A1566" s="1" t="s">
        <v>99</v>
      </c>
      <c r="B1566" s="1" t="s">
        <v>100</v>
      </c>
      <c r="C1566" s="1">
        <v>2017</v>
      </c>
      <c r="D1566" s="1">
        <v>31602</v>
      </c>
      <c r="E1566" s="1">
        <v>656</v>
      </c>
      <c r="F1566" s="1">
        <v>190</v>
      </c>
      <c r="G1566" s="1">
        <v>1755949</v>
      </c>
      <c r="H1566" s="1" t="s">
        <v>70</v>
      </c>
    </row>
    <row r="1567" spans="1:8" x14ac:dyDescent="0.3">
      <c r="A1567" s="1" t="s">
        <v>101</v>
      </c>
      <c r="B1567" s="1" t="s">
        <v>102</v>
      </c>
      <c r="C1567" s="1">
        <v>2017</v>
      </c>
      <c r="D1567" s="1">
        <v>14585</v>
      </c>
      <c r="E1567" s="1">
        <v>113</v>
      </c>
      <c r="F1567" s="1">
        <v>38</v>
      </c>
      <c r="G1567" s="1">
        <v>924233</v>
      </c>
      <c r="H1567" s="1" t="s">
        <v>70</v>
      </c>
    </row>
    <row r="1568" spans="1:8" x14ac:dyDescent="0.3">
      <c r="A1568" s="1" t="s">
        <v>103</v>
      </c>
      <c r="B1568" s="1" t="s">
        <v>104</v>
      </c>
      <c r="C1568" s="1">
        <v>2017</v>
      </c>
      <c r="D1568" s="1">
        <v>11379</v>
      </c>
      <c r="E1568" s="1">
        <v>47</v>
      </c>
      <c r="F1568" s="1">
        <v>70</v>
      </c>
      <c r="G1568" s="1">
        <v>1248219</v>
      </c>
      <c r="H1568" s="1" t="s">
        <v>70</v>
      </c>
    </row>
    <row r="1569" spans="1:8" x14ac:dyDescent="0.3">
      <c r="A1569" s="1" t="s">
        <v>105</v>
      </c>
      <c r="B1569" s="1" t="s">
        <v>106</v>
      </c>
      <c r="C1569" s="1">
        <v>2017</v>
      </c>
      <c r="D1569" s="1">
        <v>26977</v>
      </c>
      <c r="E1569" s="1">
        <v>185</v>
      </c>
      <c r="F1569" s="1">
        <v>45</v>
      </c>
      <c r="G1569" s="1">
        <v>657206</v>
      </c>
      <c r="H1569" s="1" t="s">
        <v>70</v>
      </c>
    </row>
    <row r="1570" spans="1:8" x14ac:dyDescent="0.3">
      <c r="A1570" s="1" t="s">
        <v>107</v>
      </c>
      <c r="B1570" s="1" t="s">
        <v>108</v>
      </c>
      <c r="C1570" s="1">
        <v>2017</v>
      </c>
      <c r="D1570" s="1">
        <v>21676</v>
      </c>
      <c r="E1570" s="1">
        <v>208</v>
      </c>
      <c r="F1570" s="1">
        <v>123</v>
      </c>
      <c r="G1570" s="1">
        <v>1953211</v>
      </c>
      <c r="H1570" s="1" t="s">
        <v>70</v>
      </c>
    </row>
    <row r="1571" spans="1:8" x14ac:dyDescent="0.3">
      <c r="A1571" s="1" t="s">
        <v>109</v>
      </c>
      <c r="B1571" s="1" t="s">
        <v>110</v>
      </c>
      <c r="C1571" s="1">
        <v>2017</v>
      </c>
      <c r="D1571" s="1">
        <v>150309</v>
      </c>
      <c r="E1571" s="1">
        <v>1432</v>
      </c>
      <c r="F1571" s="1">
        <v>3075</v>
      </c>
      <c r="G1571" s="1">
        <v>19108808</v>
      </c>
      <c r="H1571" s="1" t="s">
        <v>70</v>
      </c>
    </row>
    <row r="1572" spans="1:8" x14ac:dyDescent="0.3">
      <c r="A1572" s="1" t="s">
        <v>111</v>
      </c>
      <c r="B1572" s="1" t="s">
        <v>112</v>
      </c>
      <c r="C1572" s="1">
        <v>2017</v>
      </c>
      <c r="D1572" s="1">
        <v>38910</v>
      </c>
      <c r="E1572" s="1">
        <v>301</v>
      </c>
      <c r="F1572" s="1">
        <v>447</v>
      </c>
      <c r="G1572" s="1">
        <v>7196833</v>
      </c>
      <c r="H1572" s="1" t="s">
        <v>70</v>
      </c>
    </row>
    <row r="1573" spans="1:8" x14ac:dyDescent="0.3">
      <c r="A1573" s="1" t="s">
        <v>113</v>
      </c>
      <c r="B1573" s="1" t="s">
        <v>114</v>
      </c>
      <c r="C1573" s="1">
        <v>2017</v>
      </c>
      <c r="D1573" s="1">
        <v>89785</v>
      </c>
      <c r="E1573" s="1">
        <v>1214</v>
      </c>
      <c r="F1573" s="1">
        <v>1430</v>
      </c>
      <c r="G1573" s="1">
        <v>5696902</v>
      </c>
      <c r="H1573" s="1" t="s">
        <v>70</v>
      </c>
    </row>
    <row r="1574" spans="1:8" x14ac:dyDescent="0.3">
      <c r="A1574" s="1" t="s">
        <v>115</v>
      </c>
      <c r="B1574" s="1" t="s">
        <v>116</v>
      </c>
      <c r="C1574" s="1">
        <v>2017</v>
      </c>
      <c r="D1574" s="1">
        <v>46267</v>
      </c>
      <c r="E1574" s="1">
        <v>197</v>
      </c>
      <c r="F1574" s="1">
        <v>659</v>
      </c>
      <c r="G1574" s="1">
        <v>2855923</v>
      </c>
      <c r="H1574" s="1" t="s">
        <v>70</v>
      </c>
    </row>
    <row r="1575" spans="1:8" x14ac:dyDescent="0.3">
      <c r="A1575" s="1" t="s">
        <v>117</v>
      </c>
      <c r="B1575" s="1" t="s">
        <v>118</v>
      </c>
      <c r="C1575" s="1">
        <v>2017</v>
      </c>
      <c r="D1575" s="1">
        <v>39488</v>
      </c>
      <c r="E1575" s="1">
        <v>294</v>
      </c>
      <c r="F1575" s="1">
        <v>16</v>
      </c>
      <c r="G1575" s="1">
        <v>942955</v>
      </c>
      <c r="H1575" s="1" t="s">
        <v>70</v>
      </c>
    </row>
    <row r="1576" spans="1:8" x14ac:dyDescent="0.3">
      <c r="A1576" s="1" t="s">
        <v>119</v>
      </c>
      <c r="B1576" s="1" t="s">
        <v>120</v>
      </c>
      <c r="C1576" s="1">
        <v>2017</v>
      </c>
      <c r="D1576" s="1">
        <v>31700</v>
      </c>
      <c r="E1576" s="1">
        <v>316</v>
      </c>
      <c r="F1576" s="1">
        <v>81</v>
      </c>
      <c r="G1576" s="1">
        <v>738824</v>
      </c>
      <c r="H1576" s="1" t="s">
        <v>70</v>
      </c>
    </row>
    <row r="1577" spans="1:8" x14ac:dyDescent="0.3">
      <c r="A1577" s="1" t="s">
        <v>121</v>
      </c>
      <c r="B1577" s="1" t="s">
        <v>122</v>
      </c>
      <c r="C1577" s="1">
        <v>2017</v>
      </c>
      <c r="D1577" s="1">
        <v>28625</v>
      </c>
      <c r="E1577" s="1">
        <v>164</v>
      </c>
      <c r="F1577" s="1">
        <v>27</v>
      </c>
      <c r="G1577" s="1">
        <v>325233</v>
      </c>
      <c r="H1577" s="1" t="s">
        <v>70</v>
      </c>
    </row>
    <row r="1578" spans="1:8" x14ac:dyDescent="0.3">
      <c r="A1578" s="1" t="s">
        <v>123</v>
      </c>
      <c r="B1578" s="1" t="s">
        <v>124</v>
      </c>
      <c r="C1578" s="1">
        <v>2017</v>
      </c>
      <c r="D1578" s="1">
        <v>22946</v>
      </c>
      <c r="E1578" s="1">
        <v>83</v>
      </c>
      <c r="F1578" s="1">
        <v>88</v>
      </c>
      <c r="G1578" s="1">
        <v>764898</v>
      </c>
      <c r="H1578" s="1" t="s">
        <v>70</v>
      </c>
    </row>
    <row r="1579" spans="1:8" x14ac:dyDescent="0.3">
      <c r="A1579" s="1" t="s">
        <v>125</v>
      </c>
      <c r="B1579" s="1" t="s">
        <v>126</v>
      </c>
      <c r="C1579" s="1">
        <v>2017</v>
      </c>
      <c r="D1579" s="1">
        <v>13569</v>
      </c>
      <c r="E1579" s="1">
        <v>108</v>
      </c>
      <c r="F1579" s="1">
        <v>17</v>
      </c>
      <c r="G1579" s="1">
        <v>119148</v>
      </c>
      <c r="H1579" s="1" t="s">
        <v>70</v>
      </c>
    </row>
    <row r="1580" spans="1:8" x14ac:dyDescent="0.3">
      <c r="A1580" s="1" t="s">
        <v>127</v>
      </c>
      <c r="B1580" s="1" t="s">
        <v>128</v>
      </c>
      <c r="C1580" s="1">
        <v>2017</v>
      </c>
      <c r="D1580" s="1">
        <v>24754</v>
      </c>
      <c r="E1580" s="1">
        <v>112</v>
      </c>
      <c r="F1580" s="1">
        <v>23</v>
      </c>
      <c r="G1580" s="1">
        <v>517184</v>
      </c>
      <c r="H1580" s="1" t="s">
        <v>70</v>
      </c>
    </row>
    <row r="1581" spans="1:8" x14ac:dyDescent="0.3">
      <c r="A1581" s="1" t="s">
        <v>129</v>
      </c>
      <c r="B1581" s="1" t="s">
        <v>130</v>
      </c>
      <c r="C1581" s="1">
        <v>2017</v>
      </c>
      <c r="D1581" s="1">
        <v>31968</v>
      </c>
      <c r="E1581" s="1">
        <v>112</v>
      </c>
      <c r="F1581" s="1">
        <v>116</v>
      </c>
      <c r="G1581" s="1">
        <v>887224</v>
      </c>
      <c r="H1581" s="1" t="s">
        <v>70</v>
      </c>
    </row>
    <row r="1582" spans="1:8" x14ac:dyDescent="0.3">
      <c r="A1582" s="1" t="s">
        <v>131</v>
      </c>
      <c r="B1582" s="1" t="s">
        <v>132</v>
      </c>
      <c r="C1582" s="1">
        <v>2017</v>
      </c>
      <c r="D1582" s="1">
        <v>30588</v>
      </c>
      <c r="E1582" s="1">
        <v>165</v>
      </c>
      <c r="F1582" s="1">
        <v>84</v>
      </c>
      <c r="G1582" s="1">
        <v>535156</v>
      </c>
      <c r="H1582" s="1" t="s">
        <v>70</v>
      </c>
    </row>
    <row r="1583" spans="1:8" x14ac:dyDescent="0.3">
      <c r="A1583" s="1" t="s">
        <v>133</v>
      </c>
      <c r="B1583" s="1" t="s">
        <v>134</v>
      </c>
      <c r="C1583" s="1">
        <v>2017</v>
      </c>
      <c r="D1583" s="1">
        <v>50542</v>
      </c>
      <c r="E1583" s="1">
        <v>882</v>
      </c>
      <c r="F1583" s="1">
        <v>136</v>
      </c>
      <c r="G1583" s="1">
        <v>520894</v>
      </c>
      <c r="H1583" s="1" t="s">
        <v>70</v>
      </c>
    </row>
    <row r="1584" spans="1:8" x14ac:dyDescent="0.3">
      <c r="A1584" s="1" t="s">
        <v>135</v>
      </c>
      <c r="B1584" s="1" t="s">
        <v>136</v>
      </c>
      <c r="C1584" s="1">
        <v>2017</v>
      </c>
      <c r="D1584" s="1">
        <v>18806</v>
      </c>
      <c r="E1584" s="1">
        <v>220</v>
      </c>
      <c r="F1584" s="1">
        <v>72</v>
      </c>
      <c r="G1584" s="1">
        <v>415295</v>
      </c>
      <c r="H1584" s="1" t="s">
        <v>70</v>
      </c>
    </row>
    <row r="1585" spans="1:8" x14ac:dyDescent="0.3">
      <c r="A1585" s="1" t="s">
        <v>137</v>
      </c>
      <c r="B1585" s="1" t="s">
        <v>138</v>
      </c>
      <c r="C1585" s="1">
        <v>2017</v>
      </c>
      <c r="D1585" s="1">
        <v>33588</v>
      </c>
      <c r="E1585" s="1">
        <v>248</v>
      </c>
      <c r="F1585" s="1">
        <v>72</v>
      </c>
      <c r="G1585" s="1">
        <v>732692</v>
      </c>
      <c r="H1585" s="1" t="s">
        <v>70</v>
      </c>
    </row>
    <row r="1586" spans="1:8" x14ac:dyDescent="0.3">
      <c r="A1586" s="1" t="s">
        <v>139</v>
      </c>
      <c r="B1586" s="1" t="s">
        <v>140</v>
      </c>
      <c r="C1586" s="1">
        <v>2017</v>
      </c>
      <c r="D1586" s="1">
        <v>20867</v>
      </c>
      <c r="E1586" s="1">
        <v>96</v>
      </c>
      <c r="F1586" s="1">
        <v>67</v>
      </c>
      <c r="G1586" s="1">
        <v>1130129</v>
      </c>
      <c r="H1586" s="1" t="s">
        <v>70</v>
      </c>
    </row>
    <row r="1587" spans="1:8" x14ac:dyDescent="0.3">
      <c r="A1587" s="1" t="s">
        <v>141</v>
      </c>
      <c r="B1587" s="1" t="s">
        <v>142</v>
      </c>
      <c r="C1587" s="1">
        <v>2017</v>
      </c>
      <c r="D1587" s="1">
        <v>13110</v>
      </c>
      <c r="E1587" s="1">
        <v>98</v>
      </c>
      <c r="F1587" s="1">
        <v>78</v>
      </c>
      <c r="G1587" s="1">
        <v>312970</v>
      </c>
      <c r="H1587" s="1" t="s">
        <v>70</v>
      </c>
    </row>
    <row r="1588" spans="1:8" x14ac:dyDescent="0.3">
      <c r="A1588" s="1" t="s">
        <v>143</v>
      </c>
      <c r="B1588" s="1" t="s">
        <v>144</v>
      </c>
      <c r="C1588" s="1">
        <v>2017</v>
      </c>
      <c r="D1588" s="1">
        <v>42920</v>
      </c>
      <c r="E1588" s="1">
        <v>274</v>
      </c>
      <c r="F1588" s="1">
        <v>339</v>
      </c>
      <c r="G1588" s="1">
        <v>1233911</v>
      </c>
      <c r="H1588" s="1" t="s">
        <v>70</v>
      </c>
    </row>
    <row r="1589" spans="1:8" x14ac:dyDescent="0.3">
      <c r="A1589" s="1" t="s">
        <v>145</v>
      </c>
      <c r="B1589" s="1" t="s">
        <v>146</v>
      </c>
      <c r="C1589" s="1">
        <v>2017</v>
      </c>
      <c r="D1589" s="1">
        <v>19888</v>
      </c>
      <c r="E1589" s="1">
        <v>192</v>
      </c>
      <c r="F1589" s="1">
        <v>81</v>
      </c>
      <c r="G1589" s="1">
        <v>587203</v>
      </c>
      <c r="H1589" s="1" t="s">
        <v>70</v>
      </c>
    </row>
    <row r="1590" spans="1:8" x14ac:dyDescent="0.3">
      <c r="A1590" s="1" t="s">
        <v>147</v>
      </c>
      <c r="B1590" s="1" t="s">
        <v>148</v>
      </c>
      <c r="C1590" s="1">
        <v>2017</v>
      </c>
      <c r="D1590" s="1">
        <v>20228</v>
      </c>
      <c r="E1590" s="1">
        <v>110</v>
      </c>
      <c r="F1590" s="1">
        <v>77</v>
      </c>
      <c r="G1590" s="1">
        <v>477088</v>
      </c>
      <c r="H1590" s="1" t="s">
        <v>70</v>
      </c>
    </row>
    <row r="1591" spans="1:8" x14ac:dyDescent="0.3">
      <c r="A1591" s="1" t="s">
        <v>149</v>
      </c>
      <c r="B1591" s="1" t="s">
        <v>47</v>
      </c>
      <c r="C1591" s="1">
        <v>2017</v>
      </c>
      <c r="D1591" s="1">
        <v>27002</v>
      </c>
      <c r="E1591" s="1">
        <v>184</v>
      </c>
      <c r="F1591" s="1">
        <v>142</v>
      </c>
      <c r="G1591" s="1">
        <v>913431</v>
      </c>
      <c r="H1591" s="1" t="s">
        <v>70</v>
      </c>
    </row>
    <row r="1592" spans="1:8" x14ac:dyDescent="0.3">
      <c r="A1592" s="1" t="s">
        <v>150</v>
      </c>
      <c r="B1592" s="1" t="s">
        <v>151</v>
      </c>
      <c r="C1592" s="1">
        <v>2017</v>
      </c>
      <c r="D1592" s="1">
        <v>28157</v>
      </c>
      <c r="E1592" s="1">
        <v>63</v>
      </c>
      <c r="F1592" s="1">
        <v>68</v>
      </c>
      <c r="G1592" s="1">
        <v>707993</v>
      </c>
      <c r="H1592" s="1" t="s">
        <v>70</v>
      </c>
    </row>
    <row r="1593" spans="1:8" x14ac:dyDescent="0.3">
      <c r="A1593" s="1" t="s">
        <v>152</v>
      </c>
      <c r="B1593" s="1" t="s">
        <v>153</v>
      </c>
      <c r="C1593" s="1">
        <v>2017</v>
      </c>
      <c r="D1593" s="1">
        <v>14355</v>
      </c>
      <c r="E1593" s="1">
        <v>81</v>
      </c>
      <c r="F1593" s="1">
        <v>65</v>
      </c>
      <c r="G1593" s="1">
        <v>823371</v>
      </c>
      <c r="H1593" s="1" t="s">
        <v>70</v>
      </c>
    </row>
    <row r="1594" spans="1:8" x14ac:dyDescent="0.3">
      <c r="A1594" s="1" t="s">
        <v>154</v>
      </c>
      <c r="B1594" s="1" t="s">
        <v>155</v>
      </c>
      <c r="C1594" s="1">
        <v>2017</v>
      </c>
      <c r="D1594" s="1">
        <v>36795</v>
      </c>
      <c r="E1594" s="1">
        <v>192</v>
      </c>
      <c r="F1594" s="1">
        <v>20</v>
      </c>
      <c r="G1594" s="1">
        <v>195586</v>
      </c>
      <c r="H1594" s="1" t="s">
        <v>70</v>
      </c>
    </row>
    <row r="1595" spans="1:8" x14ac:dyDescent="0.3">
      <c r="A1595" s="1" t="s">
        <v>156</v>
      </c>
      <c r="B1595" s="1" t="s">
        <v>157</v>
      </c>
      <c r="C1595" s="1">
        <v>2017</v>
      </c>
      <c r="D1595" s="1">
        <v>22444</v>
      </c>
      <c r="E1595" s="1">
        <v>446</v>
      </c>
      <c r="F1595" s="1">
        <v>178</v>
      </c>
      <c r="G1595" s="1">
        <v>1819429</v>
      </c>
      <c r="H1595" s="1" t="s">
        <v>70</v>
      </c>
    </row>
    <row r="1596" spans="1:8" x14ac:dyDescent="0.3">
      <c r="A1596" s="1" t="s">
        <v>158</v>
      </c>
      <c r="B1596" s="1" t="s">
        <v>159</v>
      </c>
      <c r="C1596" s="1">
        <v>2017</v>
      </c>
      <c r="D1596" s="1">
        <v>25722</v>
      </c>
      <c r="E1596" s="1">
        <v>75</v>
      </c>
      <c r="F1596" s="1">
        <v>276</v>
      </c>
      <c r="G1596" s="1">
        <v>1575748</v>
      </c>
      <c r="H1596" s="1" t="s">
        <v>70</v>
      </c>
    </row>
    <row r="1597" spans="1:8" x14ac:dyDescent="0.3">
      <c r="A1597" s="1" t="s">
        <v>160</v>
      </c>
      <c r="B1597" s="1" t="s">
        <v>161</v>
      </c>
      <c r="C1597" s="1">
        <v>2017</v>
      </c>
      <c r="D1597" s="1">
        <v>152118</v>
      </c>
      <c r="E1597" s="1">
        <v>2716</v>
      </c>
      <c r="F1597" s="1">
        <v>3487</v>
      </c>
      <c r="G1597" s="1">
        <v>9230979</v>
      </c>
      <c r="H1597" s="1" t="s">
        <v>70</v>
      </c>
    </row>
    <row r="1598" spans="1:8" x14ac:dyDescent="0.3">
      <c r="A1598" s="1" t="s">
        <v>162</v>
      </c>
      <c r="B1598" s="1" t="s">
        <v>163</v>
      </c>
      <c r="C1598" s="1">
        <v>2017</v>
      </c>
      <c r="D1598" s="1">
        <v>24226</v>
      </c>
      <c r="E1598" s="1">
        <v>130</v>
      </c>
      <c r="F1598" s="1">
        <v>293</v>
      </c>
      <c r="G1598" s="1">
        <v>2943852</v>
      </c>
      <c r="H1598" s="1" t="s">
        <v>70</v>
      </c>
    </row>
    <row r="1599" spans="1:8" x14ac:dyDescent="0.3">
      <c r="A1599" s="1" t="s">
        <v>164</v>
      </c>
      <c r="B1599" s="1" t="s">
        <v>165</v>
      </c>
      <c r="C1599" s="1">
        <v>2017</v>
      </c>
      <c r="D1599" s="1">
        <v>22651</v>
      </c>
      <c r="E1599" s="1">
        <v>269</v>
      </c>
      <c r="F1599" s="1">
        <v>306</v>
      </c>
      <c r="G1599" s="1">
        <v>674204</v>
      </c>
      <c r="H1599" s="1" t="s">
        <v>70</v>
      </c>
    </row>
    <row r="1600" spans="1:8" x14ac:dyDescent="0.3">
      <c r="A1600" s="1" t="s">
        <v>166</v>
      </c>
      <c r="B1600" s="1" t="s">
        <v>167</v>
      </c>
      <c r="C1600" s="1">
        <v>2017</v>
      </c>
      <c r="D1600" s="1">
        <v>19380</v>
      </c>
      <c r="E1600" s="1">
        <v>147</v>
      </c>
      <c r="F1600" s="1">
        <v>143</v>
      </c>
      <c r="G1600" s="1">
        <v>1156470</v>
      </c>
      <c r="H1600" s="1" t="s">
        <v>70</v>
      </c>
    </row>
    <row r="1601" spans="1:8" x14ac:dyDescent="0.3">
      <c r="A1601" s="1" t="s">
        <v>168</v>
      </c>
      <c r="B1601" s="1" t="s">
        <v>169</v>
      </c>
      <c r="C1601" s="1">
        <v>2017</v>
      </c>
      <c r="D1601" s="1">
        <v>20515</v>
      </c>
      <c r="E1601" s="1">
        <v>116</v>
      </c>
      <c r="F1601" s="1">
        <v>206</v>
      </c>
      <c r="G1601" s="1">
        <v>1313259</v>
      </c>
      <c r="H1601" s="1" t="s">
        <v>70</v>
      </c>
    </row>
    <row r="1602" spans="1:8" x14ac:dyDescent="0.3">
      <c r="A1602" s="1" t="s">
        <v>170</v>
      </c>
      <c r="B1602" s="1" t="s">
        <v>171</v>
      </c>
      <c r="C1602" s="1">
        <v>2017</v>
      </c>
      <c r="D1602" s="1">
        <v>30700</v>
      </c>
      <c r="E1602" s="1">
        <v>225</v>
      </c>
      <c r="F1602" s="1">
        <v>243</v>
      </c>
      <c r="G1602" s="1">
        <v>1833364</v>
      </c>
      <c r="H1602" s="1" t="s">
        <v>70</v>
      </c>
    </row>
    <row r="1603" spans="1:8" x14ac:dyDescent="0.3">
      <c r="A1603" s="1" t="s">
        <v>172</v>
      </c>
      <c r="B1603" s="1" t="s">
        <v>173</v>
      </c>
      <c r="C1603" s="1">
        <v>2017</v>
      </c>
      <c r="D1603" s="1">
        <v>16607</v>
      </c>
      <c r="E1603" s="1">
        <v>206</v>
      </c>
      <c r="F1603" s="1">
        <v>293</v>
      </c>
      <c r="G1603" s="1">
        <v>717948</v>
      </c>
      <c r="H1603" s="1" t="s">
        <v>70</v>
      </c>
    </row>
    <row r="1604" spans="1:8" x14ac:dyDescent="0.3">
      <c r="A1604" s="1" t="s">
        <v>174</v>
      </c>
      <c r="B1604" s="1" t="s">
        <v>175</v>
      </c>
      <c r="C1604" s="1">
        <v>2017</v>
      </c>
      <c r="D1604" s="1">
        <v>16892</v>
      </c>
      <c r="E1604" s="1">
        <v>159</v>
      </c>
      <c r="F1604" s="1">
        <v>185</v>
      </c>
      <c r="G1604" s="1">
        <v>943749</v>
      </c>
      <c r="H1604" s="1" t="s">
        <v>70</v>
      </c>
    </row>
    <row r="1605" spans="1:8" x14ac:dyDescent="0.3">
      <c r="A1605" s="1" t="s">
        <v>176</v>
      </c>
      <c r="B1605" s="1" t="s">
        <v>177</v>
      </c>
      <c r="C1605" s="1">
        <v>2017</v>
      </c>
      <c r="D1605" s="1">
        <v>12333</v>
      </c>
      <c r="E1605" s="1">
        <v>89</v>
      </c>
      <c r="F1605" s="1">
        <v>100</v>
      </c>
      <c r="G1605" s="1">
        <v>814241</v>
      </c>
      <c r="H1605" s="1" t="s">
        <v>70</v>
      </c>
    </row>
    <row r="1606" spans="1:8" x14ac:dyDescent="0.3">
      <c r="A1606" s="1" t="s">
        <v>178</v>
      </c>
      <c r="B1606" s="1" t="s">
        <v>179</v>
      </c>
      <c r="C1606" s="1">
        <v>2017</v>
      </c>
      <c r="D1606" s="1">
        <v>19748</v>
      </c>
      <c r="E1606" s="1">
        <v>103</v>
      </c>
      <c r="F1606" s="1">
        <v>293</v>
      </c>
      <c r="G1606" s="1">
        <v>478990</v>
      </c>
      <c r="H1606" s="1" t="s">
        <v>70</v>
      </c>
    </row>
    <row r="1607" spans="1:8" x14ac:dyDescent="0.3">
      <c r="A1607" s="1" t="s">
        <v>180</v>
      </c>
      <c r="B1607" s="1" t="s">
        <v>181</v>
      </c>
      <c r="C1607" s="1">
        <v>2017</v>
      </c>
      <c r="D1607" s="1">
        <v>24899</v>
      </c>
      <c r="E1607" s="1">
        <v>301</v>
      </c>
      <c r="F1607" s="1">
        <v>166</v>
      </c>
      <c r="G1607" s="1">
        <v>967986</v>
      </c>
      <c r="H1607" s="1" t="s">
        <v>70</v>
      </c>
    </row>
    <row r="1608" spans="1:8" x14ac:dyDescent="0.3">
      <c r="A1608" s="1" t="s">
        <v>182</v>
      </c>
      <c r="B1608" s="1" t="s">
        <v>183</v>
      </c>
      <c r="C1608" s="1">
        <v>2017</v>
      </c>
      <c r="D1608" s="1">
        <v>29526</v>
      </c>
      <c r="E1608" s="1">
        <v>117</v>
      </c>
      <c r="F1608" s="1">
        <v>317</v>
      </c>
      <c r="G1608" s="1">
        <v>2305704</v>
      </c>
      <c r="H1608" s="1" t="s">
        <v>70</v>
      </c>
    </row>
    <row r="1609" spans="1:8" x14ac:dyDescent="0.3">
      <c r="A1609" s="1" t="s">
        <v>184</v>
      </c>
      <c r="B1609" s="1" t="s">
        <v>185</v>
      </c>
      <c r="C1609" s="1">
        <v>2017</v>
      </c>
      <c r="D1609" s="1">
        <v>34289</v>
      </c>
      <c r="E1609" s="1">
        <v>147</v>
      </c>
      <c r="F1609" s="1">
        <v>525</v>
      </c>
      <c r="G1609" s="1">
        <v>1983411</v>
      </c>
      <c r="H1609" s="1" t="s">
        <v>70</v>
      </c>
    </row>
    <row r="1610" spans="1:8" x14ac:dyDescent="0.3">
      <c r="A1610" s="1" t="s">
        <v>186</v>
      </c>
      <c r="B1610" s="1" t="s">
        <v>187</v>
      </c>
      <c r="C1610" s="1">
        <v>2017</v>
      </c>
      <c r="D1610" s="1">
        <v>12676</v>
      </c>
      <c r="E1610" s="1">
        <v>132</v>
      </c>
      <c r="F1610" s="1">
        <v>51</v>
      </c>
      <c r="G1610" s="1">
        <v>321622</v>
      </c>
      <c r="H1610" s="1" t="s">
        <v>70</v>
      </c>
    </row>
    <row r="1611" spans="1:8" x14ac:dyDescent="0.3">
      <c r="A1611" s="1" t="s">
        <v>188</v>
      </c>
      <c r="B1611" s="1" t="s">
        <v>189</v>
      </c>
      <c r="C1611" s="1">
        <v>2017</v>
      </c>
      <c r="D1611" s="1">
        <v>52497</v>
      </c>
      <c r="E1611" s="1">
        <v>503</v>
      </c>
      <c r="F1611" s="1">
        <v>1221</v>
      </c>
      <c r="G1611" s="1">
        <v>3670612</v>
      </c>
      <c r="H1611" s="1" t="s">
        <v>70</v>
      </c>
    </row>
    <row r="1612" spans="1:8" x14ac:dyDescent="0.3">
      <c r="A1612" s="1" t="s">
        <v>190</v>
      </c>
      <c r="B1612" s="1" t="s">
        <v>191</v>
      </c>
      <c r="C1612" s="1">
        <v>2017</v>
      </c>
      <c r="D1612" s="1">
        <v>60163</v>
      </c>
      <c r="E1612" s="1">
        <v>1486</v>
      </c>
      <c r="F1612" s="1">
        <v>1167</v>
      </c>
      <c r="G1612" s="1">
        <v>4218638</v>
      </c>
      <c r="H1612" s="1" t="s">
        <v>70</v>
      </c>
    </row>
    <row r="1613" spans="1:8" x14ac:dyDescent="0.3">
      <c r="A1613" s="1" t="s">
        <v>192</v>
      </c>
      <c r="B1613" s="1" t="s">
        <v>193</v>
      </c>
      <c r="C1613" s="1">
        <v>2017</v>
      </c>
      <c r="D1613" s="1">
        <v>40846</v>
      </c>
      <c r="E1613" s="1">
        <v>291</v>
      </c>
      <c r="F1613" s="1">
        <v>325</v>
      </c>
      <c r="G1613" s="1">
        <v>1815812</v>
      </c>
      <c r="H1613" s="1" t="s">
        <v>70</v>
      </c>
    </row>
    <row r="1614" spans="1:8" x14ac:dyDescent="0.3">
      <c r="A1614" s="1" t="s">
        <v>194</v>
      </c>
      <c r="B1614" s="1" t="s">
        <v>195</v>
      </c>
      <c r="C1614" s="1">
        <v>2017</v>
      </c>
      <c r="D1614" s="1">
        <v>38089</v>
      </c>
      <c r="E1614" s="1">
        <v>209</v>
      </c>
      <c r="F1614" s="1">
        <v>161</v>
      </c>
      <c r="G1614" s="1">
        <v>3272365</v>
      </c>
      <c r="H1614" s="1" t="s">
        <v>70</v>
      </c>
    </row>
    <row r="1615" spans="1:8" x14ac:dyDescent="0.3">
      <c r="A1615" s="1" t="s">
        <v>196</v>
      </c>
      <c r="B1615" s="1" t="s">
        <v>197</v>
      </c>
      <c r="C1615" s="1">
        <v>2017</v>
      </c>
      <c r="D1615" s="1">
        <v>19404</v>
      </c>
      <c r="E1615" s="1">
        <v>149</v>
      </c>
      <c r="F1615" s="1">
        <v>60</v>
      </c>
      <c r="G1615" s="1">
        <v>925963</v>
      </c>
      <c r="H1615" s="1" t="s">
        <v>70</v>
      </c>
    </row>
    <row r="1616" spans="1:8" x14ac:dyDescent="0.3">
      <c r="A1616" s="1" t="s">
        <v>198</v>
      </c>
      <c r="B1616" s="1" t="s">
        <v>199</v>
      </c>
      <c r="C1616" s="1">
        <v>2017</v>
      </c>
      <c r="D1616" s="1">
        <v>17340</v>
      </c>
      <c r="E1616" s="1">
        <v>55</v>
      </c>
      <c r="F1616" s="1">
        <v>39</v>
      </c>
      <c r="G1616" s="1">
        <v>471342</v>
      </c>
      <c r="H1616" s="1" t="s">
        <v>70</v>
      </c>
    </row>
    <row r="1617" spans="1:8" x14ac:dyDescent="0.3">
      <c r="A1617" s="1" t="s">
        <v>200</v>
      </c>
      <c r="B1617" s="1" t="s">
        <v>201</v>
      </c>
      <c r="C1617" s="1">
        <v>2017</v>
      </c>
      <c r="D1617" s="1">
        <v>27792</v>
      </c>
      <c r="E1617" s="1">
        <v>149</v>
      </c>
      <c r="F1617" s="1">
        <v>88</v>
      </c>
      <c r="G1617" s="1">
        <v>833357</v>
      </c>
      <c r="H1617" s="1" t="s">
        <v>70</v>
      </c>
    </row>
    <row r="1618" spans="1:8" x14ac:dyDescent="0.3">
      <c r="A1618" s="1" t="s">
        <v>202</v>
      </c>
      <c r="B1618" s="1" t="s">
        <v>203</v>
      </c>
      <c r="C1618" s="1">
        <v>2017</v>
      </c>
      <c r="D1618" s="1">
        <v>24461</v>
      </c>
      <c r="E1618" s="1">
        <v>259</v>
      </c>
      <c r="F1618" s="1">
        <v>43</v>
      </c>
      <c r="G1618" s="1">
        <v>416088</v>
      </c>
      <c r="H1618" s="1" t="s">
        <v>70</v>
      </c>
    </row>
    <row r="1619" spans="1:8" x14ac:dyDescent="0.3">
      <c r="A1619" s="1" t="s">
        <v>204</v>
      </c>
      <c r="B1619" s="1" t="s">
        <v>205</v>
      </c>
      <c r="C1619" s="1">
        <v>2017</v>
      </c>
      <c r="D1619" s="1">
        <v>26354</v>
      </c>
      <c r="E1619" s="1">
        <v>175</v>
      </c>
      <c r="F1619" s="1">
        <v>68</v>
      </c>
      <c r="G1619" s="1">
        <v>333499</v>
      </c>
      <c r="H1619" s="1" t="s">
        <v>70</v>
      </c>
    </row>
    <row r="1620" spans="1:8" x14ac:dyDescent="0.3">
      <c r="A1620" s="1" t="s">
        <v>206</v>
      </c>
      <c r="B1620" s="1" t="s">
        <v>207</v>
      </c>
      <c r="C1620" s="1">
        <v>2017</v>
      </c>
      <c r="D1620" s="1">
        <v>51211</v>
      </c>
      <c r="E1620" s="1">
        <v>373</v>
      </c>
      <c r="F1620" s="1">
        <v>264</v>
      </c>
      <c r="G1620" s="1">
        <v>1170944</v>
      </c>
      <c r="H1620" s="1" t="s">
        <v>70</v>
      </c>
    </row>
    <row r="1621" spans="1:8" x14ac:dyDescent="0.3">
      <c r="A1621" s="1" t="s">
        <v>208</v>
      </c>
      <c r="B1621" s="1" t="s">
        <v>209</v>
      </c>
      <c r="C1621" s="1">
        <v>2017</v>
      </c>
      <c r="D1621" s="1">
        <v>17039</v>
      </c>
      <c r="E1621" s="1">
        <v>151</v>
      </c>
      <c r="F1621" s="1">
        <v>5</v>
      </c>
      <c r="G1621" s="1">
        <v>209269</v>
      </c>
      <c r="H1621" s="1" t="s">
        <v>70</v>
      </c>
    </row>
    <row r="1622" spans="1:8" x14ac:dyDescent="0.3">
      <c r="A1622" s="1" t="s">
        <v>210</v>
      </c>
      <c r="B1622" s="1" t="s">
        <v>211</v>
      </c>
      <c r="C1622" s="1">
        <v>2017</v>
      </c>
      <c r="D1622" s="1">
        <v>30491</v>
      </c>
      <c r="E1622" s="1">
        <v>304</v>
      </c>
      <c r="F1622" s="1">
        <v>21</v>
      </c>
      <c r="G1622" s="1">
        <v>352364</v>
      </c>
      <c r="H1622" s="1" t="s">
        <v>70</v>
      </c>
    </row>
    <row r="1623" spans="1:8" x14ac:dyDescent="0.3">
      <c r="A1623" s="1" t="s">
        <v>212</v>
      </c>
      <c r="B1623" s="1" t="s">
        <v>213</v>
      </c>
      <c r="C1623" s="1">
        <v>2017</v>
      </c>
      <c r="D1623" s="1">
        <v>15656</v>
      </c>
      <c r="E1623" s="1">
        <v>199</v>
      </c>
      <c r="F1623" s="1">
        <v>84</v>
      </c>
      <c r="G1623" s="1">
        <v>323291</v>
      </c>
      <c r="H1623" s="1" t="s">
        <v>70</v>
      </c>
    </row>
    <row r="1624" spans="1:8" x14ac:dyDescent="0.3">
      <c r="A1624" s="1" t="s">
        <v>214</v>
      </c>
      <c r="B1624" s="1" t="s">
        <v>215</v>
      </c>
      <c r="C1624" s="1">
        <v>2017</v>
      </c>
      <c r="D1624" s="1">
        <v>43398</v>
      </c>
      <c r="E1624" s="1">
        <v>295</v>
      </c>
      <c r="F1624" s="1">
        <v>130</v>
      </c>
      <c r="G1624" s="1">
        <v>1089322</v>
      </c>
      <c r="H1624" s="1" t="s">
        <v>70</v>
      </c>
    </row>
    <row r="1625" spans="1:8" x14ac:dyDescent="0.3">
      <c r="A1625" s="1" t="s">
        <v>216</v>
      </c>
      <c r="B1625" s="1" t="s">
        <v>217</v>
      </c>
      <c r="C1625" s="1">
        <v>2017</v>
      </c>
      <c r="D1625" s="1">
        <v>16605</v>
      </c>
      <c r="E1625" s="1">
        <v>137</v>
      </c>
      <c r="F1625" s="1">
        <v>54</v>
      </c>
      <c r="G1625" s="1">
        <v>566645</v>
      </c>
      <c r="H1625" s="1" t="s">
        <v>70</v>
      </c>
    </row>
    <row r="1626" spans="1:8" x14ac:dyDescent="0.3">
      <c r="A1626" s="1" t="s">
        <v>218</v>
      </c>
      <c r="B1626" s="1" t="s">
        <v>219</v>
      </c>
      <c r="C1626" s="1">
        <v>2017</v>
      </c>
      <c r="D1626" s="1">
        <v>39664</v>
      </c>
      <c r="E1626" s="1">
        <v>275</v>
      </c>
      <c r="F1626" s="1">
        <v>166</v>
      </c>
      <c r="G1626" s="1">
        <v>1387981</v>
      </c>
      <c r="H1626" s="1" t="s">
        <v>70</v>
      </c>
    </row>
    <row r="1627" spans="1:8" x14ac:dyDescent="0.3">
      <c r="A1627" s="1" t="s">
        <v>220</v>
      </c>
      <c r="B1627" s="1" t="s">
        <v>221</v>
      </c>
      <c r="C1627" s="1">
        <v>2017</v>
      </c>
      <c r="D1627" s="1">
        <v>12392</v>
      </c>
      <c r="E1627" s="1">
        <v>97</v>
      </c>
      <c r="F1627" s="1">
        <v>5</v>
      </c>
      <c r="G1627" s="1">
        <v>11103</v>
      </c>
      <c r="H1627" s="1" t="s">
        <v>70</v>
      </c>
    </row>
    <row r="1628" spans="1:8" x14ac:dyDescent="0.3">
      <c r="A1628" s="1" t="s">
        <v>222</v>
      </c>
      <c r="B1628" s="1" t="s">
        <v>151</v>
      </c>
      <c r="C1628" s="1">
        <v>2017</v>
      </c>
      <c r="D1628" s="1">
        <v>45970</v>
      </c>
      <c r="E1628" s="1">
        <v>217</v>
      </c>
      <c r="F1628" s="1">
        <v>264</v>
      </c>
      <c r="G1628" s="1">
        <v>2644859</v>
      </c>
      <c r="H1628" s="1" t="s">
        <v>70</v>
      </c>
    </row>
    <row r="1629" spans="1:8" x14ac:dyDescent="0.3">
      <c r="A1629" s="1" t="s">
        <v>223</v>
      </c>
      <c r="B1629" s="1" t="s">
        <v>224</v>
      </c>
      <c r="C1629" s="1">
        <v>2017</v>
      </c>
      <c r="D1629" s="1">
        <v>25497</v>
      </c>
      <c r="E1629" s="1">
        <v>137</v>
      </c>
      <c r="F1629" s="1">
        <v>30</v>
      </c>
      <c r="G1629" s="1">
        <v>814489</v>
      </c>
      <c r="H1629" s="1" t="s">
        <v>70</v>
      </c>
    </row>
    <row r="1630" spans="1:8" x14ac:dyDescent="0.3">
      <c r="A1630" s="1" t="s">
        <v>225</v>
      </c>
      <c r="B1630" s="1" t="s">
        <v>226</v>
      </c>
      <c r="C1630" s="1">
        <v>2017</v>
      </c>
      <c r="D1630" s="1">
        <v>13603</v>
      </c>
      <c r="E1630" s="1">
        <v>162</v>
      </c>
      <c r="F1630" s="1">
        <v>31</v>
      </c>
      <c r="G1630" s="1">
        <v>279758</v>
      </c>
      <c r="H1630" s="1" t="s">
        <v>70</v>
      </c>
    </row>
    <row r="1631" spans="1:8" x14ac:dyDescent="0.3">
      <c r="A1631" s="1" t="s">
        <v>227</v>
      </c>
      <c r="B1631" s="1" t="s">
        <v>228</v>
      </c>
      <c r="C1631" s="1">
        <v>2017</v>
      </c>
      <c r="D1631" s="1">
        <v>24633</v>
      </c>
      <c r="E1631" s="1">
        <v>211</v>
      </c>
      <c r="F1631" s="1">
        <v>163</v>
      </c>
      <c r="G1631" s="1">
        <v>1204240</v>
      </c>
      <c r="H1631" s="1" t="s">
        <v>70</v>
      </c>
    </row>
    <row r="1632" spans="1:8" x14ac:dyDescent="0.3">
      <c r="A1632" s="1" t="s">
        <v>229</v>
      </c>
      <c r="B1632" s="1" t="s">
        <v>230</v>
      </c>
      <c r="C1632" s="1">
        <v>2017</v>
      </c>
      <c r="D1632" s="1">
        <v>66720</v>
      </c>
      <c r="E1632" s="1">
        <v>723</v>
      </c>
      <c r="F1632" s="1">
        <v>446</v>
      </c>
      <c r="G1632" s="1">
        <v>2159850</v>
      </c>
      <c r="H1632" s="1" t="s">
        <v>70</v>
      </c>
    </row>
    <row r="1633" spans="1:8" x14ac:dyDescent="0.3">
      <c r="A1633" s="1" t="s">
        <v>231</v>
      </c>
      <c r="B1633" s="1" t="s">
        <v>232</v>
      </c>
      <c r="C1633" s="1">
        <v>2017</v>
      </c>
      <c r="D1633" s="1">
        <v>11481</v>
      </c>
      <c r="E1633" s="1">
        <v>95</v>
      </c>
      <c r="F1633" s="1">
        <v>35</v>
      </c>
      <c r="G1633" s="1">
        <v>296389</v>
      </c>
      <c r="H1633" s="1" t="s">
        <v>70</v>
      </c>
    </row>
    <row r="1634" spans="1:8" x14ac:dyDescent="0.3">
      <c r="A1634" s="1" t="s">
        <v>233</v>
      </c>
      <c r="B1634" s="1" t="s">
        <v>234</v>
      </c>
      <c r="C1634" s="1">
        <v>2017</v>
      </c>
      <c r="D1634" s="1">
        <v>356350</v>
      </c>
      <c r="E1634" s="1">
        <v>2520</v>
      </c>
      <c r="F1634" s="1">
        <v>5323</v>
      </c>
      <c r="G1634" s="1">
        <v>25504975</v>
      </c>
      <c r="H1634" s="1" t="s">
        <v>70</v>
      </c>
    </row>
    <row r="1635" spans="1:8" x14ac:dyDescent="0.3">
      <c r="A1635" s="1" t="s">
        <v>235</v>
      </c>
      <c r="B1635" s="1" t="s">
        <v>236</v>
      </c>
      <c r="C1635" s="1">
        <v>2017</v>
      </c>
      <c r="D1635" s="1">
        <v>31671</v>
      </c>
      <c r="E1635" s="1">
        <v>197</v>
      </c>
      <c r="F1635" s="1">
        <v>266</v>
      </c>
      <c r="G1635" s="1">
        <v>4563265</v>
      </c>
      <c r="H1635" s="1" t="s">
        <v>70</v>
      </c>
    </row>
    <row r="1636" spans="1:8" x14ac:dyDescent="0.3">
      <c r="A1636" s="1" t="s">
        <v>237</v>
      </c>
      <c r="B1636" s="1" t="s">
        <v>238</v>
      </c>
      <c r="C1636" s="1">
        <v>2017</v>
      </c>
      <c r="D1636" s="1">
        <v>19643</v>
      </c>
      <c r="E1636" s="1">
        <v>93</v>
      </c>
      <c r="F1636" s="1">
        <v>165</v>
      </c>
      <c r="G1636" s="1">
        <v>644613</v>
      </c>
      <c r="H1636" s="1" t="s">
        <v>70</v>
      </c>
    </row>
    <row r="1637" spans="1:8" x14ac:dyDescent="0.3">
      <c r="A1637" s="1" t="s">
        <v>239</v>
      </c>
      <c r="B1637" s="1" t="s">
        <v>240</v>
      </c>
      <c r="C1637" s="1">
        <v>2017</v>
      </c>
      <c r="D1637" s="1">
        <v>32201</v>
      </c>
      <c r="E1637" s="1">
        <v>509</v>
      </c>
      <c r="F1637" s="1">
        <v>142</v>
      </c>
      <c r="G1637" s="1">
        <v>595763</v>
      </c>
      <c r="H1637" s="1" t="s">
        <v>70</v>
      </c>
    </row>
    <row r="1638" spans="1:8" x14ac:dyDescent="0.3">
      <c r="A1638" s="1" t="s">
        <v>241</v>
      </c>
      <c r="B1638" s="1" t="s">
        <v>242</v>
      </c>
      <c r="C1638" s="1">
        <v>2017</v>
      </c>
      <c r="D1638" s="1">
        <v>27860</v>
      </c>
      <c r="E1638" s="1">
        <v>424</v>
      </c>
      <c r="F1638" s="1">
        <v>53</v>
      </c>
      <c r="G1638" s="1">
        <v>282133</v>
      </c>
      <c r="H1638" s="1" t="s">
        <v>70</v>
      </c>
    </row>
    <row r="1639" spans="1:8" x14ac:dyDescent="0.3">
      <c r="A1639" s="1" t="s">
        <v>243</v>
      </c>
      <c r="B1639" s="1" t="s">
        <v>244</v>
      </c>
      <c r="C1639" s="1">
        <v>2017</v>
      </c>
      <c r="D1639" s="1">
        <v>44338</v>
      </c>
      <c r="E1639" s="1">
        <v>211</v>
      </c>
      <c r="F1639" s="1">
        <v>317</v>
      </c>
      <c r="G1639" s="1">
        <v>4311990</v>
      </c>
      <c r="H1639" s="1" t="s">
        <v>70</v>
      </c>
    </row>
    <row r="1640" spans="1:8" x14ac:dyDescent="0.3">
      <c r="A1640" s="1" t="s">
        <v>245</v>
      </c>
      <c r="B1640" s="1" t="s">
        <v>246</v>
      </c>
      <c r="C1640" s="1">
        <v>2017</v>
      </c>
      <c r="D1640" s="1">
        <v>16781</v>
      </c>
      <c r="E1640" s="1">
        <v>167</v>
      </c>
      <c r="F1640" s="1">
        <v>17</v>
      </c>
      <c r="G1640" s="1">
        <v>186390</v>
      </c>
      <c r="H1640" s="1" t="s">
        <v>70</v>
      </c>
    </row>
    <row r="1641" spans="1:8" x14ac:dyDescent="0.3">
      <c r="A1641" s="1" t="s">
        <v>247</v>
      </c>
      <c r="B1641" s="1" t="s">
        <v>248</v>
      </c>
      <c r="C1641" s="1">
        <v>2017</v>
      </c>
      <c r="D1641" s="1">
        <v>32213</v>
      </c>
      <c r="E1641" s="1">
        <v>354</v>
      </c>
      <c r="F1641" s="1">
        <v>63</v>
      </c>
      <c r="G1641" s="1">
        <v>925211</v>
      </c>
      <c r="H1641" s="1" t="s">
        <v>70</v>
      </c>
    </row>
    <row r="1642" spans="1:8" x14ac:dyDescent="0.3">
      <c r="A1642" s="1" t="s">
        <v>249</v>
      </c>
      <c r="B1642" s="1" t="s">
        <v>250</v>
      </c>
      <c r="C1642" s="1">
        <v>2017</v>
      </c>
      <c r="D1642" s="1">
        <v>86321</v>
      </c>
      <c r="E1642" s="1">
        <v>1364</v>
      </c>
      <c r="F1642" s="1">
        <v>287</v>
      </c>
      <c r="G1642" s="1">
        <v>937056</v>
      </c>
      <c r="H1642" s="1" t="s">
        <v>70</v>
      </c>
    </row>
    <row r="1643" spans="1:8" x14ac:dyDescent="0.3">
      <c r="A1643" s="1" t="s">
        <v>251</v>
      </c>
      <c r="B1643" s="1" t="s">
        <v>252</v>
      </c>
      <c r="C1643" s="1">
        <v>2017</v>
      </c>
      <c r="D1643" s="1">
        <v>34534</v>
      </c>
      <c r="E1643" s="1">
        <v>503</v>
      </c>
      <c r="F1643" s="1">
        <v>37</v>
      </c>
      <c r="G1643" s="1">
        <v>323936</v>
      </c>
      <c r="H1643" s="1" t="s">
        <v>70</v>
      </c>
    </row>
    <row r="1644" spans="1:8" x14ac:dyDescent="0.3">
      <c r="A1644" s="1" t="s">
        <v>253</v>
      </c>
      <c r="B1644" s="1" t="s">
        <v>254</v>
      </c>
      <c r="C1644" s="1">
        <v>2017</v>
      </c>
      <c r="D1644" s="1">
        <v>17228</v>
      </c>
      <c r="E1644" s="1">
        <v>91</v>
      </c>
      <c r="F1644" s="1">
        <v>25</v>
      </c>
      <c r="G1644" s="1">
        <v>303465</v>
      </c>
      <c r="H1644" s="1" t="s">
        <v>70</v>
      </c>
    </row>
    <row r="1645" spans="1:8" x14ac:dyDescent="0.3">
      <c r="A1645" s="1" t="s">
        <v>255</v>
      </c>
      <c r="B1645" s="1" t="s">
        <v>256</v>
      </c>
      <c r="C1645" s="1">
        <v>2017</v>
      </c>
      <c r="D1645" s="1">
        <v>34611</v>
      </c>
      <c r="E1645" s="1">
        <v>594</v>
      </c>
      <c r="F1645" s="1">
        <v>139</v>
      </c>
      <c r="G1645" s="1">
        <v>164355</v>
      </c>
      <c r="H1645" s="1" t="s">
        <v>70</v>
      </c>
    </row>
    <row r="1646" spans="1:8" x14ac:dyDescent="0.3">
      <c r="A1646" s="1" t="s">
        <v>257</v>
      </c>
      <c r="B1646" s="1" t="s">
        <v>258</v>
      </c>
      <c r="C1646" s="1">
        <v>2017</v>
      </c>
      <c r="D1646" s="1">
        <v>53509</v>
      </c>
      <c r="E1646" s="1">
        <v>211</v>
      </c>
      <c r="F1646" s="1">
        <v>141</v>
      </c>
      <c r="G1646" s="1">
        <v>772210</v>
      </c>
      <c r="H1646" s="1" t="s">
        <v>70</v>
      </c>
    </row>
    <row r="1647" spans="1:8" x14ac:dyDescent="0.3">
      <c r="A1647" s="1" t="s">
        <v>259</v>
      </c>
      <c r="B1647" s="1" t="s">
        <v>260</v>
      </c>
      <c r="C1647" s="1">
        <v>2017</v>
      </c>
      <c r="D1647" s="1">
        <v>53613</v>
      </c>
      <c r="E1647" s="1">
        <v>650</v>
      </c>
      <c r="F1647" s="1">
        <v>116</v>
      </c>
      <c r="G1647" s="1">
        <v>819793</v>
      </c>
      <c r="H1647" s="1" t="s">
        <v>70</v>
      </c>
    </row>
    <row r="1648" spans="1:8" x14ac:dyDescent="0.3">
      <c r="A1648" s="1" t="s">
        <v>261</v>
      </c>
      <c r="B1648" s="1" t="s">
        <v>262</v>
      </c>
      <c r="C1648" s="1">
        <v>2017</v>
      </c>
      <c r="D1648" s="1">
        <v>38145</v>
      </c>
      <c r="E1648" s="1">
        <v>184</v>
      </c>
      <c r="F1648" s="1">
        <v>137</v>
      </c>
      <c r="G1648" s="1">
        <v>1246517</v>
      </c>
      <c r="H1648" s="1" t="s">
        <v>70</v>
      </c>
    </row>
    <row r="1649" spans="1:8" x14ac:dyDescent="0.3">
      <c r="A1649" s="1" t="s">
        <v>263</v>
      </c>
      <c r="B1649" s="1" t="s">
        <v>264</v>
      </c>
      <c r="C1649" s="1">
        <v>2017</v>
      </c>
      <c r="D1649" s="1">
        <v>51658</v>
      </c>
      <c r="E1649" s="1">
        <v>416</v>
      </c>
      <c r="F1649" s="1">
        <v>363</v>
      </c>
      <c r="G1649" s="1">
        <v>2537230</v>
      </c>
      <c r="H1649" s="1" t="s">
        <v>70</v>
      </c>
    </row>
    <row r="1650" spans="1:8" x14ac:dyDescent="0.3">
      <c r="A1650" s="1" t="s">
        <v>265</v>
      </c>
      <c r="B1650" s="1" t="s">
        <v>266</v>
      </c>
      <c r="C1650" s="1">
        <v>2017</v>
      </c>
      <c r="D1650" s="1">
        <v>13151</v>
      </c>
      <c r="E1650" s="1">
        <v>130</v>
      </c>
      <c r="F1650" s="1">
        <v>24</v>
      </c>
      <c r="G1650" s="1">
        <v>411669</v>
      </c>
      <c r="H1650" s="1" t="s">
        <v>70</v>
      </c>
    </row>
    <row r="1651" spans="1:8" x14ac:dyDescent="0.3">
      <c r="A1651" s="1" t="s">
        <v>267</v>
      </c>
      <c r="B1651" s="1" t="s">
        <v>268</v>
      </c>
      <c r="C1651" s="1">
        <v>2017</v>
      </c>
      <c r="D1651" s="1">
        <v>25406</v>
      </c>
      <c r="E1651" s="1">
        <v>343</v>
      </c>
      <c r="F1651" s="1">
        <v>36</v>
      </c>
      <c r="G1651" s="1">
        <v>180334</v>
      </c>
      <c r="H1651" s="1" t="s">
        <v>70</v>
      </c>
    </row>
    <row r="1652" spans="1:8" x14ac:dyDescent="0.3">
      <c r="A1652" s="1" t="s">
        <v>269</v>
      </c>
      <c r="B1652" s="1" t="s">
        <v>270</v>
      </c>
      <c r="C1652" s="1">
        <v>2017</v>
      </c>
      <c r="D1652" s="1">
        <v>55011</v>
      </c>
      <c r="E1652" s="1">
        <v>628</v>
      </c>
      <c r="F1652" s="1">
        <v>5</v>
      </c>
      <c r="G1652" s="1">
        <v>283895</v>
      </c>
      <c r="H1652" s="1" t="s">
        <v>70</v>
      </c>
    </row>
    <row r="1653" spans="1:8" x14ac:dyDescent="0.3">
      <c r="A1653" s="1" t="s">
        <v>271</v>
      </c>
      <c r="B1653" s="1" t="s">
        <v>272</v>
      </c>
      <c r="C1653" s="1">
        <v>2017</v>
      </c>
      <c r="D1653" s="1">
        <v>24919</v>
      </c>
      <c r="E1653" s="1">
        <v>221</v>
      </c>
      <c r="F1653" s="1">
        <v>155</v>
      </c>
      <c r="G1653" s="1">
        <v>312010</v>
      </c>
      <c r="H1653" s="1" t="s">
        <v>70</v>
      </c>
    </row>
    <row r="1654" spans="1:8" x14ac:dyDescent="0.3">
      <c r="A1654" s="1" t="s">
        <v>273</v>
      </c>
      <c r="B1654" s="1" t="s">
        <v>274</v>
      </c>
      <c r="C1654" s="1">
        <v>2017</v>
      </c>
      <c r="D1654" s="1">
        <v>47594</v>
      </c>
      <c r="E1654" s="1">
        <v>655</v>
      </c>
      <c r="F1654" s="1">
        <v>127</v>
      </c>
      <c r="G1654" s="1">
        <v>1223014</v>
      </c>
      <c r="H1654" s="1" t="s">
        <v>70</v>
      </c>
    </row>
    <row r="1655" spans="1:8" x14ac:dyDescent="0.3">
      <c r="A1655" s="1" t="s">
        <v>275</v>
      </c>
      <c r="B1655" s="1" t="s">
        <v>276</v>
      </c>
      <c r="C1655" s="1">
        <v>2017</v>
      </c>
      <c r="D1655" s="1">
        <v>38960</v>
      </c>
      <c r="E1655" s="1">
        <v>869</v>
      </c>
      <c r="F1655" s="1">
        <v>610</v>
      </c>
      <c r="G1655" s="1">
        <v>201730</v>
      </c>
      <c r="H1655" s="1" t="s">
        <v>70</v>
      </c>
    </row>
    <row r="1656" spans="1:8" x14ac:dyDescent="0.3">
      <c r="A1656" s="1" t="s">
        <v>277</v>
      </c>
      <c r="B1656" s="1" t="s">
        <v>278</v>
      </c>
      <c r="C1656" s="1">
        <v>2017</v>
      </c>
      <c r="D1656" s="1">
        <v>380088</v>
      </c>
      <c r="E1656" s="1">
        <v>11044</v>
      </c>
      <c r="F1656" s="1">
        <v>10502</v>
      </c>
      <c r="G1656" s="1">
        <v>16778332</v>
      </c>
      <c r="H1656" s="1" t="s">
        <v>70</v>
      </c>
    </row>
    <row r="1657" spans="1:8" x14ac:dyDescent="0.3">
      <c r="A1657" s="1" t="s">
        <v>279</v>
      </c>
      <c r="B1657" s="1" t="s">
        <v>280</v>
      </c>
      <c r="C1657" s="1">
        <v>2017</v>
      </c>
      <c r="D1657" s="1">
        <v>30172</v>
      </c>
      <c r="E1657" s="1">
        <v>193</v>
      </c>
      <c r="F1657" s="1">
        <v>234</v>
      </c>
      <c r="G1657" s="1">
        <v>2300574</v>
      </c>
      <c r="H1657" s="1" t="s">
        <v>70</v>
      </c>
    </row>
    <row r="1658" spans="1:8" x14ac:dyDescent="0.3">
      <c r="A1658" s="1" t="s">
        <v>281</v>
      </c>
      <c r="B1658" s="1" t="s">
        <v>282</v>
      </c>
      <c r="C1658" s="1">
        <v>2017</v>
      </c>
      <c r="D1658" s="1">
        <v>43585</v>
      </c>
      <c r="E1658" s="1">
        <v>202</v>
      </c>
      <c r="F1658" s="1">
        <v>447</v>
      </c>
      <c r="G1658" s="1">
        <v>5965464</v>
      </c>
      <c r="H1658" s="1" t="s">
        <v>70</v>
      </c>
    </row>
    <row r="1659" spans="1:8" x14ac:dyDescent="0.3">
      <c r="A1659" s="1" t="s">
        <v>283</v>
      </c>
      <c r="B1659" s="1" t="s">
        <v>284</v>
      </c>
      <c r="C1659" s="1">
        <v>2017</v>
      </c>
      <c r="D1659" s="1">
        <v>11933</v>
      </c>
      <c r="E1659" s="1">
        <v>115</v>
      </c>
      <c r="F1659" s="1">
        <v>26</v>
      </c>
      <c r="G1659" s="1">
        <v>110913</v>
      </c>
      <c r="H1659" s="1" t="s">
        <v>70</v>
      </c>
    </row>
    <row r="1660" spans="1:8" x14ac:dyDescent="0.3">
      <c r="A1660" s="1" t="s">
        <v>285</v>
      </c>
      <c r="B1660" s="1" t="s">
        <v>286</v>
      </c>
      <c r="C1660" s="1">
        <v>2017</v>
      </c>
      <c r="D1660" s="1">
        <v>31439</v>
      </c>
      <c r="E1660" s="1">
        <v>338</v>
      </c>
      <c r="F1660" s="1">
        <v>281</v>
      </c>
      <c r="G1660" s="1">
        <v>2444991</v>
      </c>
      <c r="H1660" s="1" t="s">
        <v>70</v>
      </c>
    </row>
    <row r="1661" spans="1:8" x14ac:dyDescent="0.3">
      <c r="A1661" s="1" t="s">
        <v>287</v>
      </c>
      <c r="B1661" s="1" t="s">
        <v>288</v>
      </c>
      <c r="C1661" s="1">
        <v>2017</v>
      </c>
      <c r="D1661" s="1">
        <v>35239</v>
      </c>
      <c r="E1661" s="1">
        <v>426</v>
      </c>
      <c r="F1661" s="1">
        <v>10</v>
      </c>
      <c r="G1661" s="1">
        <v>416235</v>
      </c>
      <c r="H1661" s="1" t="s">
        <v>70</v>
      </c>
    </row>
    <row r="1662" spans="1:8" x14ac:dyDescent="0.3">
      <c r="A1662" s="1" t="s">
        <v>289</v>
      </c>
      <c r="B1662" s="1" t="s">
        <v>290</v>
      </c>
      <c r="C1662" s="1">
        <v>2017</v>
      </c>
      <c r="D1662" s="1">
        <v>16370</v>
      </c>
      <c r="E1662" s="1">
        <v>179</v>
      </c>
      <c r="F1662" s="1">
        <v>94</v>
      </c>
      <c r="G1662" s="1">
        <v>783126</v>
      </c>
      <c r="H1662" s="1" t="s">
        <v>70</v>
      </c>
    </row>
    <row r="1663" spans="1:8" x14ac:dyDescent="0.3">
      <c r="A1663" s="1" t="s">
        <v>291</v>
      </c>
      <c r="B1663" s="1" t="s">
        <v>292</v>
      </c>
      <c r="C1663" s="1">
        <v>2017</v>
      </c>
      <c r="D1663" s="1">
        <v>35949</v>
      </c>
      <c r="E1663" s="1">
        <v>660</v>
      </c>
      <c r="F1663" s="1">
        <v>211</v>
      </c>
      <c r="G1663" s="1">
        <v>910130</v>
      </c>
      <c r="H1663" s="1" t="s">
        <v>70</v>
      </c>
    </row>
    <row r="1664" spans="1:8" x14ac:dyDescent="0.3">
      <c r="A1664" s="1" t="s">
        <v>293</v>
      </c>
      <c r="B1664" s="1" t="s">
        <v>294</v>
      </c>
      <c r="C1664" s="1">
        <v>2017</v>
      </c>
      <c r="D1664" s="1">
        <v>37022</v>
      </c>
      <c r="E1664" s="1">
        <v>491</v>
      </c>
      <c r="F1664" s="1">
        <v>136</v>
      </c>
      <c r="G1664" s="1">
        <v>648196</v>
      </c>
      <c r="H1664" s="1" t="s">
        <v>70</v>
      </c>
    </row>
    <row r="1665" spans="1:8" x14ac:dyDescent="0.3">
      <c r="A1665" s="1" t="s">
        <v>295</v>
      </c>
      <c r="B1665" s="1" t="s">
        <v>296</v>
      </c>
      <c r="C1665" s="1">
        <v>2017</v>
      </c>
      <c r="D1665" s="1">
        <v>22246</v>
      </c>
      <c r="E1665" s="1">
        <v>168</v>
      </c>
      <c r="F1665" s="1">
        <v>77</v>
      </c>
      <c r="G1665" s="1">
        <v>401398</v>
      </c>
      <c r="H1665" s="1" t="s">
        <v>70</v>
      </c>
    </row>
    <row r="1666" spans="1:8" x14ac:dyDescent="0.3">
      <c r="A1666" s="1" t="s">
        <v>297</v>
      </c>
      <c r="B1666" s="1" t="s">
        <v>298</v>
      </c>
      <c r="C1666" s="1">
        <v>2017</v>
      </c>
      <c r="D1666" s="1">
        <v>45201</v>
      </c>
      <c r="E1666" s="1">
        <v>1115</v>
      </c>
      <c r="F1666" s="1">
        <v>558</v>
      </c>
      <c r="G1666" s="1">
        <v>1222053</v>
      </c>
      <c r="H1666" s="1" t="s">
        <v>70</v>
      </c>
    </row>
    <row r="1667" spans="1:8" x14ac:dyDescent="0.3">
      <c r="A1667" s="1" t="s">
        <v>299</v>
      </c>
      <c r="B1667" s="1" t="s">
        <v>300</v>
      </c>
      <c r="C1667" s="1">
        <v>2017</v>
      </c>
      <c r="D1667" s="1">
        <v>13319</v>
      </c>
      <c r="E1667" s="1">
        <v>64</v>
      </c>
      <c r="F1667" s="1">
        <v>5</v>
      </c>
      <c r="G1667" s="1">
        <v>108084</v>
      </c>
      <c r="H1667" s="1" t="s">
        <v>70</v>
      </c>
    </row>
    <row r="1668" spans="1:8" x14ac:dyDescent="0.3">
      <c r="A1668" s="1" t="s">
        <v>301</v>
      </c>
      <c r="B1668" s="1" t="s">
        <v>302</v>
      </c>
      <c r="C1668" s="1">
        <v>2017</v>
      </c>
      <c r="D1668" s="1">
        <v>11555</v>
      </c>
      <c r="E1668" s="1">
        <v>58</v>
      </c>
      <c r="F1668" s="1">
        <v>6</v>
      </c>
      <c r="G1668" s="1">
        <v>229042</v>
      </c>
      <c r="H1668" s="1" t="s">
        <v>70</v>
      </c>
    </row>
    <row r="1669" spans="1:8" x14ac:dyDescent="0.3">
      <c r="A1669" s="1" t="s">
        <v>303</v>
      </c>
      <c r="B1669" s="1" t="s">
        <v>304</v>
      </c>
      <c r="C1669" s="1">
        <v>2017</v>
      </c>
      <c r="D1669" s="1">
        <v>15238</v>
      </c>
      <c r="E1669" s="1">
        <v>82</v>
      </c>
      <c r="F1669" s="1">
        <v>12</v>
      </c>
      <c r="G1669" s="1">
        <v>571920</v>
      </c>
      <c r="H1669" s="1" t="s">
        <v>70</v>
      </c>
    </row>
    <row r="1670" spans="1:8" x14ac:dyDescent="0.3">
      <c r="A1670" s="1" t="s">
        <v>305</v>
      </c>
      <c r="B1670" s="1" t="s">
        <v>306</v>
      </c>
      <c r="C1670" s="1">
        <v>2017</v>
      </c>
      <c r="D1670" s="1">
        <v>55838</v>
      </c>
      <c r="E1670" s="1">
        <v>726</v>
      </c>
      <c r="F1670" s="1">
        <v>510</v>
      </c>
      <c r="G1670" s="1">
        <v>827453</v>
      </c>
      <c r="H1670" s="1" t="s">
        <v>70</v>
      </c>
    </row>
    <row r="1671" spans="1:8" x14ac:dyDescent="0.3">
      <c r="A1671" s="1" t="s">
        <v>307</v>
      </c>
      <c r="B1671" s="1" t="s">
        <v>308</v>
      </c>
      <c r="C1671" s="1">
        <v>2017</v>
      </c>
      <c r="D1671" s="1">
        <v>25325</v>
      </c>
      <c r="E1671" s="1">
        <v>268</v>
      </c>
      <c r="F1671" s="1">
        <v>279</v>
      </c>
      <c r="G1671" s="1">
        <v>1058089</v>
      </c>
      <c r="H1671" s="1" t="s">
        <v>70</v>
      </c>
    </row>
    <row r="1672" spans="1:8" x14ac:dyDescent="0.3">
      <c r="A1672" s="1" t="s">
        <v>309</v>
      </c>
      <c r="B1672" s="1" t="s">
        <v>310</v>
      </c>
      <c r="C1672" s="1">
        <v>2017</v>
      </c>
      <c r="D1672" s="1">
        <v>30027</v>
      </c>
      <c r="E1672" s="1">
        <v>283</v>
      </c>
      <c r="F1672" s="1">
        <v>382</v>
      </c>
      <c r="G1672" s="1">
        <v>814936</v>
      </c>
      <c r="H1672" s="1" t="s">
        <v>70</v>
      </c>
    </row>
    <row r="1673" spans="1:8" x14ac:dyDescent="0.3">
      <c r="A1673" s="1" t="s">
        <v>311</v>
      </c>
      <c r="B1673" s="1" t="s">
        <v>312</v>
      </c>
      <c r="C1673" s="1">
        <v>2017</v>
      </c>
      <c r="D1673" s="1">
        <v>24764</v>
      </c>
      <c r="E1673" s="1">
        <v>265</v>
      </c>
      <c r="F1673" s="1">
        <v>0</v>
      </c>
      <c r="G1673" s="1">
        <v>143583</v>
      </c>
      <c r="H1673" s="1" t="s">
        <v>70</v>
      </c>
    </row>
    <row r="1674" spans="1:8" x14ac:dyDescent="0.3">
      <c r="A1674" s="1" t="s">
        <v>313</v>
      </c>
      <c r="B1674" s="1" t="s">
        <v>314</v>
      </c>
      <c r="C1674" s="1">
        <v>2017</v>
      </c>
      <c r="D1674" s="1">
        <v>24736</v>
      </c>
      <c r="E1674" s="1">
        <v>175</v>
      </c>
      <c r="F1674" s="1">
        <v>34</v>
      </c>
      <c r="G1674" s="1">
        <v>670626</v>
      </c>
      <c r="H1674" s="1" t="s">
        <v>70</v>
      </c>
    </row>
    <row r="1675" spans="1:8" x14ac:dyDescent="0.3">
      <c r="A1675" s="1" t="s">
        <v>315</v>
      </c>
      <c r="B1675" s="1" t="s">
        <v>316</v>
      </c>
      <c r="C1675" s="1">
        <v>2017</v>
      </c>
      <c r="D1675" s="1">
        <v>47138</v>
      </c>
      <c r="E1675" s="1">
        <v>464</v>
      </c>
      <c r="F1675" s="1">
        <v>283</v>
      </c>
      <c r="G1675" s="1">
        <v>946990</v>
      </c>
      <c r="H1675" s="1" t="s">
        <v>70</v>
      </c>
    </row>
    <row r="1676" spans="1:8" x14ac:dyDescent="0.3">
      <c r="A1676" s="1" t="s">
        <v>317</v>
      </c>
      <c r="B1676" s="1" t="s">
        <v>318</v>
      </c>
      <c r="C1676" s="1">
        <v>2017</v>
      </c>
      <c r="D1676" s="1">
        <v>75950</v>
      </c>
      <c r="E1676" s="1">
        <v>1654</v>
      </c>
      <c r="F1676" s="1">
        <v>555</v>
      </c>
      <c r="G1676" s="1">
        <v>1445430</v>
      </c>
      <c r="H1676" s="1" t="s">
        <v>70</v>
      </c>
    </row>
    <row r="1677" spans="1:8" x14ac:dyDescent="0.3">
      <c r="A1677" s="1" t="s">
        <v>319</v>
      </c>
      <c r="B1677" s="1" t="s">
        <v>320</v>
      </c>
      <c r="C1677" s="1">
        <v>2017</v>
      </c>
      <c r="D1677" s="1">
        <v>35225</v>
      </c>
      <c r="E1677" s="1">
        <v>422</v>
      </c>
      <c r="F1677" s="1">
        <v>38</v>
      </c>
      <c r="G1677" s="1">
        <v>379907</v>
      </c>
      <c r="H1677" s="1" t="s">
        <v>70</v>
      </c>
    </row>
    <row r="1678" spans="1:8" x14ac:dyDescent="0.3">
      <c r="A1678" s="1" t="s">
        <v>321</v>
      </c>
      <c r="B1678" s="1" t="s">
        <v>322</v>
      </c>
      <c r="C1678" s="1">
        <v>2017</v>
      </c>
      <c r="D1678" s="1">
        <v>30453</v>
      </c>
      <c r="E1678" s="1">
        <v>304</v>
      </c>
      <c r="F1678" s="1">
        <v>137</v>
      </c>
      <c r="G1678" s="1">
        <v>944336</v>
      </c>
      <c r="H1678" s="1" t="s">
        <v>70</v>
      </c>
    </row>
    <row r="1679" spans="1:8" x14ac:dyDescent="0.3">
      <c r="A1679" s="1" t="s">
        <v>323</v>
      </c>
      <c r="B1679" s="1" t="s">
        <v>324</v>
      </c>
      <c r="C1679" s="1">
        <v>2017</v>
      </c>
      <c r="D1679" s="1">
        <v>62592</v>
      </c>
      <c r="E1679" s="1">
        <v>941</v>
      </c>
      <c r="F1679" s="1">
        <v>1477</v>
      </c>
      <c r="G1679" s="1">
        <v>1787809</v>
      </c>
      <c r="H1679" s="1" t="s">
        <v>70</v>
      </c>
    </row>
    <row r="1680" spans="1:8" x14ac:dyDescent="0.3">
      <c r="A1680" s="1" t="s">
        <v>325</v>
      </c>
      <c r="B1680" s="1" t="s">
        <v>326</v>
      </c>
      <c r="C1680" s="1">
        <v>2017</v>
      </c>
      <c r="D1680" s="1">
        <v>16239</v>
      </c>
      <c r="E1680" s="1">
        <v>145</v>
      </c>
      <c r="F1680" s="1">
        <v>128</v>
      </c>
      <c r="G1680" s="1">
        <v>410803</v>
      </c>
      <c r="H1680" s="1" t="s">
        <v>70</v>
      </c>
    </row>
    <row r="1681" spans="1:8" x14ac:dyDescent="0.3">
      <c r="A1681" s="1" t="s">
        <v>327</v>
      </c>
      <c r="B1681" s="1" t="s">
        <v>328</v>
      </c>
      <c r="C1681" s="1">
        <v>2017</v>
      </c>
      <c r="D1681" s="1">
        <v>14801</v>
      </c>
      <c r="E1681" s="1">
        <v>91</v>
      </c>
      <c r="F1681" s="1">
        <v>18</v>
      </c>
      <c r="G1681" s="1">
        <v>51997</v>
      </c>
      <c r="H1681" s="1" t="s">
        <v>70</v>
      </c>
    </row>
    <row r="1682" spans="1:8" x14ac:dyDescent="0.3">
      <c r="A1682" s="1" t="s">
        <v>329</v>
      </c>
      <c r="B1682" s="1" t="s">
        <v>330</v>
      </c>
      <c r="C1682" s="1">
        <v>2017</v>
      </c>
      <c r="D1682" s="1">
        <v>18573</v>
      </c>
      <c r="E1682" s="1">
        <v>213</v>
      </c>
      <c r="F1682" s="1">
        <v>124</v>
      </c>
      <c r="G1682" s="1">
        <v>1197924</v>
      </c>
      <c r="H1682" s="1" t="s">
        <v>70</v>
      </c>
    </row>
    <row r="1683" spans="1:8" x14ac:dyDescent="0.3">
      <c r="A1683" s="1" t="s">
        <v>331</v>
      </c>
      <c r="B1683" s="1" t="s">
        <v>332</v>
      </c>
      <c r="C1683" s="1">
        <v>2017</v>
      </c>
      <c r="D1683" s="1">
        <v>46019</v>
      </c>
      <c r="E1683" s="1">
        <v>531</v>
      </c>
      <c r="F1683" s="1">
        <v>99</v>
      </c>
      <c r="G1683" s="1">
        <v>799146</v>
      </c>
      <c r="H1683" s="1" t="s">
        <v>70</v>
      </c>
    </row>
    <row r="1684" spans="1:8" x14ac:dyDescent="0.3">
      <c r="A1684" s="1" t="s">
        <v>333</v>
      </c>
      <c r="B1684" s="1" t="s">
        <v>334</v>
      </c>
      <c r="C1684" s="1">
        <v>2017</v>
      </c>
      <c r="D1684" s="1">
        <v>26413</v>
      </c>
      <c r="E1684" s="1">
        <v>262</v>
      </c>
      <c r="F1684" s="1">
        <v>13</v>
      </c>
      <c r="G1684" s="1">
        <v>62976</v>
      </c>
      <c r="H1684" s="1" t="s">
        <v>70</v>
      </c>
    </row>
    <row r="1685" spans="1:8" x14ac:dyDescent="0.3">
      <c r="A1685" s="1" t="s">
        <v>335</v>
      </c>
      <c r="B1685" s="1" t="s">
        <v>336</v>
      </c>
      <c r="C1685" s="1">
        <v>2017</v>
      </c>
      <c r="D1685" s="1">
        <v>16881</v>
      </c>
      <c r="E1685" s="1">
        <v>144</v>
      </c>
      <c r="F1685" s="1">
        <v>109</v>
      </c>
      <c r="G1685" s="1">
        <v>1188604</v>
      </c>
      <c r="H1685" s="1" t="s">
        <v>70</v>
      </c>
    </row>
    <row r="1686" spans="1:8" x14ac:dyDescent="0.3">
      <c r="A1686" s="1" t="s">
        <v>337</v>
      </c>
      <c r="B1686" s="1" t="s">
        <v>338</v>
      </c>
      <c r="C1686" s="1">
        <v>2017</v>
      </c>
      <c r="D1686" s="1">
        <v>29518</v>
      </c>
      <c r="E1686" s="1">
        <v>219</v>
      </c>
      <c r="F1686" s="1">
        <v>154</v>
      </c>
      <c r="G1686" s="1">
        <v>1201782</v>
      </c>
      <c r="H1686" s="1" t="s">
        <v>70</v>
      </c>
    </row>
    <row r="1687" spans="1:8" x14ac:dyDescent="0.3">
      <c r="A1687" s="1" t="s">
        <v>339</v>
      </c>
      <c r="B1687" s="1" t="s">
        <v>340</v>
      </c>
      <c r="C1687" s="1">
        <v>2017</v>
      </c>
      <c r="D1687" s="1">
        <v>21195</v>
      </c>
      <c r="E1687" s="1">
        <v>204</v>
      </c>
      <c r="F1687" s="1">
        <v>167</v>
      </c>
      <c r="G1687" s="1">
        <v>233976</v>
      </c>
      <c r="H1687" s="1" t="s">
        <v>70</v>
      </c>
    </row>
    <row r="1688" spans="1:8" x14ac:dyDescent="0.3">
      <c r="A1688" s="1" t="s">
        <v>341</v>
      </c>
      <c r="B1688" s="1" t="s">
        <v>342</v>
      </c>
      <c r="C1688" s="1">
        <v>2017</v>
      </c>
      <c r="D1688" s="1">
        <v>13377</v>
      </c>
      <c r="E1688" s="1">
        <v>227</v>
      </c>
      <c r="F1688" s="1">
        <v>54</v>
      </c>
      <c r="G1688" s="1">
        <v>235650</v>
      </c>
      <c r="H1688" s="1" t="s">
        <v>70</v>
      </c>
    </row>
    <row r="1689" spans="1:8" x14ac:dyDescent="0.3">
      <c r="A1689" s="1" t="s">
        <v>343</v>
      </c>
      <c r="B1689" s="1" t="s">
        <v>344</v>
      </c>
      <c r="C1689" s="1">
        <v>2017</v>
      </c>
      <c r="D1689" s="1">
        <v>45051</v>
      </c>
      <c r="E1689" s="1">
        <v>1181</v>
      </c>
      <c r="F1689" s="1">
        <v>474</v>
      </c>
      <c r="G1689" s="1">
        <v>264893</v>
      </c>
      <c r="H1689" s="1" t="s">
        <v>70</v>
      </c>
    </row>
    <row r="1690" spans="1:8" x14ac:dyDescent="0.3">
      <c r="A1690" s="1" t="s">
        <v>345</v>
      </c>
      <c r="B1690" s="1" t="s">
        <v>346</v>
      </c>
      <c r="C1690" s="1">
        <v>2017</v>
      </c>
      <c r="D1690" s="1">
        <v>24632</v>
      </c>
      <c r="E1690" s="1">
        <v>176</v>
      </c>
      <c r="F1690" s="1">
        <v>68</v>
      </c>
      <c r="G1690" s="1">
        <v>905964</v>
      </c>
      <c r="H1690" s="1" t="s">
        <v>70</v>
      </c>
    </row>
    <row r="1691" spans="1:8" x14ac:dyDescent="0.3">
      <c r="A1691" s="1" t="s">
        <v>347</v>
      </c>
      <c r="B1691" s="1" t="s">
        <v>348</v>
      </c>
      <c r="C1691" s="1">
        <v>2017</v>
      </c>
      <c r="D1691" s="1">
        <v>84667</v>
      </c>
      <c r="E1691" s="1">
        <v>1552</v>
      </c>
      <c r="F1691" s="1">
        <v>1531</v>
      </c>
      <c r="G1691" s="1">
        <v>2124383</v>
      </c>
      <c r="H1691" s="1" t="s">
        <v>70</v>
      </c>
    </row>
    <row r="1692" spans="1:8" x14ac:dyDescent="0.3">
      <c r="A1692" s="1" t="s">
        <v>349</v>
      </c>
      <c r="B1692" s="1" t="s">
        <v>350</v>
      </c>
      <c r="C1692" s="1">
        <v>2017</v>
      </c>
      <c r="D1692" s="1">
        <v>23438</v>
      </c>
      <c r="E1692" s="1">
        <v>321</v>
      </c>
      <c r="F1692" s="1">
        <v>128</v>
      </c>
      <c r="G1692" s="1">
        <v>373011</v>
      </c>
      <c r="H1692" s="1" t="s">
        <v>70</v>
      </c>
    </row>
    <row r="1693" spans="1:8" x14ac:dyDescent="0.3">
      <c r="A1693" s="1" t="s">
        <v>351</v>
      </c>
      <c r="B1693" s="1" t="s">
        <v>352</v>
      </c>
      <c r="C1693" s="1">
        <v>2017</v>
      </c>
      <c r="D1693" s="1">
        <v>12339</v>
      </c>
      <c r="E1693" s="1">
        <v>126</v>
      </c>
      <c r="F1693" s="1">
        <v>14</v>
      </c>
      <c r="G1693" s="1">
        <v>117409</v>
      </c>
      <c r="H1693" s="1" t="s">
        <v>70</v>
      </c>
    </row>
    <row r="1694" spans="1:8" x14ac:dyDescent="0.3">
      <c r="A1694" s="1" t="s">
        <v>353</v>
      </c>
      <c r="B1694" s="1" t="s">
        <v>354</v>
      </c>
      <c r="C1694" s="1">
        <v>2017</v>
      </c>
      <c r="D1694" s="1">
        <v>12190</v>
      </c>
      <c r="E1694" s="1">
        <v>87</v>
      </c>
      <c r="F1694" s="1">
        <v>56</v>
      </c>
      <c r="G1694" s="1">
        <v>368967</v>
      </c>
      <c r="H1694" s="1" t="s">
        <v>70</v>
      </c>
    </row>
    <row r="1695" spans="1:8" x14ac:dyDescent="0.3">
      <c r="A1695" s="1" t="s">
        <v>355</v>
      </c>
      <c r="B1695" s="1" t="s">
        <v>356</v>
      </c>
      <c r="C1695" s="1">
        <v>2017</v>
      </c>
      <c r="D1695" s="1">
        <v>30935</v>
      </c>
      <c r="E1695" s="1">
        <v>313</v>
      </c>
      <c r="F1695" s="1">
        <v>301</v>
      </c>
      <c r="G1695" s="1">
        <v>1878817</v>
      </c>
      <c r="H1695" s="1" t="s">
        <v>70</v>
      </c>
    </row>
    <row r="1696" spans="1:8" x14ac:dyDescent="0.3">
      <c r="A1696" s="1" t="s">
        <v>357</v>
      </c>
      <c r="B1696" s="1" t="s">
        <v>358</v>
      </c>
      <c r="C1696" s="1">
        <v>2017</v>
      </c>
      <c r="D1696" s="1">
        <v>19267</v>
      </c>
      <c r="E1696" s="1">
        <v>167</v>
      </c>
      <c r="F1696" s="1">
        <v>234</v>
      </c>
      <c r="G1696" s="1">
        <v>1915471</v>
      </c>
      <c r="H1696" s="1" t="s">
        <v>70</v>
      </c>
    </row>
    <row r="1697" spans="1:8" x14ac:dyDescent="0.3">
      <c r="A1697" s="1" t="s">
        <v>359</v>
      </c>
      <c r="B1697" s="1" t="s">
        <v>360</v>
      </c>
      <c r="C1697" s="1">
        <v>2017</v>
      </c>
      <c r="D1697" s="1">
        <v>51177</v>
      </c>
      <c r="E1697" s="1">
        <v>431</v>
      </c>
      <c r="F1697" s="1">
        <v>851</v>
      </c>
      <c r="G1697" s="1">
        <v>6380737</v>
      </c>
      <c r="H1697" s="1" t="s">
        <v>70</v>
      </c>
    </row>
    <row r="1698" spans="1:8" x14ac:dyDescent="0.3">
      <c r="A1698" s="1" t="s">
        <v>361</v>
      </c>
      <c r="B1698" s="1" t="s">
        <v>362</v>
      </c>
      <c r="C1698" s="1">
        <v>2017</v>
      </c>
      <c r="D1698" s="1">
        <v>83709</v>
      </c>
      <c r="E1698" s="1">
        <v>758</v>
      </c>
      <c r="F1698" s="1">
        <v>919</v>
      </c>
      <c r="G1698" s="1">
        <v>8487895</v>
      </c>
      <c r="H1698" s="1" t="s">
        <v>70</v>
      </c>
    </row>
    <row r="1699" spans="1:8" x14ac:dyDescent="0.3">
      <c r="A1699" s="1" t="s">
        <v>363</v>
      </c>
      <c r="B1699" s="1" t="s">
        <v>364</v>
      </c>
      <c r="C1699" s="1">
        <v>2017</v>
      </c>
      <c r="D1699" s="1">
        <v>32784</v>
      </c>
      <c r="E1699" s="1">
        <v>597</v>
      </c>
      <c r="F1699" s="1">
        <v>694</v>
      </c>
      <c r="G1699" s="1">
        <v>2738782</v>
      </c>
      <c r="H1699" s="1" t="s">
        <v>70</v>
      </c>
    </row>
    <row r="1700" spans="1:8" x14ac:dyDescent="0.3">
      <c r="A1700" s="1" t="s">
        <v>365</v>
      </c>
      <c r="B1700" s="1" t="s">
        <v>366</v>
      </c>
      <c r="C1700" s="1">
        <v>2017</v>
      </c>
      <c r="D1700" s="1">
        <v>952686</v>
      </c>
      <c r="E1700" s="1">
        <v>20331</v>
      </c>
      <c r="F1700" s="1">
        <v>23289</v>
      </c>
      <c r="G1700" s="1">
        <v>31904159</v>
      </c>
      <c r="H1700" s="1" t="s">
        <v>70</v>
      </c>
    </row>
    <row r="1701" spans="1:8" x14ac:dyDescent="0.3">
      <c r="A1701" s="1" t="s">
        <v>367</v>
      </c>
      <c r="B1701" s="1" t="s">
        <v>242</v>
      </c>
      <c r="C1701" s="1">
        <v>2017</v>
      </c>
      <c r="D1701" s="1">
        <v>32653</v>
      </c>
      <c r="E1701" s="1">
        <v>216</v>
      </c>
      <c r="F1701" s="1">
        <v>458</v>
      </c>
      <c r="G1701" s="1">
        <v>1723054</v>
      </c>
      <c r="H1701" s="1" t="s">
        <v>70</v>
      </c>
    </row>
    <row r="1702" spans="1:8" x14ac:dyDescent="0.3">
      <c r="A1702" s="1" t="s">
        <v>368</v>
      </c>
      <c r="B1702" s="1" t="s">
        <v>369</v>
      </c>
      <c r="C1702" s="1">
        <v>2017</v>
      </c>
      <c r="D1702" s="1">
        <v>17187</v>
      </c>
      <c r="E1702" s="1">
        <v>29</v>
      </c>
      <c r="F1702" s="1">
        <v>122</v>
      </c>
      <c r="G1702" s="1">
        <v>682218</v>
      </c>
      <c r="H1702" s="1" t="s">
        <v>70</v>
      </c>
    </row>
    <row r="1703" spans="1:8" x14ac:dyDescent="0.3">
      <c r="A1703" s="1" t="s">
        <v>370</v>
      </c>
      <c r="B1703" s="1" t="s">
        <v>371</v>
      </c>
      <c r="C1703" s="1">
        <v>2017</v>
      </c>
      <c r="D1703" s="1">
        <v>36134</v>
      </c>
      <c r="E1703" s="1">
        <v>82</v>
      </c>
      <c r="F1703" s="1">
        <v>279</v>
      </c>
      <c r="G1703" s="1">
        <v>2147547</v>
      </c>
      <c r="H1703" s="1" t="s">
        <v>70</v>
      </c>
    </row>
    <row r="1704" spans="1:8" x14ac:dyDescent="0.3">
      <c r="A1704" s="1" t="s">
        <v>372</v>
      </c>
      <c r="B1704" s="1" t="s">
        <v>373</v>
      </c>
      <c r="C1704" s="1">
        <v>2017</v>
      </c>
      <c r="D1704" s="1">
        <v>22921</v>
      </c>
      <c r="E1704" s="1">
        <v>84</v>
      </c>
      <c r="F1704" s="1">
        <v>221</v>
      </c>
      <c r="G1704" s="1">
        <v>962515</v>
      </c>
      <c r="H1704" s="1" t="s">
        <v>70</v>
      </c>
    </row>
    <row r="1705" spans="1:8" x14ac:dyDescent="0.3">
      <c r="A1705" s="1" t="s">
        <v>374</v>
      </c>
      <c r="B1705" s="1" t="s">
        <v>375</v>
      </c>
      <c r="C1705" s="1">
        <v>2017</v>
      </c>
      <c r="D1705" s="1">
        <v>21175</v>
      </c>
      <c r="E1705" s="1">
        <v>89</v>
      </c>
      <c r="F1705" s="1">
        <v>111</v>
      </c>
      <c r="G1705" s="1">
        <v>673319</v>
      </c>
      <c r="H1705" s="1" t="s">
        <v>70</v>
      </c>
    </row>
    <row r="1706" spans="1:8" x14ac:dyDescent="0.3">
      <c r="A1706" s="1" t="s">
        <v>376</v>
      </c>
      <c r="B1706" s="1" t="s">
        <v>377</v>
      </c>
      <c r="C1706" s="1">
        <v>2017</v>
      </c>
      <c r="D1706" s="1">
        <v>15321</v>
      </c>
      <c r="E1706" s="1">
        <v>170</v>
      </c>
      <c r="F1706" s="1">
        <v>152</v>
      </c>
      <c r="G1706" s="1">
        <v>586363</v>
      </c>
      <c r="H1706" s="1" t="s">
        <v>70</v>
      </c>
    </row>
    <row r="1707" spans="1:8" x14ac:dyDescent="0.3">
      <c r="A1707" s="1" t="s">
        <v>378</v>
      </c>
      <c r="B1707" s="1" t="s">
        <v>379</v>
      </c>
      <c r="C1707" s="1">
        <v>2017</v>
      </c>
      <c r="D1707" s="1">
        <v>48937</v>
      </c>
      <c r="E1707" s="1">
        <v>189</v>
      </c>
      <c r="F1707" s="1">
        <v>448</v>
      </c>
      <c r="G1707" s="1">
        <v>1688142</v>
      </c>
      <c r="H1707" s="1" t="s">
        <v>70</v>
      </c>
    </row>
    <row r="1708" spans="1:8" x14ac:dyDescent="0.3">
      <c r="A1708" s="1" t="s">
        <v>380</v>
      </c>
      <c r="B1708" s="1" t="s">
        <v>381</v>
      </c>
      <c r="C1708" s="1">
        <v>2017</v>
      </c>
      <c r="D1708" s="1">
        <v>21026</v>
      </c>
      <c r="E1708" s="1">
        <v>134</v>
      </c>
      <c r="F1708" s="1">
        <v>36</v>
      </c>
      <c r="G1708" s="1">
        <v>450395</v>
      </c>
      <c r="H1708" s="1" t="s">
        <v>70</v>
      </c>
    </row>
    <row r="1709" spans="1:8" x14ac:dyDescent="0.3">
      <c r="A1709" s="1" t="s">
        <v>382</v>
      </c>
      <c r="B1709" s="1" t="s">
        <v>140</v>
      </c>
      <c r="C1709" s="1">
        <v>2017</v>
      </c>
      <c r="D1709" s="1">
        <v>39312</v>
      </c>
      <c r="E1709" s="1">
        <v>261</v>
      </c>
      <c r="F1709" s="1">
        <v>155</v>
      </c>
      <c r="G1709" s="1">
        <v>699651</v>
      </c>
      <c r="H1709" s="1" t="s">
        <v>70</v>
      </c>
    </row>
    <row r="1710" spans="1:8" x14ac:dyDescent="0.3">
      <c r="A1710" s="1" t="s">
        <v>383</v>
      </c>
      <c r="B1710" s="1" t="s">
        <v>384</v>
      </c>
      <c r="C1710" s="1">
        <v>2017</v>
      </c>
      <c r="D1710" s="1">
        <v>20297</v>
      </c>
      <c r="E1710" s="1">
        <v>48</v>
      </c>
      <c r="F1710" s="1">
        <v>128</v>
      </c>
      <c r="G1710" s="1">
        <v>1393964</v>
      </c>
      <c r="H1710" s="1" t="s">
        <v>70</v>
      </c>
    </row>
    <row r="1711" spans="1:8" x14ac:dyDescent="0.3">
      <c r="A1711" s="1" t="s">
        <v>385</v>
      </c>
      <c r="B1711" s="1" t="s">
        <v>386</v>
      </c>
      <c r="C1711" s="1">
        <v>2017</v>
      </c>
      <c r="D1711" s="1">
        <v>24321</v>
      </c>
      <c r="E1711" s="1">
        <v>83</v>
      </c>
      <c r="F1711" s="1">
        <v>130</v>
      </c>
      <c r="G1711" s="1">
        <v>1225699</v>
      </c>
      <c r="H1711" s="1" t="s">
        <v>70</v>
      </c>
    </row>
    <row r="1712" spans="1:8" x14ac:dyDescent="0.3">
      <c r="A1712" s="1" t="s">
        <v>387</v>
      </c>
      <c r="B1712" s="1" t="s">
        <v>388</v>
      </c>
      <c r="C1712" s="1">
        <v>2017</v>
      </c>
      <c r="D1712" s="1">
        <v>55949</v>
      </c>
      <c r="E1712" s="1">
        <v>616</v>
      </c>
      <c r="F1712" s="1">
        <v>1025</v>
      </c>
      <c r="G1712" s="1">
        <v>1985638</v>
      </c>
      <c r="H1712" s="1" t="s">
        <v>70</v>
      </c>
    </row>
    <row r="1713" spans="1:8" x14ac:dyDescent="0.3">
      <c r="A1713" s="1" t="s">
        <v>389</v>
      </c>
      <c r="B1713" s="1" t="s">
        <v>390</v>
      </c>
      <c r="C1713" s="1">
        <v>2017</v>
      </c>
      <c r="D1713" s="1">
        <v>6860</v>
      </c>
      <c r="E1713" s="1">
        <v>60</v>
      </c>
      <c r="F1713" s="1">
        <v>72</v>
      </c>
      <c r="G1713" s="1">
        <v>880962</v>
      </c>
      <c r="H1713" s="1" t="s">
        <v>70</v>
      </c>
    </row>
    <row r="1714" spans="1:8" x14ac:dyDescent="0.3">
      <c r="A1714" s="1" t="s">
        <v>391</v>
      </c>
      <c r="B1714" s="1" t="s">
        <v>392</v>
      </c>
      <c r="C1714" s="1">
        <v>2017</v>
      </c>
      <c r="D1714" s="1">
        <v>18633</v>
      </c>
      <c r="E1714" s="1">
        <v>136</v>
      </c>
      <c r="F1714" s="1">
        <v>25</v>
      </c>
      <c r="G1714" s="1">
        <v>96502</v>
      </c>
      <c r="H1714" s="1" t="s">
        <v>70</v>
      </c>
    </row>
    <row r="1715" spans="1:8" x14ac:dyDescent="0.3">
      <c r="A1715" s="1" t="s">
        <v>393</v>
      </c>
      <c r="B1715" s="1" t="s">
        <v>394</v>
      </c>
      <c r="C1715" s="1">
        <v>2017</v>
      </c>
      <c r="D1715" s="1">
        <v>38070</v>
      </c>
      <c r="E1715" s="1">
        <v>429</v>
      </c>
      <c r="F1715" s="1">
        <v>145</v>
      </c>
      <c r="G1715" s="1">
        <v>1357043</v>
      </c>
      <c r="H1715" s="1" t="s">
        <v>70</v>
      </c>
    </row>
    <row r="1716" spans="1:8" x14ac:dyDescent="0.3">
      <c r="A1716" s="1" t="s">
        <v>395</v>
      </c>
      <c r="B1716" s="1" t="s">
        <v>396</v>
      </c>
      <c r="C1716" s="1">
        <v>2017</v>
      </c>
      <c r="D1716" s="1">
        <v>35864</v>
      </c>
      <c r="E1716" s="1">
        <v>342</v>
      </c>
      <c r="F1716" s="1">
        <v>257</v>
      </c>
      <c r="G1716" s="1">
        <v>1768928</v>
      </c>
      <c r="H1716" s="1" t="s">
        <v>70</v>
      </c>
    </row>
    <row r="1717" spans="1:8" x14ac:dyDescent="0.3">
      <c r="A1717" s="1" t="s">
        <v>397</v>
      </c>
      <c r="B1717" s="1" t="s">
        <v>398</v>
      </c>
      <c r="C1717" s="1">
        <v>2017</v>
      </c>
      <c r="D1717" s="1">
        <v>33489</v>
      </c>
      <c r="E1717" s="1">
        <v>216</v>
      </c>
      <c r="F1717" s="1">
        <v>77</v>
      </c>
      <c r="G1717" s="1">
        <v>1780921</v>
      </c>
      <c r="H1717" s="1" t="s">
        <v>70</v>
      </c>
    </row>
    <row r="1718" spans="1:8" x14ac:dyDescent="0.3">
      <c r="A1718" s="1" t="s">
        <v>399</v>
      </c>
      <c r="B1718" s="1" t="s">
        <v>400</v>
      </c>
      <c r="C1718" s="1">
        <v>2017</v>
      </c>
      <c r="D1718" s="1">
        <v>16952</v>
      </c>
      <c r="E1718" s="1">
        <v>250</v>
      </c>
      <c r="F1718" s="1">
        <v>16</v>
      </c>
      <c r="G1718" s="1">
        <v>222883</v>
      </c>
      <c r="H1718" s="1" t="s">
        <v>70</v>
      </c>
    </row>
    <row r="1719" spans="1:8" x14ac:dyDescent="0.3">
      <c r="A1719" s="1" t="s">
        <v>401</v>
      </c>
      <c r="B1719" s="1" t="s">
        <v>167</v>
      </c>
      <c r="C1719" s="1">
        <v>2017</v>
      </c>
      <c r="D1719" s="1">
        <v>31741</v>
      </c>
      <c r="E1719" s="1">
        <v>271</v>
      </c>
      <c r="F1719" s="1">
        <v>40</v>
      </c>
      <c r="G1719" s="1">
        <v>204984</v>
      </c>
      <c r="H1719" s="1" t="s">
        <v>70</v>
      </c>
    </row>
    <row r="1720" spans="1:8" x14ac:dyDescent="0.3">
      <c r="A1720" s="1" t="s">
        <v>402</v>
      </c>
      <c r="B1720" s="1" t="s">
        <v>403</v>
      </c>
      <c r="C1720" s="1">
        <v>2017</v>
      </c>
      <c r="D1720" s="1">
        <v>19818</v>
      </c>
      <c r="E1720" s="1">
        <v>128</v>
      </c>
      <c r="F1720" s="1">
        <v>53</v>
      </c>
      <c r="G1720" s="1">
        <v>660044</v>
      </c>
      <c r="H1720" s="1" t="s">
        <v>70</v>
      </c>
    </row>
    <row r="1721" spans="1:8" x14ac:dyDescent="0.3">
      <c r="A1721" s="1" t="s">
        <v>404</v>
      </c>
      <c r="B1721" s="1" t="s">
        <v>405</v>
      </c>
      <c r="C1721" s="1">
        <v>2017</v>
      </c>
      <c r="D1721" s="1">
        <v>16823</v>
      </c>
      <c r="E1721" s="1">
        <v>144</v>
      </c>
      <c r="F1721" s="1">
        <v>32</v>
      </c>
      <c r="G1721" s="1">
        <v>428271</v>
      </c>
      <c r="H1721" s="1" t="s">
        <v>70</v>
      </c>
    </row>
    <row r="1722" spans="1:8" x14ac:dyDescent="0.3">
      <c r="A1722" s="1" t="s">
        <v>406</v>
      </c>
      <c r="B1722" s="1" t="s">
        <v>407</v>
      </c>
      <c r="C1722" s="1">
        <v>2017</v>
      </c>
      <c r="D1722" s="1">
        <v>23634</v>
      </c>
      <c r="E1722" s="1">
        <v>245</v>
      </c>
      <c r="F1722" s="1">
        <v>103</v>
      </c>
      <c r="G1722" s="1">
        <v>357630</v>
      </c>
      <c r="H1722" s="1" t="s">
        <v>70</v>
      </c>
    </row>
    <row r="1723" spans="1:8" x14ac:dyDescent="0.3">
      <c r="A1723" s="1" t="s">
        <v>408</v>
      </c>
      <c r="B1723" s="1" t="s">
        <v>409</v>
      </c>
      <c r="C1723" s="1">
        <v>2017</v>
      </c>
      <c r="D1723" s="1">
        <v>41484</v>
      </c>
      <c r="E1723" s="1">
        <v>520</v>
      </c>
      <c r="F1723" s="1">
        <v>201</v>
      </c>
      <c r="G1723" s="1">
        <v>807622</v>
      </c>
      <c r="H1723" s="1" t="s">
        <v>70</v>
      </c>
    </row>
    <row r="1724" spans="1:8" x14ac:dyDescent="0.3">
      <c r="A1724" s="1" t="s">
        <v>410</v>
      </c>
      <c r="B1724" s="1" t="s">
        <v>411</v>
      </c>
      <c r="C1724" s="1">
        <v>2017</v>
      </c>
      <c r="D1724" s="1">
        <v>19877</v>
      </c>
      <c r="E1724" s="1">
        <v>128</v>
      </c>
      <c r="F1724" s="1">
        <v>35</v>
      </c>
      <c r="G1724" s="1">
        <v>356330</v>
      </c>
      <c r="H1724" s="1" t="s">
        <v>70</v>
      </c>
    </row>
    <row r="1725" spans="1:8" x14ac:dyDescent="0.3">
      <c r="A1725" s="1" t="s">
        <v>412</v>
      </c>
      <c r="B1725" s="1" t="s">
        <v>413</v>
      </c>
      <c r="C1725" s="1">
        <v>2017</v>
      </c>
      <c r="D1725" s="1">
        <v>20474</v>
      </c>
      <c r="E1725" s="1">
        <v>232</v>
      </c>
      <c r="F1725" s="1">
        <v>34</v>
      </c>
      <c r="G1725" s="1">
        <v>122194</v>
      </c>
      <c r="H1725" s="1" t="s">
        <v>70</v>
      </c>
    </row>
    <row r="1726" spans="1:8" x14ac:dyDescent="0.3">
      <c r="A1726" s="1" t="s">
        <v>414</v>
      </c>
      <c r="B1726" s="1" t="s">
        <v>415</v>
      </c>
      <c r="C1726" s="1">
        <v>2017</v>
      </c>
      <c r="D1726" s="1">
        <v>23721</v>
      </c>
      <c r="E1726" s="1">
        <v>220</v>
      </c>
      <c r="F1726" s="1">
        <v>27</v>
      </c>
      <c r="G1726" s="1">
        <v>337725</v>
      </c>
      <c r="H1726" s="1" t="s">
        <v>70</v>
      </c>
    </row>
    <row r="1727" spans="1:8" x14ac:dyDescent="0.3">
      <c r="A1727" s="1" t="s">
        <v>416</v>
      </c>
      <c r="B1727" s="1" t="s">
        <v>417</v>
      </c>
      <c r="C1727" s="1">
        <v>2017</v>
      </c>
      <c r="D1727" s="1">
        <v>20611</v>
      </c>
      <c r="E1727" s="1">
        <v>281</v>
      </c>
      <c r="F1727" s="1">
        <v>65</v>
      </c>
      <c r="G1727" s="1">
        <v>172699</v>
      </c>
      <c r="H1727" s="1" t="s">
        <v>70</v>
      </c>
    </row>
    <row r="1728" spans="1:8" x14ac:dyDescent="0.3">
      <c r="A1728" s="1" t="s">
        <v>418</v>
      </c>
      <c r="B1728" s="1" t="s">
        <v>419</v>
      </c>
      <c r="C1728" s="1">
        <v>2017</v>
      </c>
      <c r="D1728" s="1">
        <v>49048</v>
      </c>
      <c r="E1728" s="1">
        <v>734</v>
      </c>
      <c r="F1728" s="1">
        <v>152</v>
      </c>
      <c r="G1728" s="1">
        <v>233368</v>
      </c>
      <c r="H1728" s="1" t="s">
        <v>70</v>
      </c>
    </row>
    <row r="1729" spans="1:8" x14ac:dyDescent="0.3">
      <c r="A1729" s="1" t="s">
        <v>420</v>
      </c>
      <c r="B1729" s="1" t="s">
        <v>421</v>
      </c>
      <c r="C1729" s="1">
        <v>2017</v>
      </c>
      <c r="D1729" s="1">
        <v>28930</v>
      </c>
      <c r="E1729" s="1">
        <v>201</v>
      </c>
      <c r="F1729" s="1">
        <v>98</v>
      </c>
      <c r="G1729" s="1">
        <v>1477764</v>
      </c>
      <c r="H1729" s="1" t="s">
        <v>70</v>
      </c>
    </row>
    <row r="1730" spans="1:8" x14ac:dyDescent="0.3">
      <c r="A1730" s="1" t="s">
        <v>422</v>
      </c>
      <c r="B1730" s="1" t="s">
        <v>423</v>
      </c>
      <c r="C1730" s="1">
        <v>2017</v>
      </c>
      <c r="D1730" s="1">
        <v>36160</v>
      </c>
      <c r="E1730" s="1">
        <v>262</v>
      </c>
      <c r="F1730" s="1">
        <v>385</v>
      </c>
      <c r="G1730" s="1">
        <v>642721</v>
      </c>
      <c r="H1730" s="1" t="s">
        <v>70</v>
      </c>
    </row>
    <row r="1731" spans="1:8" x14ac:dyDescent="0.3">
      <c r="A1731" s="1" t="s">
        <v>424</v>
      </c>
      <c r="B1731" s="1" t="s">
        <v>425</v>
      </c>
      <c r="C1731" s="1">
        <v>2017</v>
      </c>
      <c r="D1731" s="1">
        <v>17459</v>
      </c>
      <c r="E1731" s="1">
        <v>127</v>
      </c>
      <c r="F1731" s="1">
        <v>16</v>
      </c>
      <c r="G1731" s="1">
        <v>224447</v>
      </c>
      <c r="H1731" s="1" t="s">
        <v>70</v>
      </c>
    </row>
    <row r="1732" spans="1:8" x14ac:dyDescent="0.3">
      <c r="A1732" s="1" t="s">
        <v>426</v>
      </c>
      <c r="B1732" s="1" t="s">
        <v>427</v>
      </c>
      <c r="C1732" s="1">
        <v>2017</v>
      </c>
      <c r="D1732" s="1">
        <v>15952</v>
      </c>
      <c r="E1732" s="1">
        <v>135</v>
      </c>
      <c r="F1732" s="1">
        <v>46</v>
      </c>
      <c r="G1732" s="1">
        <v>454711</v>
      </c>
      <c r="H1732" s="1" t="s">
        <v>70</v>
      </c>
    </row>
    <row r="1733" spans="1:8" x14ac:dyDescent="0.3">
      <c r="A1733" s="1" t="s">
        <v>428</v>
      </c>
      <c r="B1733" s="1" t="s">
        <v>429</v>
      </c>
      <c r="C1733" s="1">
        <v>2017</v>
      </c>
      <c r="D1733" s="1">
        <v>8007</v>
      </c>
      <c r="E1733" s="1">
        <v>118</v>
      </c>
      <c r="F1733" s="1">
        <v>20</v>
      </c>
      <c r="G1733" s="1">
        <v>302833</v>
      </c>
      <c r="H1733" s="1" t="s">
        <v>70</v>
      </c>
    </row>
    <row r="1734" spans="1:8" x14ac:dyDescent="0.3">
      <c r="A1734" s="1" t="s">
        <v>430</v>
      </c>
      <c r="B1734" s="1" t="s">
        <v>431</v>
      </c>
      <c r="C1734" s="1">
        <v>2017</v>
      </c>
      <c r="D1734" s="1">
        <v>17755</v>
      </c>
      <c r="E1734" s="1">
        <v>188</v>
      </c>
      <c r="F1734" s="1">
        <v>101</v>
      </c>
      <c r="G1734" s="1">
        <v>589556</v>
      </c>
      <c r="H1734" s="1" t="s">
        <v>70</v>
      </c>
    </row>
    <row r="1735" spans="1:8" x14ac:dyDescent="0.3">
      <c r="A1735" s="1" t="s">
        <v>432</v>
      </c>
      <c r="B1735" s="1" t="s">
        <v>433</v>
      </c>
      <c r="C1735" s="1">
        <v>2017</v>
      </c>
      <c r="D1735" s="1">
        <v>24904</v>
      </c>
      <c r="E1735" s="1">
        <v>97</v>
      </c>
      <c r="F1735" s="1">
        <v>207</v>
      </c>
      <c r="G1735" s="1">
        <v>3859532</v>
      </c>
      <c r="H1735" s="1" t="s">
        <v>70</v>
      </c>
    </row>
    <row r="1736" spans="1:8" x14ac:dyDescent="0.3">
      <c r="A1736" s="1" t="s">
        <v>434</v>
      </c>
      <c r="B1736" s="1" t="s">
        <v>435</v>
      </c>
      <c r="C1736" s="1">
        <v>2017</v>
      </c>
      <c r="D1736" s="1">
        <v>79329</v>
      </c>
      <c r="E1736" s="1">
        <v>2599</v>
      </c>
      <c r="F1736" s="1">
        <v>1094</v>
      </c>
      <c r="G1736" s="1">
        <v>4931255</v>
      </c>
      <c r="H1736" s="1" t="s">
        <v>70</v>
      </c>
    </row>
    <row r="1737" spans="1:8" x14ac:dyDescent="0.3">
      <c r="A1737" s="1" t="s">
        <v>436</v>
      </c>
      <c r="B1737" s="1" t="s">
        <v>437</v>
      </c>
      <c r="C1737" s="1">
        <v>2017</v>
      </c>
      <c r="D1737" s="1">
        <v>17543</v>
      </c>
      <c r="E1737" s="1">
        <v>68</v>
      </c>
      <c r="F1737" s="1">
        <v>78</v>
      </c>
      <c r="G1737" s="1">
        <v>1246712</v>
      </c>
      <c r="H1737" s="1" t="s">
        <v>70</v>
      </c>
    </row>
    <row r="1738" spans="1:8" x14ac:dyDescent="0.3">
      <c r="A1738" s="1" t="s">
        <v>438</v>
      </c>
      <c r="B1738" s="1" t="s">
        <v>439</v>
      </c>
      <c r="C1738" s="1">
        <v>2017</v>
      </c>
      <c r="D1738" s="1">
        <v>20015</v>
      </c>
      <c r="E1738" s="1">
        <v>156</v>
      </c>
      <c r="F1738" s="1">
        <v>78</v>
      </c>
      <c r="G1738" s="1">
        <v>516684</v>
      </c>
      <c r="H1738" s="1" t="s">
        <v>70</v>
      </c>
    </row>
    <row r="1739" spans="1:8" x14ac:dyDescent="0.3">
      <c r="A1739" s="1" t="s">
        <v>440</v>
      </c>
      <c r="B1739" s="1" t="s">
        <v>441</v>
      </c>
      <c r="C1739" s="1">
        <v>2017</v>
      </c>
      <c r="D1739" s="1">
        <v>54938</v>
      </c>
      <c r="E1739" s="1">
        <v>927</v>
      </c>
      <c r="F1739" s="1">
        <v>235</v>
      </c>
      <c r="G1739" s="1">
        <v>1931242</v>
      </c>
      <c r="H1739" s="1" t="s">
        <v>70</v>
      </c>
    </row>
    <row r="1740" spans="1:8" x14ac:dyDescent="0.3">
      <c r="A1740" s="1" t="s">
        <v>442</v>
      </c>
      <c r="B1740" s="1" t="s">
        <v>443</v>
      </c>
      <c r="C1740" s="1">
        <v>2017</v>
      </c>
      <c r="D1740" s="1">
        <v>23727</v>
      </c>
      <c r="E1740" s="1">
        <v>96</v>
      </c>
      <c r="F1740" s="1">
        <v>0</v>
      </c>
      <c r="G1740" s="1">
        <v>757539</v>
      </c>
      <c r="H1740" s="1" t="s">
        <v>70</v>
      </c>
    </row>
    <row r="1741" spans="1:8" x14ac:dyDescent="0.3">
      <c r="A1741" s="1" t="s">
        <v>444</v>
      </c>
      <c r="B1741" s="1" t="s">
        <v>445</v>
      </c>
      <c r="C1741" s="1">
        <v>2017</v>
      </c>
      <c r="D1741" s="1">
        <v>15471</v>
      </c>
      <c r="E1741" s="1">
        <v>59</v>
      </c>
      <c r="F1741" s="1">
        <v>63</v>
      </c>
      <c r="G1741" s="1">
        <v>908372</v>
      </c>
      <c r="H1741" s="1" t="s">
        <v>70</v>
      </c>
    </row>
    <row r="1742" spans="1:8" x14ac:dyDescent="0.3">
      <c r="A1742" s="1" t="s">
        <v>446</v>
      </c>
      <c r="B1742" s="1" t="s">
        <v>447</v>
      </c>
      <c r="C1742" s="1">
        <v>2017</v>
      </c>
      <c r="D1742" s="1">
        <v>22009</v>
      </c>
      <c r="E1742" s="1">
        <v>98</v>
      </c>
      <c r="F1742" s="1">
        <v>55</v>
      </c>
      <c r="G1742" s="1">
        <v>1181548</v>
      </c>
      <c r="H1742" s="1" t="s">
        <v>70</v>
      </c>
    </row>
    <row r="1743" spans="1:8" x14ac:dyDescent="0.3">
      <c r="A1743" s="1" t="s">
        <v>448</v>
      </c>
      <c r="B1743" s="1" t="s">
        <v>449</v>
      </c>
      <c r="C1743" s="1">
        <v>2017</v>
      </c>
      <c r="D1743" s="1">
        <v>10805</v>
      </c>
      <c r="E1743" s="1">
        <v>74</v>
      </c>
      <c r="F1743" s="1">
        <v>40</v>
      </c>
      <c r="G1743" s="1">
        <v>368507</v>
      </c>
      <c r="H1743" s="1" t="s">
        <v>70</v>
      </c>
    </row>
    <row r="1744" spans="1:8" x14ac:dyDescent="0.3">
      <c r="A1744" s="1" t="s">
        <v>450</v>
      </c>
      <c r="B1744" s="1" t="s">
        <v>451</v>
      </c>
      <c r="C1744" s="1">
        <v>2017</v>
      </c>
      <c r="D1744" s="1">
        <v>15092</v>
      </c>
      <c r="E1744" s="1">
        <v>148</v>
      </c>
      <c r="F1744" s="1">
        <v>4</v>
      </c>
      <c r="G1744" s="1">
        <v>121328</v>
      </c>
      <c r="H1744" s="1" t="s">
        <v>70</v>
      </c>
    </row>
    <row r="1745" spans="1:8" x14ac:dyDescent="0.3">
      <c r="A1745" s="1" t="s">
        <v>452</v>
      </c>
      <c r="B1745" s="1" t="s">
        <v>453</v>
      </c>
      <c r="C1745" s="1">
        <v>2017</v>
      </c>
      <c r="D1745" s="1">
        <v>13643</v>
      </c>
      <c r="E1745" s="1">
        <v>77</v>
      </c>
      <c r="F1745" s="1">
        <v>27</v>
      </c>
      <c r="G1745" s="1">
        <v>435454</v>
      </c>
      <c r="H1745" s="1" t="s">
        <v>70</v>
      </c>
    </row>
    <row r="1746" spans="1:8" x14ac:dyDescent="0.3">
      <c r="A1746" s="1" t="s">
        <v>454</v>
      </c>
      <c r="B1746" s="1" t="s">
        <v>455</v>
      </c>
      <c r="C1746" s="1">
        <v>2017</v>
      </c>
      <c r="D1746" s="1">
        <v>7124</v>
      </c>
      <c r="E1746" s="1">
        <v>41</v>
      </c>
      <c r="F1746" s="1">
        <v>24</v>
      </c>
      <c r="G1746" s="1">
        <v>197329</v>
      </c>
      <c r="H1746" s="1" t="s">
        <v>70</v>
      </c>
    </row>
    <row r="1747" spans="1:8" x14ac:dyDescent="0.3">
      <c r="A1747" s="1" t="s">
        <v>456</v>
      </c>
      <c r="B1747" s="1" t="s">
        <v>457</v>
      </c>
      <c r="C1747" s="1">
        <v>2017</v>
      </c>
      <c r="D1747" s="1">
        <v>18149</v>
      </c>
      <c r="E1747" s="1">
        <v>91</v>
      </c>
      <c r="F1747" s="1">
        <v>5</v>
      </c>
      <c r="G1747" s="1">
        <v>214667</v>
      </c>
      <c r="H1747" s="1" t="s">
        <v>70</v>
      </c>
    </row>
    <row r="1748" spans="1:8" x14ac:dyDescent="0.3">
      <c r="A1748" s="1" t="s">
        <v>458</v>
      </c>
      <c r="B1748" s="1" t="s">
        <v>459</v>
      </c>
      <c r="C1748" s="1">
        <v>2017</v>
      </c>
      <c r="D1748" s="1">
        <v>25588</v>
      </c>
      <c r="E1748" s="1">
        <v>143</v>
      </c>
      <c r="F1748" s="1">
        <v>65</v>
      </c>
      <c r="G1748" s="1">
        <v>969914</v>
      </c>
      <c r="H1748" s="1" t="s">
        <v>70</v>
      </c>
    </row>
    <row r="1749" spans="1:8" x14ac:dyDescent="0.3">
      <c r="A1749" s="1" t="s">
        <v>460</v>
      </c>
      <c r="B1749" s="1" t="s">
        <v>461</v>
      </c>
      <c r="C1749" s="1">
        <v>2017</v>
      </c>
      <c r="D1749" s="1">
        <v>11282</v>
      </c>
      <c r="E1749" s="1">
        <v>109</v>
      </c>
      <c r="F1749" s="1">
        <v>17</v>
      </c>
      <c r="G1749" s="1">
        <v>267108</v>
      </c>
      <c r="H1749" s="1" t="s">
        <v>70</v>
      </c>
    </row>
    <row r="1750" spans="1:8" x14ac:dyDescent="0.3">
      <c r="A1750" s="1" t="s">
        <v>462</v>
      </c>
      <c r="B1750" s="1" t="s">
        <v>463</v>
      </c>
      <c r="C1750" s="1">
        <v>2017</v>
      </c>
      <c r="D1750" s="1">
        <v>17976</v>
      </c>
      <c r="E1750" s="1">
        <v>142</v>
      </c>
      <c r="F1750" s="1">
        <v>28</v>
      </c>
      <c r="G1750" s="1">
        <v>258340</v>
      </c>
      <c r="H1750" s="1" t="s">
        <v>70</v>
      </c>
    </row>
    <row r="1751" spans="1:8" x14ac:dyDescent="0.3">
      <c r="A1751" s="1" t="s">
        <v>464</v>
      </c>
      <c r="B1751" s="1" t="s">
        <v>465</v>
      </c>
      <c r="C1751" s="1">
        <v>2017</v>
      </c>
      <c r="D1751" s="1">
        <v>14449</v>
      </c>
      <c r="E1751" s="1">
        <v>69</v>
      </c>
      <c r="F1751" s="1">
        <v>81</v>
      </c>
      <c r="G1751" s="1">
        <v>523974</v>
      </c>
      <c r="H1751" s="1" t="s">
        <v>70</v>
      </c>
    </row>
    <row r="1752" spans="1:8" x14ac:dyDescent="0.3">
      <c r="A1752" s="1" t="s">
        <v>466</v>
      </c>
      <c r="B1752" s="1" t="s">
        <v>467</v>
      </c>
      <c r="C1752" s="1">
        <v>2017</v>
      </c>
      <c r="D1752" s="1">
        <v>130092</v>
      </c>
      <c r="E1752" s="1">
        <v>2033</v>
      </c>
      <c r="F1752" s="1">
        <v>3146</v>
      </c>
      <c r="G1752" s="1">
        <v>12676936</v>
      </c>
      <c r="H1752" s="1" t="s">
        <v>70</v>
      </c>
    </row>
    <row r="1753" spans="1:8" x14ac:dyDescent="0.3">
      <c r="A1753" s="1" t="s">
        <v>468</v>
      </c>
      <c r="B1753" s="1" t="s">
        <v>469</v>
      </c>
      <c r="C1753" s="1">
        <v>2017</v>
      </c>
      <c r="D1753" s="1">
        <v>23649</v>
      </c>
      <c r="E1753" s="1">
        <v>270</v>
      </c>
      <c r="F1753" s="1">
        <v>307</v>
      </c>
      <c r="G1753" s="1">
        <v>1982339</v>
      </c>
      <c r="H1753" s="1" t="s">
        <v>70</v>
      </c>
    </row>
    <row r="1754" spans="1:8" x14ac:dyDescent="0.3">
      <c r="A1754" s="1" t="s">
        <v>470</v>
      </c>
      <c r="B1754" s="1" t="s">
        <v>471</v>
      </c>
      <c r="C1754" s="1">
        <v>2017</v>
      </c>
      <c r="D1754" s="1">
        <v>25972</v>
      </c>
      <c r="E1754" s="1">
        <v>490</v>
      </c>
      <c r="F1754" s="1">
        <v>511</v>
      </c>
      <c r="G1754" s="1">
        <v>2395971</v>
      </c>
      <c r="H1754" s="1" t="s">
        <v>70</v>
      </c>
    </row>
    <row r="1755" spans="1:8" x14ac:dyDescent="0.3">
      <c r="A1755" s="1" t="s">
        <v>472</v>
      </c>
      <c r="B1755" s="1" t="s">
        <v>473</v>
      </c>
      <c r="C1755" s="1">
        <v>2017</v>
      </c>
      <c r="D1755" s="1">
        <v>22728</v>
      </c>
      <c r="E1755" s="1">
        <v>168</v>
      </c>
      <c r="F1755" s="1">
        <v>225</v>
      </c>
      <c r="G1755" s="1">
        <v>815181</v>
      </c>
      <c r="H1755" s="1" t="s">
        <v>70</v>
      </c>
    </row>
    <row r="1756" spans="1:8" x14ac:dyDescent="0.3">
      <c r="A1756" s="1" t="s">
        <v>474</v>
      </c>
      <c r="B1756" s="1" t="s">
        <v>475</v>
      </c>
      <c r="C1756" s="1">
        <v>2017</v>
      </c>
      <c r="D1756" s="1">
        <v>29445</v>
      </c>
      <c r="E1756" s="1">
        <v>518</v>
      </c>
      <c r="F1756" s="1">
        <v>286</v>
      </c>
      <c r="G1756" s="1">
        <v>2209702</v>
      </c>
      <c r="H1756" s="1" t="s">
        <v>70</v>
      </c>
    </row>
    <row r="1757" spans="1:8" x14ac:dyDescent="0.3">
      <c r="A1757" s="1" t="s">
        <v>476</v>
      </c>
      <c r="B1757" s="1" t="s">
        <v>477</v>
      </c>
      <c r="C1757" s="1">
        <v>2017</v>
      </c>
      <c r="D1757" s="1">
        <v>17981</v>
      </c>
      <c r="E1757" s="1">
        <v>101</v>
      </c>
      <c r="F1757" s="1">
        <v>174</v>
      </c>
      <c r="G1757" s="1">
        <v>1957665</v>
      </c>
      <c r="H1757" s="1" t="s">
        <v>70</v>
      </c>
    </row>
    <row r="1758" spans="1:8" x14ac:dyDescent="0.3">
      <c r="A1758" s="1" t="s">
        <v>478</v>
      </c>
      <c r="B1758" s="1" t="s">
        <v>479</v>
      </c>
      <c r="C1758" s="1">
        <v>2017</v>
      </c>
      <c r="D1758" s="1">
        <v>37876</v>
      </c>
      <c r="E1758" s="1">
        <v>1303</v>
      </c>
      <c r="F1758" s="1">
        <v>843</v>
      </c>
      <c r="G1758" s="1">
        <v>1714517</v>
      </c>
      <c r="H1758" s="1" t="s">
        <v>70</v>
      </c>
    </row>
    <row r="1759" spans="1:8" x14ac:dyDescent="0.3">
      <c r="A1759" s="1" t="s">
        <v>480</v>
      </c>
      <c r="B1759" s="1" t="s">
        <v>481</v>
      </c>
      <c r="C1759" s="1">
        <v>2017</v>
      </c>
      <c r="D1759" s="1">
        <v>35891</v>
      </c>
      <c r="E1759" s="1">
        <v>1061</v>
      </c>
      <c r="F1759" s="1">
        <v>530</v>
      </c>
      <c r="G1759" s="1">
        <v>2181573</v>
      </c>
      <c r="H1759" s="1" t="s">
        <v>70</v>
      </c>
    </row>
    <row r="1760" spans="1:8" x14ac:dyDescent="0.3">
      <c r="A1760" s="1" t="s">
        <v>482</v>
      </c>
      <c r="B1760" s="1" t="s">
        <v>483</v>
      </c>
      <c r="C1760" s="1">
        <v>2017</v>
      </c>
      <c r="D1760" s="1">
        <v>21413</v>
      </c>
      <c r="E1760" s="1">
        <v>278</v>
      </c>
      <c r="F1760" s="1">
        <v>144</v>
      </c>
      <c r="G1760" s="1">
        <v>1881871</v>
      </c>
      <c r="H1760" s="1" t="s">
        <v>70</v>
      </c>
    </row>
    <row r="1761" spans="1:8" x14ac:dyDescent="0.3">
      <c r="A1761" s="1" t="s">
        <v>484</v>
      </c>
      <c r="B1761" s="1" t="s">
        <v>485</v>
      </c>
      <c r="C1761" s="1">
        <v>2017</v>
      </c>
      <c r="D1761" s="1">
        <v>25883</v>
      </c>
      <c r="E1761" s="1">
        <v>97</v>
      </c>
      <c r="F1761" s="1">
        <v>226</v>
      </c>
      <c r="G1761" s="1">
        <v>1503647</v>
      </c>
      <c r="H1761" s="1" t="s">
        <v>70</v>
      </c>
    </row>
    <row r="1762" spans="1:8" x14ac:dyDescent="0.3">
      <c r="A1762" s="1" t="s">
        <v>486</v>
      </c>
      <c r="B1762" s="1" t="s">
        <v>487</v>
      </c>
      <c r="C1762" s="1">
        <v>2017</v>
      </c>
      <c r="D1762" s="1">
        <v>22068</v>
      </c>
      <c r="E1762" s="1">
        <v>182</v>
      </c>
      <c r="F1762" s="1">
        <v>374</v>
      </c>
      <c r="G1762" s="1">
        <v>1145051</v>
      </c>
      <c r="H1762" s="1" t="s">
        <v>70</v>
      </c>
    </row>
    <row r="1763" spans="1:8" x14ac:dyDescent="0.3">
      <c r="A1763" s="1" t="s">
        <v>488</v>
      </c>
      <c r="B1763" s="1" t="s">
        <v>489</v>
      </c>
      <c r="C1763" s="1">
        <v>2017</v>
      </c>
      <c r="D1763" s="1">
        <v>21840</v>
      </c>
      <c r="E1763" s="1">
        <v>162</v>
      </c>
      <c r="F1763" s="1">
        <v>299</v>
      </c>
      <c r="G1763" s="1">
        <v>2375874</v>
      </c>
      <c r="H1763" s="1" t="s">
        <v>70</v>
      </c>
    </row>
    <row r="1764" spans="1:8" x14ac:dyDescent="0.3">
      <c r="A1764" s="1" t="s">
        <v>490</v>
      </c>
      <c r="B1764" s="1" t="s">
        <v>310</v>
      </c>
      <c r="C1764" s="1">
        <v>2017</v>
      </c>
      <c r="D1764" s="1">
        <v>13142</v>
      </c>
      <c r="E1764" s="1">
        <v>252</v>
      </c>
      <c r="F1764" s="1">
        <v>226</v>
      </c>
      <c r="G1764" s="1">
        <v>1005355</v>
      </c>
      <c r="H1764" s="1" t="s">
        <v>70</v>
      </c>
    </row>
    <row r="1765" spans="1:8" x14ac:dyDescent="0.3">
      <c r="A1765" s="1" t="s">
        <v>491</v>
      </c>
      <c r="B1765" s="1" t="s">
        <v>492</v>
      </c>
      <c r="C1765" s="1">
        <v>2017</v>
      </c>
      <c r="D1765" s="1">
        <v>28769</v>
      </c>
      <c r="E1765" s="1">
        <v>806</v>
      </c>
      <c r="F1765" s="1">
        <v>635</v>
      </c>
      <c r="G1765" s="1">
        <v>1344998</v>
      </c>
      <c r="H1765" s="1" t="s">
        <v>70</v>
      </c>
    </row>
    <row r="1766" spans="1:8" x14ac:dyDescent="0.3">
      <c r="A1766" s="1" t="s">
        <v>493</v>
      </c>
      <c r="B1766" s="1" t="s">
        <v>494</v>
      </c>
      <c r="C1766" s="1">
        <v>2017</v>
      </c>
      <c r="D1766" s="1">
        <v>32768</v>
      </c>
      <c r="E1766" s="1">
        <v>564</v>
      </c>
      <c r="F1766" s="1">
        <v>332</v>
      </c>
      <c r="G1766" s="1">
        <v>1075445</v>
      </c>
      <c r="H1766" s="1" t="s">
        <v>70</v>
      </c>
    </row>
    <row r="1767" spans="1:8" x14ac:dyDescent="0.3">
      <c r="A1767" s="1" t="s">
        <v>495</v>
      </c>
      <c r="B1767" s="1" t="s">
        <v>496</v>
      </c>
      <c r="C1767" s="1">
        <v>2017</v>
      </c>
      <c r="D1767" s="1">
        <v>39763</v>
      </c>
      <c r="E1767" s="1">
        <v>417</v>
      </c>
      <c r="F1767" s="1">
        <v>300</v>
      </c>
      <c r="G1767" s="1">
        <v>3848100</v>
      </c>
      <c r="H1767" s="1" t="s">
        <v>70</v>
      </c>
    </row>
    <row r="1768" spans="1:8" x14ac:dyDescent="0.3">
      <c r="A1768" s="1" t="s">
        <v>497</v>
      </c>
      <c r="B1768" s="1" t="s">
        <v>498</v>
      </c>
      <c r="C1768" s="1">
        <v>2017</v>
      </c>
      <c r="D1768" s="1">
        <v>37677</v>
      </c>
      <c r="E1768" s="1">
        <v>305</v>
      </c>
      <c r="F1768" s="1">
        <v>532</v>
      </c>
      <c r="G1768" s="1">
        <v>3988639</v>
      </c>
      <c r="H1768" s="1" t="s">
        <v>70</v>
      </c>
    </row>
    <row r="1769" spans="1:8" x14ac:dyDescent="0.3">
      <c r="A1769" s="1" t="s">
        <v>499</v>
      </c>
      <c r="B1769" s="1" t="s">
        <v>500</v>
      </c>
      <c r="C1769" s="1">
        <v>2017</v>
      </c>
      <c r="D1769" s="1">
        <v>69272</v>
      </c>
      <c r="E1769" s="1">
        <v>1326</v>
      </c>
      <c r="F1769" s="1">
        <v>1476</v>
      </c>
      <c r="G1769" s="1">
        <v>2656629</v>
      </c>
      <c r="H1769" s="1" t="s">
        <v>70</v>
      </c>
    </row>
    <row r="1770" spans="1:8" x14ac:dyDescent="0.3">
      <c r="A1770" s="1" t="s">
        <v>501</v>
      </c>
      <c r="B1770" s="1" t="s">
        <v>502</v>
      </c>
      <c r="C1770" s="1">
        <v>2017</v>
      </c>
      <c r="D1770" s="1">
        <v>12919</v>
      </c>
      <c r="E1770" s="1">
        <v>49</v>
      </c>
      <c r="F1770" s="1">
        <v>81</v>
      </c>
      <c r="G1770" s="1">
        <v>1824262</v>
      </c>
      <c r="H1770" s="1" t="s">
        <v>70</v>
      </c>
    </row>
    <row r="1771" spans="1:8" x14ac:dyDescent="0.3">
      <c r="A1771" s="1" t="s">
        <v>503</v>
      </c>
      <c r="B1771" s="1" t="s">
        <v>504</v>
      </c>
      <c r="C1771" s="1">
        <v>2017</v>
      </c>
      <c r="D1771" s="1">
        <v>222310</v>
      </c>
      <c r="E1771" s="1">
        <v>6442</v>
      </c>
      <c r="F1771" s="1">
        <v>8573</v>
      </c>
      <c r="G1771" s="1">
        <v>12296966</v>
      </c>
      <c r="H1771" s="1" t="s">
        <v>70</v>
      </c>
    </row>
    <row r="1772" spans="1:8" x14ac:dyDescent="0.3">
      <c r="A1772" s="1" t="s">
        <v>505</v>
      </c>
      <c r="B1772" s="1" t="s">
        <v>506</v>
      </c>
      <c r="C1772" s="1">
        <v>2017</v>
      </c>
      <c r="D1772" s="1">
        <v>113129</v>
      </c>
      <c r="E1772" s="1">
        <v>1111</v>
      </c>
      <c r="F1772" s="1">
        <v>2913</v>
      </c>
      <c r="G1772" s="1">
        <v>4539348</v>
      </c>
      <c r="H1772" s="1" t="s">
        <v>70</v>
      </c>
    </row>
    <row r="1773" spans="1:8" x14ac:dyDescent="0.3">
      <c r="A1773" s="1" t="s">
        <v>507</v>
      </c>
      <c r="B1773" s="1" t="s">
        <v>508</v>
      </c>
      <c r="C1773" s="1">
        <v>2017</v>
      </c>
      <c r="D1773" s="1">
        <v>39336</v>
      </c>
      <c r="E1773" s="1">
        <v>537</v>
      </c>
      <c r="F1773" s="1">
        <v>817</v>
      </c>
      <c r="G1773" s="1">
        <v>1737575</v>
      </c>
      <c r="H1773" s="1" t="s">
        <v>70</v>
      </c>
    </row>
    <row r="1774" spans="1:8" x14ac:dyDescent="0.3">
      <c r="A1774" s="1" t="s">
        <v>509</v>
      </c>
      <c r="B1774" s="1" t="s">
        <v>510</v>
      </c>
      <c r="C1774" s="1">
        <v>2017</v>
      </c>
      <c r="D1774" s="1">
        <v>19264</v>
      </c>
      <c r="E1774" s="1">
        <v>136</v>
      </c>
      <c r="F1774" s="1">
        <v>457</v>
      </c>
      <c r="G1774" s="1">
        <v>497275</v>
      </c>
      <c r="H1774" s="1" t="s">
        <v>70</v>
      </c>
    </row>
    <row r="1775" spans="1:8" x14ac:dyDescent="0.3">
      <c r="A1775" s="1" t="s">
        <v>511</v>
      </c>
      <c r="B1775" s="1" t="s">
        <v>512</v>
      </c>
      <c r="C1775" s="1">
        <v>2017</v>
      </c>
      <c r="D1775" s="1">
        <v>61526</v>
      </c>
      <c r="E1775" s="1">
        <v>278</v>
      </c>
      <c r="F1775" s="1">
        <v>413</v>
      </c>
      <c r="G1775" s="1">
        <v>4881380</v>
      </c>
      <c r="H1775" s="1" t="s">
        <v>70</v>
      </c>
    </row>
    <row r="1776" spans="1:8" x14ac:dyDescent="0.3">
      <c r="A1776" s="1" t="s">
        <v>513</v>
      </c>
      <c r="B1776" s="1" t="s">
        <v>443</v>
      </c>
      <c r="C1776" s="1">
        <v>2017</v>
      </c>
      <c r="D1776" s="1">
        <v>50166</v>
      </c>
      <c r="E1776" s="1">
        <v>505</v>
      </c>
      <c r="F1776" s="1">
        <v>209</v>
      </c>
      <c r="G1776" s="1">
        <v>815109</v>
      </c>
      <c r="H1776" s="1" t="s">
        <v>70</v>
      </c>
    </row>
    <row r="1777" spans="1:8" x14ac:dyDescent="0.3">
      <c r="A1777" s="1" t="s">
        <v>514</v>
      </c>
      <c r="B1777" s="1" t="s">
        <v>515</v>
      </c>
      <c r="C1777" s="1">
        <v>2017</v>
      </c>
      <c r="D1777" s="1">
        <v>61391</v>
      </c>
      <c r="E1777" s="1">
        <v>583</v>
      </c>
      <c r="F1777" s="1">
        <v>360</v>
      </c>
      <c r="G1777" s="1">
        <v>1700294</v>
      </c>
      <c r="H1777" s="1" t="s">
        <v>70</v>
      </c>
    </row>
    <row r="1778" spans="1:8" x14ac:dyDescent="0.3">
      <c r="A1778" s="1" t="s">
        <v>516</v>
      </c>
      <c r="B1778" s="1" t="s">
        <v>517</v>
      </c>
      <c r="C1778" s="1">
        <v>2017</v>
      </c>
      <c r="D1778" s="1">
        <v>46945</v>
      </c>
      <c r="E1778" s="1">
        <v>440</v>
      </c>
      <c r="F1778" s="1">
        <v>64</v>
      </c>
      <c r="G1778" s="1">
        <v>435677</v>
      </c>
      <c r="H1778" s="1" t="s">
        <v>70</v>
      </c>
    </row>
    <row r="1779" spans="1:8" x14ac:dyDescent="0.3">
      <c r="A1779" s="1" t="s">
        <v>518</v>
      </c>
      <c r="B1779" s="1" t="s">
        <v>519</v>
      </c>
      <c r="C1779" s="1">
        <v>2017</v>
      </c>
      <c r="D1779" s="1">
        <v>38672</v>
      </c>
      <c r="E1779" s="1">
        <v>384</v>
      </c>
      <c r="F1779" s="1">
        <v>334</v>
      </c>
      <c r="G1779" s="1">
        <v>2254266</v>
      </c>
      <c r="H1779" s="1" t="s">
        <v>70</v>
      </c>
    </row>
    <row r="1780" spans="1:8" x14ac:dyDescent="0.3">
      <c r="A1780" s="1" t="s">
        <v>520</v>
      </c>
      <c r="B1780" s="1" t="s">
        <v>521</v>
      </c>
      <c r="C1780" s="1">
        <v>2017</v>
      </c>
      <c r="D1780" s="1">
        <v>26909</v>
      </c>
      <c r="E1780" s="1">
        <v>220</v>
      </c>
      <c r="F1780" s="1">
        <v>50</v>
      </c>
      <c r="G1780" s="1">
        <v>191765</v>
      </c>
      <c r="H1780" s="1" t="s">
        <v>70</v>
      </c>
    </row>
    <row r="1781" spans="1:8" x14ac:dyDescent="0.3">
      <c r="A1781" s="1" t="s">
        <v>522</v>
      </c>
      <c r="B1781" s="1" t="s">
        <v>523</v>
      </c>
      <c r="C1781" s="1">
        <v>2017</v>
      </c>
      <c r="D1781" s="1">
        <v>25485</v>
      </c>
      <c r="E1781" s="1">
        <v>280</v>
      </c>
      <c r="F1781" s="1">
        <v>77</v>
      </c>
      <c r="G1781" s="1">
        <v>641758</v>
      </c>
      <c r="H1781" s="1" t="s">
        <v>70</v>
      </c>
    </row>
    <row r="1782" spans="1:8" x14ac:dyDescent="0.3">
      <c r="A1782" s="1" t="s">
        <v>524</v>
      </c>
      <c r="B1782" s="1" t="s">
        <v>525</v>
      </c>
      <c r="C1782" s="1">
        <v>2017</v>
      </c>
      <c r="D1782" s="1">
        <v>33778</v>
      </c>
      <c r="E1782" s="1">
        <v>480</v>
      </c>
      <c r="F1782" s="1">
        <v>198</v>
      </c>
      <c r="G1782" s="1">
        <v>1929596</v>
      </c>
      <c r="H1782" s="1" t="s">
        <v>70</v>
      </c>
    </row>
    <row r="1783" spans="1:8" x14ac:dyDescent="0.3">
      <c r="A1783" s="1" t="s">
        <v>526</v>
      </c>
      <c r="B1783" s="1" t="s">
        <v>527</v>
      </c>
      <c r="C1783" s="1">
        <v>2017</v>
      </c>
      <c r="D1783" s="1">
        <v>26810</v>
      </c>
      <c r="E1783" s="1">
        <v>147</v>
      </c>
      <c r="F1783" s="1">
        <v>52</v>
      </c>
      <c r="G1783" s="1">
        <v>1049552</v>
      </c>
      <c r="H1783" s="1" t="s">
        <v>70</v>
      </c>
    </row>
    <row r="1784" spans="1:8" x14ac:dyDescent="0.3">
      <c r="A1784" s="1" t="s">
        <v>528</v>
      </c>
      <c r="B1784" s="1" t="s">
        <v>529</v>
      </c>
      <c r="C1784" s="1">
        <v>2017</v>
      </c>
      <c r="D1784" s="1">
        <v>32284</v>
      </c>
      <c r="E1784" s="1">
        <v>438</v>
      </c>
      <c r="F1784" s="1">
        <v>289</v>
      </c>
      <c r="G1784" s="1">
        <v>754496</v>
      </c>
      <c r="H1784" s="1" t="s">
        <v>70</v>
      </c>
    </row>
    <row r="1785" spans="1:8" x14ac:dyDescent="0.3">
      <c r="A1785" s="1" t="s">
        <v>530</v>
      </c>
      <c r="B1785" s="1" t="s">
        <v>531</v>
      </c>
      <c r="C1785" s="1">
        <v>2017</v>
      </c>
      <c r="D1785" s="1">
        <v>35985</v>
      </c>
      <c r="E1785" s="1">
        <v>104</v>
      </c>
      <c r="F1785" s="1">
        <v>250</v>
      </c>
      <c r="G1785" s="1">
        <v>3080952</v>
      </c>
      <c r="H1785" s="1" t="s">
        <v>70</v>
      </c>
    </row>
    <row r="1786" spans="1:8" x14ac:dyDescent="0.3">
      <c r="A1786" s="1" t="s">
        <v>532</v>
      </c>
      <c r="B1786" s="1" t="s">
        <v>533</v>
      </c>
      <c r="C1786" s="1">
        <v>2017</v>
      </c>
      <c r="D1786" s="1">
        <v>24600</v>
      </c>
      <c r="E1786" s="1">
        <v>199</v>
      </c>
      <c r="F1786" s="1">
        <v>98</v>
      </c>
      <c r="G1786" s="1">
        <v>689494</v>
      </c>
      <c r="H1786" s="1" t="s">
        <v>70</v>
      </c>
    </row>
    <row r="1787" spans="1:8" x14ac:dyDescent="0.3">
      <c r="A1787" s="1" t="s">
        <v>534</v>
      </c>
      <c r="B1787" s="1" t="s">
        <v>535</v>
      </c>
      <c r="C1787" s="1">
        <v>2017</v>
      </c>
      <c r="D1787" s="1">
        <v>49637</v>
      </c>
      <c r="E1787" s="1">
        <v>777</v>
      </c>
      <c r="F1787" s="1">
        <v>394</v>
      </c>
      <c r="G1787" s="1">
        <v>2995934</v>
      </c>
      <c r="H1787" s="1" t="s">
        <v>70</v>
      </c>
    </row>
    <row r="1788" spans="1:8" x14ac:dyDescent="0.3">
      <c r="A1788" s="1" t="s">
        <v>536</v>
      </c>
      <c r="B1788" s="1" t="s">
        <v>537</v>
      </c>
      <c r="C1788" s="1">
        <v>2017</v>
      </c>
      <c r="D1788" s="1">
        <v>18529</v>
      </c>
      <c r="E1788" s="1">
        <v>195</v>
      </c>
      <c r="F1788" s="1">
        <v>98</v>
      </c>
      <c r="G1788" s="1">
        <v>363881</v>
      </c>
      <c r="H1788" s="1" t="s">
        <v>70</v>
      </c>
    </row>
    <row r="1789" spans="1:8" x14ac:dyDescent="0.3">
      <c r="A1789" s="1" t="s">
        <v>538</v>
      </c>
      <c r="B1789" s="1" t="s">
        <v>539</v>
      </c>
      <c r="C1789" s="1">
        <v>2017</v>
      </c>
      <c r="D1789" s="1">
        <v>49491</v>
      </c>
      <c r="E1789" s="1">
        <v>410</v>
      </c>
      <c r="F1789" s="1">
        <v>215</v>
      </c>
      <c r="G1789" s="1">
        <v>2955755</v>
      </c>
      <c r="H1789" s="1" t="s">
        <v>70</v>
      </c>
    </row>
    <row r="1790" spans="1:8" x14ac:dyDescent="0.3">
      <c r="A1790" s="1" t="s">
        <v>540</v>
      </c>
      <c r="B1790" s="1" t="s">
        <v>541</v>
      </c>
      <c r="C1790" s="1">
        <v>2017</v>
      </c>
      <c r="D1790" s="1">
        <v>47768</v>
      </c>
      <c r="E1790" s="1">
        <v>179</v>
      </c>
      <c r="F1790" s="1">
        <v>206</v>
      </c>
      <c r="G1790" s="1">
        <v>3004380</v>
      </c>
      <c r="H1790" s="1" t="s">
        <v>70</v>
      </c>
    </row>
    <row r="1791" spans="1:8" x14ac:dyDescent="0.3">
      <c r="A1791" s="1" t="s">
        <v>542</v>
      </c>
      <c r="B1791" s="1" t="s">
        <v>543</v>
      </c>
      <c r="C1791" s="1">
        <v>2017</v>
      </c>
      <c r="D1791" s="1">
        <v>51333</v>
      </c>
      <c r="E1791" s="1">
        <v>514</v>
      </c>
      <c r="F1791" s="1">
        <v>56</v>
      </c>
      <c r="G1791" s="1">
        <v>846649</v>
      </c>
      <c r="H1791" s="1" t="s">
        <v>70</v>
      </c>
    </row>
    <row r="1792" spans="1:8" x14ac:dyDescent="0.3">
      <c r="A1792" s="1" t="s">
        <v>544</v>
      </c>
      <c r="B1792" s="1" t="s">
        <v>545</v>
      </c>
      <c r="C1792" s="1">
        <v>2017</v>
      </c>
      <c r="D1792" s="1">
        <v>70882</v>
      </c>
      <c r="E1792" s="1">
        <v>467</v>
      </c>
      <c r="F1792" s="1">
        <v>917</v>
      </c>
      <c r="G1792" s="1">
        <v>4636105</v>
      </c>
      <c r="H1792" s="1" t="s">
        <v>70</v>
      </c>
    </row>
    <row r="1793" spans="1:8" x14ac:dyDescent="0.3">
      <c r="A1793" s="1" t="s">
        <v>546</v>
      </c>
      <c r="B1793" s="1" t="s">
        <v>547</v>
      </c>
      <c r="C1793" s="1">
        <v>2017</v>
      </c>
      <c r="D1793" s="1">
        <v>73469</v>
      </c>
      <c r="E1793" s="1">
        <v>136</v>
      </c>
      <c r="F1793" s="1">
        <v>1054</v>
      </c>
      <c r="G1793" s="1">
        <v>6488553</v>
      </c>
      <c r="H1793" s="1" t="s">
        <v>70</v>
      </c>
    </row>
    <row r="1794" spans="1:8" x14ac:dyDescent="0.3">
      <c r="A1794" s="1" t="s">
        <v>548</v>
      </c>
      <c r="B1794" s="1" t="s">
        <v>549</v>
      </c>
      <c r="C1794" s="1">
        <v>2017</v>
      </c>
      <c r="D1794" s="1">
        <v>53074</v>
      </c>
      <c r="E1794" s="1">
        <v>357</v>
      </c>
      <c r="F1794" s="1">
        <v>683</v>
      </c>
      <c r="G1794" s="1">
        <v>11850450</v>
      </c>
      <c r="H1794" s="1" t="s">
        <v>70</v>
      </c>
    </row>
    <row r="1795" spans="1:8" x14ac:dyDescent="0.3">
      <c r="A1795" s="1" t="s">
        <v>550</v>
      </c>
      <c r="B1795" s="1" t="s">
        <v>551</v>
      </c>
      <c r="C1795" s="1">
        <v>2017</v>
      </c>
      <c r="D1795" s="1">
        <v>99135</v>
      </c>
      <c r="E1795" s="1">
        <v>433</v>
      </c>
      <c r="F1795" s="1">
        <v>679</v>
      </c>
      <c r="G1795" s="1">
        <v>10148176</v>
      </c>
      <c r="H1795" s="1" t="s">
        <v>70</v>
      </c>
    </row>
    <row r="1796" spans="1:8" x14ac:dyDescent="0.3">
      <c r="A1796" s="1" t="s">
        <v>552</v>
      </c>
      <c r="B1796" s="1" t="s">
        <v>553</v>
      </c>
      <c r="C1796" s="1">
        <v>2017</v>
      </c>
      <c r="D1796" s="1">
        <v>50147</v>
      </c>
      <c r="E1796" s="1">
        <v>250</v>
      </c>
      <c r="F1796" s="1">
        <v>370</v>
      </c>
      <c r="G1796" s="1">
        <v>2796557</v>
      </c>
      <c r="H1796" s="1" t="s">
        <v>70</v>
      </c>
    </row>
    <row r="1797" spans="1:8" x14ac:dyDescent="0.3">
      <c r="A1797" s="1" t="s">
        <v>554</v>
      </c>
      <c r="B1797" s="1" t="s">
        <v>555</v>
      </c>
      <c r="C1797" s="1">
        <v>2017</v>
      </c>
      <c r="D1797" s="1">
        <v>78708</v>
      </c>
      <c r="E1797" s="1">
        <v>335</v>
      </c>
      <c r="F1797" s="1">
        <v>1255</v>
      </c>
      <c r="G1797" s="1">
        <v>5929981</v>
      </c>
      <c r="H1797" s="1" t="s">
        <v>70</v>
      </c>
    </row>
    <row r="1798" spans="1:8" x14ac:dyDescent="0.3">
      <c r="A1798" s="1" t="s">
        <v>556</v>
      </c>
      <c r="B1798" s="1" t="s">
        <v>557</v>
      </c>
      <c r="C1798" s="1">
        <v>2017</v>
      </c>
      <c r="D1798" s="1">
        <v>32135</v>
      </c>
      <c r="E1798" s="1">
        <v>149</v>
      </c>
      <c r="F1798" s="1">
        <v>144</v>
      </c>
      <c r="G1798" s="1">
        <v>2680905</v>
      </c>
      <c r="H1798" s="1" t="s">
        <v>70</v>
      </c>
    </row>
    <row r="1799" spans="1:8" x14ac:dyDescent="0.3">
      <c r="A1799" s="1" t="s">
        <v>558</v>
      </c>
      <c r="B1799" s="1" t="s">
        <v>559</v>
      </c>
      <c r="C1799" s="1">
        <v>2017</v>
      </c>
      <c r="D1799" s="1">
        <v>34719</v>
      </c>
      <c r="E1799" s="1">
        <v>155</v>
      </c>
      <c r="F1799" s="1">
        <v>388</v>
      </c>
      <c r="G1799" s="1">
        <v>1878844</v>
      </c>
      <c r="H1799" s="1" t="s">
        <v>70</v>
      </c>
    </row>
    <row r="1800" spans="1:8" x14ac:dyDescent="0.3">
      <c r="A1800" s="1" t="s">
        <v>560</v>
      </c>
      <c r="B1800" s="1" t="s">
        <v>561</v>
      </c>
      <c r="C1800" s="1">
        <v>2017</v>
      </c>
      <c r="D1800" s="1">
        <v>144204</v>
      </c>
      <c r="E1800" s="1">
        <v>1642</v>
      </c>
      <c r="F1800" s="1">
        <v>1610</v>
      </c>
      <c r="G1800" s="1">
        <v>15160761</v>
      </c>
      <c r="H1800" s="1" t="s">
        <v>70</v>
      </c>
    </row>
    <row r="1801" spans="1:8" x14ac:dyDescent="0.3">
      <c r="A1801" s="1" t="s">
        <v>562</v>
      </c>
      <c r="B1801" s="1" t="s">
        <v>563</v>
      </c>
      <c r="C1801" s="1">
        <v>2017</v>
      </c>
      <c r="D1801" s="1">
        <v>28669</v>
      </c>
      <c r="E1801" s="1">
        <v>176</v>
      </c>
      <c r="F1801" s="1">
        <v>458</v>
      </c>
      <c r="G1801" s="1">
        <v>3284558</v>
      </c>
      <c r="H1801" s="1" t="s">
        <v>70</v>
      </c>
    </row>
    <row r="1802" spans="1:8" x14ac:dyDescent="0.3">
      <c r="A1802" s="1" t="s">
        <v>564</v>
      </c>
      <c r="B1802" s="1" t="s">
        <v>565</v>
      </c>
      <c r="C1802" s="1">
        <v>2017</v>
      </c>
      <c r="D1802" s="1">
        <v>22197</v>
      </c>
      <c r="E1802" s="1">
        <v>34</v>
      </c>
      <c r="F1802" s="1">
        <v>180</v>
      </c>
      <c r="G1802" s="1">
        <v>2869723</v>
      </c>
      <c r="H1802" s="1" t="s">
        <v>70</v>
      </c>
    </row>
    <row r="1803" spans="1:8" x14ac:dyDescent="0.3">
      <c r="A1803" s="1" t="s">
        <v>566</v>
      </c>
      <c r="B1803" s="1" t="s">
        <v>567</v>
      </c>
      <c r="C1803" s="1">
        <v>2017</v>
      </c>
      <c r="D1803" s="1">
        <v>58416</v>
      </c>
      <c r="E1803" s="1">
        <v>260</v>
      </c>
      <c r="F1803" s="1">
        <v>640</v>
      </c>
      <c r="G1803" s="1">
        <v>5346548</v>
      </c>
      <c r="H1803" s="1" t="s">
        <v>70</v>
      </c>
    </row>
    <row r="1804" spans="1:8" x14ac:dyDescent="0.3">
      <c r="A1804" s="1" t="s">
        <v>568</v>
      </c>
      <c r="B1804" s="1" t="s">
        <v>569</v>
      </c>
      <c r="C1804" s="1">
        <v>2017</v>
      </c>
      <c r="D1804" s="1">
        <v>48189</v>
      </c>
      <c r="E1804" s="1">
        <v>414</v>
      </c>
      <c r="F1804" s="1">
        <v>472</v>
      </c>
      <c r="G1804" s="1">
        <v>4743284</v>
      </c>
      <c r="H1804" s="1" t="s">
        <v>70</v>
      </c>
    </row>
    <row r="1805" spans="1:8" x14ac:dyDescent="0.3">
      <c r="A1805" s="1" t="s">
        <v>570</v>
      </c>
      <c r="B1805" s="1" t="s">
        <v>571</v>
      </c>
      <c r="C1805" s="1">
        <v>2017</v>
      </c>
      <c r="D1805" s="1">
        <v>31058</v>
      </c>
      <c r="E1805" s="1">
        <v>86</v>
      </c>
      <c r="F1805" s="1">
        <v>414</v>
      </c>
      <c r="G1805" s="1">
        <v>3744805</v>
      </c>
      <c r="H1805" s="1" t="s">
        <v>70</v>
      </c>
    </row>
    <row r="1806" spans="1:8" x14ac:dyDescent="0.3">
      <c r="A1806" s="1" t="s">
        <v>572</v>
      </c>
      <c r="B1806" s="1" t="s">
        <v>573</v>
      </c>
      <c r="C1806" s="1">
        <v>2017</v>
      </c>
      <c r="D1806" s="1">
        <v>91969</v>
      </c>
      <c r="E1806" s="1">
        <v>232</v>
      </c>
      <c r="F1806" s="1">
        <v>487</v>
      </c>
      <c r="G1806" s="1">
        <v>11981745</v>
      </c>
      <c r="H1806" s="1" t="s">
        <v>70</v>
      </c>
    </row>
    <row r="1807" spans="1:8" x14ac:dyDescent="0.3">
      <c r="A1807" s="1" t="s">
        <v>574</v>
      </c>
      <c r="B1807" s="1" t="s">
        <v>575</v>
      </c>
      <c r="C1807" s="1">
        <v>2017</v>
      </c>
      <c r="D1807" s="1">
        <v>22678</v>
      </c>
      <c r="E1807" s="1">
        <v>71</v>
      </c>
      <c r="F1807" s="1">
        <v>257</v>
      </c>
      <c r="G1807" s="1">
        <v>2070176</v>
      </c>
      <c r="H1807" s="1" t="s">
        <v>70</v>
      </c>
    </row>
    <row r="1808" spans="1:8" x14ac:dyDescent="0.3">
      <c r="A1808" s="1" t="s">
        <v>576</v>
      </c>
      <c r="B1808" s="1" t="s">
        <v>577</v>
      </c>
      <c r="C1808" s="1">
        <v>2017</v>
      </c>
      <c r="D1808" s="1">
        <v>50129</v>
      </c>
      <c r="E1808" s="1">
        <v>406</v>
      </c>
      <c r="F1808" s="1">
        <v>869</v>
      </c>
      <c r="G1808" s="1">
        <v>4160024</v>
      </c>
      <c r="H1808" s="1" t="s">
        <v>70</v>
      </c>
    </row>
    <row r="1809" spans="1:8" x14ac:dyDescent="0.3">
      <c r="A1809" s="1" t="s">
        <v>578</v>
      </c>
      <c r="B1809" s="1" t="s">
        <v>579</v>
      </c>
      <c r="C1809" s="1">
        <v>2017</v>
      </c>
      <c r="D1809" s="1">
        <v>70342</v>
      </c>
      <c r="E1809" s="1">
        <v>155</v>
      </c>
      <c r="F1809" s="1">
        <v>1007</v>
      </c>
      <c r="G1809" s="1">
        <v>7696457</v>
      </c>
      <c r="H1809" s="1" t="s">
        <v>70</v>
      </c>
    </row>
    <row r="1810" spans="1:8" x14ac:dyDescent="0.3">
      <c r="A1810" s="1" t="s">
        <v>580</v>
      </c>
      <c r="B1810" s="1" t="s">
        <v>581</v>
      </c>
      <c r="C1810" s="1">
        <v>2017</v>
      </c>
      <c r="D1810" s="1">
        <v>20380</v>
      </c>
      <c r="E1810" s="1">
        <v>336</v>
      </c>
      <c r="F1810" s="1">
        <v>222</v>
      </c>
      <c r="G1810" s="1">
        <v>1003332</v>
      </c>
      <c r="H1810" s="1" t="s">
        <v>70</v>
      </c>
    </row>
    <row r="1811" spans="1:8" x14ac:dyDescent="0.3">
      <c r="A1811" s="1" t="s">
        <v>582</v>
      </c>
      <c r="B1811" s="1" t="s">
        <v>583</v>
      </c>
      <c r="C1811" s="1">
        <v>2017</v>
      </c>
      <c r="D1811" s="1">
        <v>25021</v>
      </c>
      <c r="E1811" s="1">
        <v>187</v>
      </c>
      <c r="F1811" s="1">
        <v>47</v>
      </c>
      <c r="G1811" s="1">
        <v>527410</v>
      </c>
      <c r="H1811" s="1" t="s">
        <v>70</v>
      </c>
    </row>
    <row r="1812" spans="1:8" x14ac:dyDescent="0.3">
      <c r="A1812" s="1" t="s">
        <v>584</v>
      </c>
      <c r="B1812" s="1" t="s">
        <v>585</v>
      </c>
      <c r="C1812" s="1">
        <v>2017</v>
      </c>
      <c r="D1812" s="1">
        <v>30188</v>
      </c>
      <c r="E1812" s="1">
        <v>401</v>
      </c>
      <c r="F1812" s="1">
        <v>18</v>
      </c>
      <c r="G1812" s="1">
        <v>480272</v>
      </c>
      <c r="H1812" s="1" t="s">
        <v>70</v>
      </c>
    </row>
    <row r="1813" spans="1:8" x14ac:dyDescent="0.3">
      <c r="A1813" s="1" t="s">
        <v>586</v>
      </c>
      <c r="B1813" s="1" t="s">
        <v>587</v>
      </c>
      <c r="C1813" s="1">
        <v>2017</v>
      </c>
      <c r="D1813" s="1">
        <v>10992</v>
      </c>
      <c r="E1813" s="1">
        <v>31</v>
      </c>
      <c r="F1813" s="1">
        <v>14</v>
      </c>
      <c r="G1813" s="1">
        <v>112509</v>
      </c>
      <c r="H1813" s="1" t="s">
        <v>70</v>
      </c>
    </row>
    <row r="1814" spans="1:8" x14ac:dyDescent="0.3">
      <c r="A1814" s="1" t="s">
        <v>588</v>
      </c>
      <c r="B1814" s="1" t="s">
        <v>589</v>
      </c>
      <c r="C1814" s="1">
        <v>2017</v>
      </c>
      <c r="D1814" s="1">
        <v>60596</v>
      </c>
      <c r="E1814" s="1">
        <v>763</v>
      </c>
      <c r="F1814" s="1">
        <v>4</v>
      </c>
      <c r="G1814" s="1">
        <v>260440</v>
      </c>
      <c r="H1814" s="1" t="s">
        <v>70</v>
      </c>
    </row>
    <row r="1815" spans="1:8" x14ac:dyDescent="0.3">
      <c r="A1815" s="1" t="s">
        <v>590</v>
      </c>
      <c r="B1815" s="1" t="s">
        <v>591</v>
      </c>
      <c r="C1815" s="1">
        <v>2017</v>
      </c>
      <c r="D1815" s="1">
        <v>30033</v>
      </c>
      <c r="E1815" s="1">
        <v>176</v>
      </c>
      <c r="F1815" s="1">
        <v>56</v>
      </c>
      <c r="G1815" s="1">
        <v>398633</v>
      </c>
      <c r="H1815" s="1" t="s">
        <v>70</v>
      </c>
    </row>
    <row r="1816" spans="1:8" x14ac:dyDescent="0.3">
      <c r="A1816" s="1" t="s">
        <v>592</v>
      </c>
      <c r="B1816" s="1" t="s">
        <v>593</v>
      </c>
      <c r="C1816" s="1">
        <v>2017</v>
      </c>
      <c r="D1816" s="1">
        <v>18720</v>
      </c>
      <c r="E1816" s="1">
        <v>113</v>
      </c>
      <c r="F1816" s="1">
        <v>18</v>
      </c>
      <c r="G1816" s="1">
        <v>209887</v>
      </c>
      <c r="H1816" s="1" t="s">
        <v>70</v>
      </c>
    </row>
    <row r="1817" spans="1:8" x14ac:dyDescent="0.3">
      <c r="A1817" s="1" t="s">
        <v>594</v>
      </c>
      <c r="B1817" s="1" t="s">
        <v>595</v>
      </c>
      <c r="C1817" s="1">
        <v>2017</v>
      </c>
      <c r="D1817" s="1">
        <v>41090</v>
      </c>
      <c r="E1817" s="1">
        <v>101</v>
      </c>
      <c r="F1817" s="1">
        <v>87</v>
      </c>
      <c r="G1817" s="1">
        <v>1161233</v>
      </c>
      <c r="H1817" s="1" t="s">
        <v>70</v>
      </c>
    </row>
    <row r="1818" spans="1:8" x14ac:dyDescent="0.3">
      <c r="A1818" s="1" t="s">
        <v>596</v>
      </c>
      <c r="B1818" s="1" t="s">
        <v>597</v>
      </c>
      <c r="C1818" s="1">
        <v>2017</v>
      </c>
      <c r="D1818" s="1">
        <v>14437</v>
      </c>
      <c r="E1818" s="1">
        <v>77</v>
      </c>
      <c r="F1818" s="1">
        <v>31</v>
      </c>
      <c r="G1818" s="1">
        <v>460675</v>
      </c>
      <c r="H1818" s="1" t="s">
        <v>70</v>
      </c>
    </row>
    <row r="1819" spans="1:8" x14ac:dyDescent="0.3">
      <c r="A1819" s="1" t="s">
        <v>598</v>
      </c>
      <c r="B1819" s="1" t="s">
        <v>599</v>
      </c>
      <c r="C1819" s="1">
        <v>2017</v>
      </c>
      <c r="D1819" s="1">
        <v>25748</v>
      </c>
      <c r="E1819" s="1">
        <v>129</v>
      </c>
      <c r="F1819" s="1">
        <v>54</v>
      </c>
      <c r="G1819" s="1">
        <v>504088</v>
      </c>
      <c r="H1819" s="1" t="s">
        <v>70</v>
      </c>
    </row>
    <row r="1820" spans="1:8" x14ac:dyDescent="0.3">
      <c r="A1820" s="1" t="s">
        <v>600</v>
      </c>
      <c r="B1820" s="1" t="s">
        <v>601</v>
      </c>
      <c r="C1820" s="1">
        <v>2017</v>
      </c>
      <c r="D1820" s="1">
        <v>30428</v>
      </c>
      <c r="E1820" s="1">
        <v>87</v>
      </c>
      <c r="F1820" s="1">
        <v>153</v>
      </c>
      <c r="G1820" s="1">
        <v>1251775</v>
      </c>
      <c r="H1820" s="1" t="s">
        <v>70</v>
      </c>
    </row>
    <row r="1821" spans="1:8" x14ac:dyDescent="0.3">
      <c r="A1821" s="1" t="s">
        <v>602</v>
      </c>
      <c r="B1821" s="1" t="s">
        <v>603</v>
      </c>
      <c r="C1821" s="1">
        <v>2017</v>
      </c>
      <c r="D1821" s="1">
        <v>32521</v>
      </c>
      <c r="E1821" s="1">
        <v>152</v>
      </c>
      <c r="F1821" s="1">
        <v>201</v>
      </c>
      <c r="G1821" s="1">
        <v>1933053</v>
      </c>
      <c r="H1821" s="1" t="s">
        <v>70</v>
      </c>
    </row>
    <row r="1822" spans="1:8" x14ac:dyDescent="0.3">
      <c r="A1822" s="1" t="s">
        <v>604</v>
      </c>
      <c r="B1822" s="1" t="s">
        <v>605</v>
      </c>
      <c r="C1822" s="1">
        <v>2017</v>
      </c>
      <c r="D1822" s="1">
        <v>23848</v>
      </c>
      <c r="E1822" s="1">
        <v>167</v>
      </c>
      <c r="F1822" s="1">
        <v>64</v>
      </c>
      <c r="G1822" s="1">
        <v>423833</v>
      </c>
      <c r="H1822" s="1" t="s">
        <v>70</v>
      </c>
    </row>
    <row r="1823" spans="1:8" x14ac:dyDescent="0.3">
      <c r="A1823" s="1" t="s">
        <v>606</v>
      </c>
      <c r="B1823" s="1" t="s">
        <v>607</v>
      </c>
      <c r="C1823" s="1">
        <v>2017</v>
      </c>
      <c r="D1823" s="1">
        <v>16445</v>
      </c>
      <c r="E1823" s="1">
        <v>158</v>
      </c>
      <c r="F1823" s="1">
        <v>42</v>
      </c>
      <c r="G1823" s="1">
        <v>152684</v>
      </c>
      <c r="H1823" s="1" t="s">
        <v>70</v>
      </c>
    </row>
    <row r="1824" spans="1:8" x14ac:dyDescent="0.3">
      <c r="A1824" s="1" t="s">
        <v>608</v>
      </c>
      <c r="B1824" s="1" t="s">
        <v>609</v>
      </c>
      <c r="C1824" s="1">
        <v>2017</v>
      </c>
      <c r="D1824" s="1">
        <v>84233</v>
      </c>
      <c r="E1824" s="1">
        <v>609</v>
      </c>
      <c r="F1824" s="1">
        <v>1286</v>
      </c>
      <c r="G1824" s="1">
        <v>3402882</v>
      </c>
      <c r="H1824" s="1" t="s">
        <v>70</v>
      </c>
    </row>
    <row r="1825" spans="1:8" x14ac:dyDescent="0.3">
      <c r="A1825" s="1" t="s">
        <v>610</v>
      </c>
      <c r="B1825" s="1" t="s">
        <v>611</v>
      </c>
      <c r="C1825" s="1">
        <v>2017</v>
      </c>
      <c r="D1825" s="1">
        <v>20800</v>
      </c>
      <c r="E1825" s="1">
        <v>33</v>
      </c>
      <c r="F1825" s="1">
        <v>145</v>
      </c>
      <c r="G1825" s="1">
        <v>2583882</v>
      </c>
      <c r="H1825" s="1" t="s">
        <v>70</v>
      </c>
    </row>
    <row r="1826" spans="1:8" x14ac:dyDescent="0.3">
      <c r="A1826" s="1" t="s">
        <v>612</v>
      </c>
      <c r="B1826" s="1" t="s">
        <v>613</v>
      </c>
      <c r="C1826" s="1">
        <v>2017</v>
      </c>
      <c r="D1826" s="1">
        <v>14367</v>
      </c>
      <c r="E1826" s="1">
        <v>97</v>
      </c>
      <c r="F1826" s="1">
        <v>178</v>
      </c>
      <c r="G1826" s="1">
        <v>1362777</v>
      </c>
      <c r="H1826" s="1" t="s">
        <v>70</v>
      </c>
    </row>
    <row r="1827" spans="1:8" x14ac:dyDescent="0.3">
      <c r="A1827" s="1" t="s">
        <v>614</v>
      </c>
      <c r="B1827" s="1" t="s">
        <v>615</v>
      </c>
      <c r="C1827" s="1">
        <v>2017</v>
      </c>
      <c r="D1827" s="1">
        <v>21769</v>
      </c>
      <c r="E1827" s="1">
        <v>151</v>
      </c>
      <c r="F1827" s="1">
        <v>162</v>
      </c>
      <c r="G1827" s="1">
        <v>1072089</v>
      </c>
      <c r="H1827" s="1" t="s">
        <v>70</v>
      </c>
    </row>
    <row r="1828" spans="1:8" x14ac:dyDescent="0.3">
      <c r="A1828" s="1" t="s">
        <v>616</v>
      </c>
      <c r="B1828" s="1" t="s">
        <v>617</v>
      </c>
      <c r="C1828" s="1">
        <v>2017</v>
      </c>
      <c r="D1828" s="1">
        <v>18253</v>
      </c>
      <c r="E1828" s="1">
        <v>143</v>
      </c>
      <c r="F1828" s="1">
        <v>119</v>
      </c>
      <c r="G1828" s="1">
        <v>579880</v>
      </c>
      <c r="H1828" s="1" t="s">
        <v>70</v>
      </c>
    </row>
    <row r="1829" spans="1:8" x14ac:dyDescent="0.3">
      <c r="A1829" s="1" t="s">
        <v>618</v>
      </c>
      <c r="B1829" s="1" t="s">
        <v>619</v>
      </c>
      <c r="C1829" s="1">
        <v>2017</v>
      </c>
      <c r="D1829" s="1">
        <v>32587</v>
      </c>
      <c r="E1829" s="1">
        <v>494</v>
      </c>
      <c r="F1829" s="1">
        <v>496</v>
      </c>
      <c r="G1829" s="1">
        <v>1503960</v>
      </c>
      <c r="H1829" s="1" t="s">
        <v>70</v>
      </c>
    </row>
    <row r="1830" spans="1:8" x14ac:dyDescent="0.3">
      <c r="A1830" s="1" t="s">
        <v>620</v>
      </c>
      <c r="B1830" s="1" t="s">
        <v>621</v>
      </c>
      <c r="C1830" s="1">
        <v>2017</v>
      </c>
      <c r="D1830" s="1">
        <v>20912</v>
      </c>
      <c r="E1830" s="1">
        <v>159</v>
      </c>
      <c r="F1830" s="1">
        <v>497</v>
      </c>
      <c r="G1830" s="1">
        <v>1674336</v>
      </c>
      <c r="H1830" s="1" t="s">
        <v>70</v>
      </c>
    </row>
    <row r="1831" spans="1:8" x14ac:dyDescent="0.3">
      <c r="A1831" s="1" t="s">
        <v>622</v>
      </c>
      <c r="B1831" s="1" t="s">
        <v>623</v>
      </c>
      <c r="C1831" s="1">
        <v>2017</v>
      </c>
      <c r="D1831" s="1">
        <v>30019</v>
      </c>
      <c r="E1831" s="1">
        <v>292</v>
      </c>
      <c r="F1831" s="1">
        <v>439</v>
      </c>
      <c r="G1831" s="1">
        <v>978082</v>
      </c>
      <c r="H1831" s="1" t="s">
        <v>70</v>
      </c>
    </row>
    <row r="1832" spans="1:8" x14ac:dyDescent="0.3">
      <c r="A1832" s="1" t="s">
        <v>624</v>
      </c>
      <c r="B1832" s="1" t="s">
        <v>625</v>
      </c>
      <c r="C1832" s="1">
        <v>2017</v>
      </c>
      <c r="D1832" s="1">
        <v>23613</v>
      </c>
      <c r="E1832" s="1">
        <v>73</v>
      </c>
      <c r="F1832" s="1">
        <v>292</v>
      </c>
      <c r="G1832" s="1">
        <v>1857918</v>
      </c>
      <c r="H1832" s="1" t="s">
        <v>70</v>
      </c>
    </row>
    <row r="1833" spans="1:8" x14ac:dyDescent="0.3">
      <c r="A1833" s="1" t="s">
        <v>626</v>
      </c>
      <c r="B1833" s="1" t="s">
        <v>627</v>
      </c>
      <c r="C1833" s="1">
        <v>2017</v>
      </c>
      <c r="D1833" s="1">
        <v>14963</v>
      </c>
      <c r="E1833" s="1">
        <v>67</v>
      </c>
      <c r="F1833" s="1">
        <v>151</v>
      </c>
      <c r="G1833" s="1">
        <v>1259857</v>
      </c>
      <c r="H1833" s="1" t="s">
        <v>70</v>
      </c>
    </row>
    <row r="1834" spans="1:8" x14ac:dyDescent="0.3">
      <c r="A1834" s="1" t="s">
        <v>628</v>
      </c>
      <c r="B1834" s="1" t="s">
        <v>629</v>
      </c>
      <c r="C1834" s="1">
        <v>2017</v>
      </c>
      <c r="D1834" s="1">
        <v>18126</v>
      </c>
      <c r="E1834" s="1">
        <v>107</v>
      </c>
      <c r="F1834" s="1">
        <v>180</v>
      </c>
      <c r="G1834" s="1">
        <v>1584623</v>
      </c>
      <c r="H1834" s="1" t="s">
        <v>70</v>
      </c>
    </row>
    <row r="1835" spans="1:8" x14ac:dyDescent="0.3">
      <c r="A1835" s="1" t="s">
        <v>630</v>
      </c>
      <c r="B1835" s="1" t="s">
        <v>631</v>
      </c>
      <c r="C1835" s="1">
        <v>2017</v>
      </c>
      <c r="D1835" s="1">
        <v>10759</v>
      </c>
      <c r="E1835" s="1">
        <v>75</v>
      </c>
      <c r="F1835" s="1">
        <v>81</v>
      </c>
      <c r="G1835" s="1">
        <v>500647</v>
      </c>
      <c r="H1835" s="1" t="s">
        <v>70</v>
      </c>
    </row>
    <row r="1836" spans="1:8" x14ac:dyDescent="0.3">
      <c r="A1836" s="1" t="s">
        <v>632</v>
      </c>
      <c r="B1836" s="1" t="s">
        <v>633</v>
      </c>
      <c r="C1836" s="1">
        <v>2017</v>
      </c>
      <c r="D1836" s="1">
        <v>13561</v>
      </c>
      <c r="E1836" s="1">
        <v>105</v>
      </c>
      <c r="F1836" s="1">
        <v>56</v>
      </c>
      <c r="G1836" s="1">
        <v>396219</v>
      </c>
      <c r="H1836" s="1" t="s">
        <v>70</v>
      </c>
    </row>
    <row r="1837" spans="1:8" x14ac:dyDescent="0.3">
      <c r="A1837" s="1" t="s">
        <v>634</v>
      </c>
      <c r="B1837" s="1" t="s">
        <v>635</v>
      </c>
      <c r="C1837" s="1">
        <v>2017</v>
      </c>
      <c r="D1837" s="1">
        <v>11851</v>
      </c>
      <c r="E1837" s="1">
        <v>71</v>
      </c>
      <c r="F1837" s="1">
        <v>158</v>
      </c>
      <c r="G1837" s="1">
        <v>1195813</v>
      </c>
      <c r="H1837" s="1" t="s">
        <v>70</v>
      </c>
    </row>
    <row r="1838" spans="1:8" x14ac:dyDescent="0.3">
      <c r="A1838" s="1" t="s">
        <v>636</v>
      </c>
      <c r="B1838" s="1" t="s">
        <v>637</v>
      </c>
      <c r="C1838" s="1">
        <v>2017</v>
      </c>
      <c r="D1838" s="1">
        <v>42007</v>
      </c>
      <c r="E1838" s="1">
        <v>787</v>
      </c>
      <c r="F1838" s="1">
        <v>707</v>
      </c>
      <c r="G1838" s="1">
        <v>2188254</v>
      </c>
      <c r="H1838" s="1" t="s">
        <v>70</v>
      </c>
    </row>
    <row r="1839" spans="1:8" x14ac:dyDescent="0.3">
      <c r="A1839" s="1" t="s">
        <v>638</v>
      </c>
      <c r="B1839" s="1" t="s">
        <v>639</v>
      </c>
      <c r="C1839" s="1">
        <v>2017</v>
      </c>
      <c r="D1839" s="1">
        <v>36428</v>
      </c>
      <c r="E1839" s="1">
        <v>287</v>
      </c>
      <c r="F1839" s="1">
        <v>422</v>
      </c>
      <c r="G1839" s="1">
        <v>1500522</v>
      </c>
      <c r="H1839" s="1" t="s">
        <v>70</v>
      </c>
    </row>
    <row r="1840" spans="1:8" x14ac:dyDescent="0.3">
      <c r="A1840" s="1" t="s">
        <v>640</v>
      </c>
      <c r="B1840" s="1" t="s">
        <v>641</v>
      </c>
      <c r="C1840" s="1">
        <v>2017</v>
      </c>
      <c r="D1840" s="1">
        <v>19194</v>
      </c>
      <c r="E1840" s="1">
        <v>141</v>
      </c>
      <c r="F1840" s="1">
        <v>266</v>
      </c>
      <c r="G1840" s="1">
        <v>1790477</v>
      </c>
      <c r="H1840" s="1" t="s">
        <v>70</v>
      </c>
    </row>
    <row r="1841" spans="1:8" x14ac:dyDescent="0.3">
      <c r="A1841" s="1" t="s">
        <v>642</v>
      </c>
      <c r="B1841" s="1" t="s">
        <v>643</v>
      </c>
      <c r="C1841" s="1">
        <v>2017</v>
      </c>
      <c r="D1841" s="1">
        <v>23012</v>
      </c>
      <c r="E1841" s="1">
        <v>285</v>
      </c>
      <c r="F1841" s="1">
        <v>257</v>
      </c>
      <c r="G1841" s="1">
        <v>845829</v>
      </c>
      <c r="H1841" s="1" t="s">
        <v>70</v>
      </c>
    </row>
    <row r="1842" spans="1:8" x14ac:dyDescent="0.3">
      <c r="A1842" s="1" t="s">
        <v>644</v>
      </c>
      <c r="B1842" s="1" t="s">
        <v>645</v>
      </c>
      <c r="C1842" s="1">
        <v>2017</v>
      </c>
      <c r="D1842" s="1">
        <v>9161</v>
      </c>
      <c r="E1842" s="1">
        <v>84</v>
      </c>
      <c r="F1842" s="1">
        <v>110</v>
      </c>
      <c r="G1842" s="1">
        <v>1702223</v>
      </c>
      <c r="H1842" s="1" t="s">
        <v>70</v>
      </c>
    </row>
    <row r="1843" spans="1:8" x14ac:dyDescent="0.3">
      <c r="A1843" s="1" t="s">
        <v>646</v>
      </c>
      <c r="B1843" s="1" t="s">
        <v>647</v>
      </c>
      <c r="C1843" s="1">
        <v>2017</v>
      </c>
      <c r="D1843" s="1">
        <v>8430</v>
      </c>
      <c r="E1843" s="1">
        <v>27</v>
      </c>
      <c r="F1843" s="1">
        <v>71</v>
      </c>
      <c r="G1843" s="1">
        <v>751572</v>
      </c>
      <c r="H1843" s="1" t="s">
        <v>70</v>
      </c>
    </row>
    <row r="1844" spans="1:8" x14ac:dyDescent="0.3">
      <c r="A1844" s="1" t="s">
        <v>648</v>
      </c>
      <c r="B1844" s="1" t="s">
        <v>649</v>
      </c>
      <c r="C1844" s="1">
        <v>2017</v>
      </c>
      <c r="D1844" s="1">
        <v>46863</v>
      </c>
      <c r="E1844" s="1">
        <v>458</v>
      </c>
      <c r="F1844" s="1">
        <v>1020</v>
      </c>
      <c r="G1844" s="1">
        <v>5436395</v>
      </c>
      <c r="H1844" s="1" t="s">
        <v>70</v>
      </c>
    </row>
    <row r="1845" spans="1:8" x14ac:dyDescent="0.3">
      <c r="A1845" s="1" t="s">
        <v>650</v>
      </c>
      <c r="B1845" s="1" t="s">
        <v>651</v>
      </c>
      <c r="C1845" s="1">
        <v>2017</v>
      </c>
      <c r="D1845" s="1">
        <v>77525</v>
      </c>
      <c r="E1845" s="1">
        <v>847</v>
      </c>
      <c r="F1845" s="1">
        <v>2042</v>
      </c>
      <c r="G1845" s="1">
        <v>5497590</v>
      </c>
      <c r="H1845" s="1" t="s">
        <v>70</v>
      </c>
    </row>
    <row r="1846" spans="1:8" x14ac:dyDescent="0.3">
      <c r="A1846" s="1" t="s">
        <v>652</v>
      </c>
      <c r="B1846" s="1" t="s">
        <v>653</v>
      </c>
      <c r="C1846" s="1">
        <v>2017</v>
      </c>
      <c r="D1846" s="1">
        <v>14804</v>
      </c>
      <c r="E1846" s="1">
        <v>154</v>
      </c>
      <c r="F1846" s="1">
        <v>143</v>
      </c>
      <c r="G1846" s="1">
        <v>935365</v>
      </c>
      <c r="H1846" s="1" t="s">
        <v>70</v>
      </c>
    </row>
    <row r="1847" spans="1:8" x14ac:dyDescent="0.3">
      <c r="A1847" s="1" t="s">
        <v>654</v>
      </c>
      <c r="B1847" s="1" t="s">
        <v>655</v>
      </c>
      <c r="C1847" s="1">
        <v>2017</v>
      </c>
      <c r="D1847" s="1">
        <v>27325</v>
      </c>
      <c r="E1847" s="1">
        <v>215</v>
      </c>
      <c r="F1847" s="1">
        <v>138</v>
      </c>
      <c r="G1847" s="1">
        <v>1336950</v>
      </c>
      <c r="H1847" s="1" t="s">
        <v>70</v>
      </c>
    </row>
    <row r="1848" spans="1:8" x14ac:dyDescent="0.3">
      <c r="A1848" s="1" t="s">
        <v>656</v>
      </c>
      <c r="B1848" s="1" t="s">
        <v>657</v>
      </c>
      <c r="C1848" s="1">
        <v>2017</v>
      </c>
      <c r="D1848" s="1">
        <v>49520</v>
      </c>
      <c r="E1848" s="1">
        <v>661</v>
      </c>
      <c r="F1848" s="1">
        <v>364</v>
      </c>
      <c r="G1848" s="1">
        <v>6852995</v>
      </c>
      <c r="H1848" s="1" t="s">
        <v>70</v>
      </c>
    </row>
    <row r="1849" spans="1:8" x14ac:dyDescent="0.3">
      <c r="A1849" s="1" t="s">
        <v>658</v>
      </c>
      <c r="B1849" s="1" t="s">
        <v>659</v>
      </c>
      <c r="C1849" s="1">
        <v>2017</v>
      </c>
      <c r="D1849" s="1">
        <v>21835</v>
      </c>
      <c r="E1849" s="1">
        <v>268</v>
      </c>
      <c r="F1849" s="1">
        <v>178</v>
      </c>
      <c r="G1849" s="1">
        <v>1033121</v>
      </c>
      <c r="H1849" s="1" t="s">
        <v>70</v>
      </c>
    </row>
    <row r="1850" spans="1:8" x14ac:dyDescent="0.3">
      <c r="A1850" s="1" t="s">
        <v>660</v>
      </c>
      <c r="B1850" s="1" t="s">
        <v>292</v>
      </c>
      <c r="C1850" s="1">
        <v>2017</v>
      </c>
      <c r="D1850" s="1">
        <v>14737</v>
      </c>
      <c r="E1850" s="1">
        <v>279</v>
      </c>
      <c r="F1850" s="1">
        <v>129</v>
      </c>
      <c r="G1850" s="1">
        <v>872218</v>
      </c>
      <c r="H1850" s="1" t="s">
        <v>70</v>
      </c>
    </row>
    <row r="1851" spans="1:8" x14ac:dyDescent="0.3">
      <c r="A1851" s="1" t="s">
        <v>661</v>
      </c>
      <c r="B1851" s="1" t="s">
        <v>662</v>
      </c>
      <c r="C1851" s="1">
        <v>2017</v>
      </c>
      <c r="D1851" s="1">
        <v>21276</v>
      </c>
      <c r="E1851" s="1">
        <v>201</v>
      </c>
      <c r="F1851" s="1">
        <v>132</v>
      </c>
      <c r="G1851" s="1">
        <v>970885</v>
      </c>
      <c r="H1851" s="1" t="s">
        <v>70</v>
      </c>
    </row>
    <row r="1852" spans="1:8" x14ac:dyDescent="0.3">
      <c r="A1852" s="1" t="s">
        <v>663</v>
      </c>
      <c r="B1852" s="1" t="s">
        <v>664</v>
      </c>
      <c r="C1852" s="1">
        <v>2017</v>
      </c>
      <c r="D1852" s="1">
        <v>23114</v>
      </c>
      <c r="E1852" s="1">
        <v>194</v>
      </c>
      <c r="F1852" s="1">
        <v>7</v>
      </c>
      <c r="G1852" s="1">
        <v>165142</v>
      </c>
      <c r="H1852" s="1" t="s">
        <v>70</v>
      </c>
    </row>
    <row r="1853" spans="1:8" x14ac:dyDescent="0.3">
      <c r="A1853" s="1" t="s">
        <v>665</v>
      </c>
      <c r="B1853" s="1" t="s">
        <v>666</v>
      </c>
      <c r="C1853" s="1">
        <v>2017</v>
      </c>
      <c r="D1853" s="1">
        <v>17237</v>
      </c>
      <c r="E1853" s="1">
        <v>244</v>
      </c>
      <c r="F1853" s="1">
        <v>69</v>
      </c>
      <c r="G1853" s="1">
        <v>563457</v>
      </c>
      <c r="H1853" s="1" t="s">
        <v>70</v>
      </c>
    </row>
    <row r="1854" spans="1:8" x14ac:dyDescent="0.3">
      <c r="A1854" s="1" t="s">
        <v>667</v>
      </c>
      <c r="B1854" s="1" t="s">
        <v>668</v>
      </c>
      <c r="C1854" s="1">
        <v>2017</v>
      </c>
      <c r="D1854" s="1">
        <v>29141</v>
      </c>
      <c r="E1854" s="1">
        <v>141</v>
      </c>
      <c r="F1854" s="1">
        <v>77</v>
      </c>
      <c r="G1854" s="1">
        <v>1607736</v>
      </c>
      <c r="H1854" s="1" t="s">
        <v>70</v>
      </c>
    </row>
    <row r="1855" spans="1:8" x14ac:dyDescent="0.3">
      <c r="A1855" s="1" t="s">
        <v>669</v>
      </c>
      <c r="B1855" s="1" t="s">
        <v>670</v>
      </c>
      <c r="C1855" s="1">
        <v>2017</v>
      </c>
      <c r="D1855" s="1">
        <v>36624</v>
      </c>
      <c r="E1855" s="1">
        <v>472</v>
      </c>
      <c r="F1855" s="1">
        <v>58</v>
      </c>
      <c r="G1855" s="1">
        <v>500650</v>
      </c>
      <c r="H1855" s="1" t="s">
        <v>70</v>
      </c>
    </row>
    <row r="1856" spans="1:8" x14ac:dyDescent="0.3">
      <c r="A1856" s="1" t="s">
        <v>671</v>
      </c>
      <c r="B1856" s="1" t="s">
        <v>672</v>
      </c>
      <c r="C1856" s="1">
        <v>2017</v>
      </c>
      <c r="D1856" s="1">
        <v>24653</v>
      </c>
      <c r="E1856" s="1">
        <v>340</v>
      </c>
      <c r="F1856" s="1">
        <v>183</v>
      </c>
      <c r="G1856" s="1">
        <v>2127794</v>
      </c>
      <c r="H1856" s="1" t="s">
        <v>70</v>
      </c>
    </row>
    <row r="1857" spans="1:8" x14ac:dyDescent="0.3">
      <c r="A1857" s="1" t="s">
        <v>673</v>
      </c>
      <c r="B1857" s="1" t="s">
        <v>674</v>
      </c>
      <c r="C1857" s="1">
        <v>2017</v>
      </c>
      <c r="D1857" s="1">
        <v>23481</v>
      </c>
      <c r="E1857" s="1">
        <v>242</v>
      </c>
      <c r="F1857" s="1">
        <v>167</v>
      </c>
      <c r="G1857" s="1">
        <v>1921710</v>
      </c>
      <c r="H1857" s="1" t="s">
        <v>70</v>
      </c>
    </row>
    <row r="1858" spans="1:8" x14ac:dyDescent="0.3">
      <c r="A1858" s="1" t="s">
        <v>675</v>
      </c>
      <c r="B1858" s="1" t="s">
        <v>676</v>
      </c>
      <c r="C1858" s="1">
        <v>2017</v>
      </c>
      <c r="D1858" s="1">
        <v>15707</v>
      </c>
      <c r="E1858" s="1">
        <v>471</v>
      </c>
      <c r="F1858" s="1">
        <v>108</v>
      </c>
      <c r="G1858" s="1">
        <v>156549</v>
      </c>
      <c r="H1858" s="1" t="s">
        <v>70</v>
      </c>
    </row>
    <row r="1859" spans="1:8" x14ac:dyDescent="0.3">
      <c r="A1859" s="1" t="s">
        <v>677</v>
      </c>
      <c r="B1859" s="1" t="s">
        <v>678</v>
      </c>
      <c r="C1859" s="1">
        <v>2017</v>
      </c>
      <c r="D1859" s="1">
        <v>12477</v>
      </c>
      <c r="E1859" s="1">
        <v>107</v>
      </c>
      <c r="F1859" s="1">
        <v>85</v>
      </c>
      <c r="G1859" s="1">
        <v>747655</v>
      </c>
      <c r="H1859" s="1" t="s">
        <v>70</v>
      </c>
    </row>
    <row r="1860" spans="1:8" x14ac:dyDescent="0.3">
      <c r="A1860" s="1" t="s">
        <v>679</v>
      </c>
      <c r="B1860" s="1" t="s">
        <v>680</v>
      </c>
      <c r="C1860" s="1">
        <v>2017</v>
      </c>
      <c r="D1860" s="1">
        <v>23827</v>
      </c>
      <c r="E1860" s="1">
        <v>358</v>
      </c>
      <c r="F1860" s="1">
        <v>146</v>
      </c>
      <c r="G1860" s="1">
        <v>434047</v>
      </c>
      <c r="H1860" s="1" t="s">
        <v>70</v>
      </c>
    </row>
    <row r="1861" spans="1:8" x14ac:dyDescent="0.3">
      <c r="A1861" s="1" t="s">
        <v>681</v>
      </c>
      <c r="B1861" s="1" t="s">
        <v>682</v>
      </c>
      <c r="C1861" s="1">
        <v>2017</v>
      </c>
      <c r="D1861" s="1">
        <v>19206</v>
      </c>
      <c r="E1861" s="1">
        <v>337</v>
      </c>
      <c r="F1861" s="1">
        <v>134</v>
      </c>
      <c r="G1861" s="1">
        <v>863085</v>
      </c>
      <c r="H1861" s="1" t="s">
        <v>70</v>
      </c>
    </row>
    <row r="1862" spans="1:8" x14ac:dyDescent="0.3">
      <c r="A1862" s="1" t="s">
        <v>683</v>
      </c>
      <c r="B1862" s="1" t="s">
        <v>314</v>
      </c>
      <c r="C1862" s="1">
        <v>2017</v>
      </c>
      <c r="D1862" s="1">
        <v>51671</v>
      </c>
      <c r="E1862" s="1">
        <v>640</v>
      </c>
      <c r="F1862" s="1">
        <v>400</v>
      </c>
      <c r="G1862" s="1">
        <v>3756496</v>
      </c>
      <c r="H1862" s="1" t="s">
        <v>70</v>
      </c>
    </row>
    <row r="1863" spans="1:8" x14ac:dyDescent="0.3">
      <c r="A1863" s="1" t="s">
        <v>684</v>
      </c>
      <c r="B1863" s="1" t="s">
        <v>685</v>
      </c>
      <c r="C1863" s="1">
        <v>2017</v>
      </c>
      <c r="D1863" s="1">
        <v>16861</v>
      </c>
      <c r="E1863" s="1">
        <v>193</v>
      </c>
      <c r="F1863" s="1">
        <v>54</v>
      </c>
      <c r="G1863" s="1">
        <v>687638</v>
      </c>
      <c r="H1863" s="1" t="s">
        <v>70</v>
      </c>
    </row>
    <row r="1864" spans="1:8" x14ac:dyDescent="0.3">
      <c r="A1864" s="1" t="s">
        <v>686</v>
      </c>
      <c r="B1864" s="1" t="s">
        <v>687</v>
      </c>
      <c r="C1864" s="1">
        <v>2017</v>
      </c>
      <c r="D1864" s="1">
        <v>45952</v>
      </c>
      <c r="E1864" s="1">
        <v>348</v>
      </c>
      <c r="F1864" s="1">
        <v>483</v>
      </c>
      <c r="G1864" s="1">
        <v>3422274</v>
      </c>
      <c r="H1864" s="1" t="s">
        <v>70</v>
      </c>
    </row>
    <row r="1865" spans="1:8" x14ac:dyDescent="0.3">
      <c r="A1865" s="1" t="s">
        <v>688</v>
      </c>
      <c r="B1865" s="1" t="s">
        <v>689</v>
      </c>
      <c r="C1865" s="1">
        <v>2017</v>
      </c>
      <c r="D1865" s="1">
        <v>18673</v>
      </c>
      <c r="E1865" s="1">
        <v>265</v>
      </c>
      <c r="F1865" s="1">
        <v>63</v>
      </c>
      <c r="G1865" s="1">
        <v>1334630</v>
      </c>
      <c r="H1865" s="1" t="s">
        <v>70</v>
      </c>
    </row>
    <row r="1866" spans="1:8" x14ac:dyDescent="0.3">
      <c r="A1866" s="1" t="s">
        <v>690</v>
      </c>
      <c r="B1866" s="1" t="s">
        <v>691</v>
      </c>
      <c r="C1866" s="1">
        <v>2017</v>
      </c>
      <c r="D1866" s="1">
        <v>129197</v>
      </c>
      <c r="E1866" s="1">
        <v>4621</v>
      </c>
      <c r="F1866" s="1">
        <v>949</v>
      </c>
      <c r="G1866" s="1">
        <v>3420155</v>
      </c>
      <c r="H1866" s="1" t="s">
        <v>70</v>
      </c>
    </row>
    <row r="1867" spans="1:8" x14ac:dyDescent="0.3">
      <c r="A1867" s="1" t="s">
        <v>692</v>
      </c>
      <c r="B1867" s="1" t="s">
        <v>693</v>
      </c>
      <c r="C1867" s="1">
        <v>2017</v>
      </c>
      <c r="D1867" s="1">
        <v>19163</v>
      </c>
      <c r="E1867" s="1">
        <v>195</v>
      </c>
      <c r="F1867" s="1">
        <v>141</v>
      </c>
      <c r="G1867" s="1">
        <v>829925</v>
      </c>
      <c r="H1867" s="1" t="s">
        <v>70</v>
      </c>
    </row>
    <row r="1868" spans="1:8" x14ac:dyDescent="0.3">
      <c r="A1868" s="1" t="s">
        <v>694</v>
      </c>
      <c r="B1868" s="1" t="s">
        <v>695</v>
      </c>
      <c r="C1868" s="1">
        <v>2017</v>
      </c>
      <c r="D1868" s="1">
        <v>18522</v>
      </c>
      <c r="E1868" s="1">
        <v>126</v>
      </c>
      <c r="F1868" s="1">
        <v>60</v>
      </c>
      <c r="G1868" s="1">
        <v>805724</v>
      </c>
      <c r="H1868" s="1" t="s">
        <v>70</v>
      </c>
    </row>
    <row r="1869" spans="1:8" x14ac:dyDescent="0.3">
      <c r="A1869" s="1" t="s">
        <v>696</v>
      </c>
      <c r="B1869" s="1" t="s">
        <v>697</v>
      </c>
      <c r="C1869" s="1">
        <v>2017</v>
      </c>
      <c r="D1869" s="1">
        <v>29407</v>
      </c>
      <c r="E1869" s="1">
        <v>488</v>
      </c>
      <c r="F1869" s="1">
        <v>317</v>
      </c>
      <c r="G1869" s="1">
        <v>1413087</v>
      </c>
      <c r="H1869" s="1" t="s">
        <v>70</v>
      </c>
    </row>
    <row r="1870" spans="1:8" x14ac:dyDescent="0.3">
      <c r="A1870" s="1" t="s">
        <v>698</v>
      </c>
      <c r="B1870" s="1" t="s">
        <v>45</v>
      </c>
      <c r="C1870" s="1">
        <v>2017</v>
      </c>
      <c r="D1870" s="1">
        <v>18475</v>
      </c>
      <c r="E1870" s="1">
        <v>375</v>
      </c>
      <c r="F1870" s="1">
        <v>221</v>
      </c>
      <c r="G1870" s="1">
        <v>447890</v>
      </c>
      <c r="H1870" s="1" t="s">
        <v>70</v>
      </c>
    </row>
    <row r="1871" spans="1:8" x14ac:dyDescent="0.3">
      <c r="A1871" s="1" t="s">
        <v>699</v>
      </c>
      <c r="B1871" s="1" t="s">
        <v>700</v>
      </c>
      <c r="C1871" s="1">
        <v>2017</v>
      </c>
      <c r="D1871" s="1">
        <v>19704</v>
      </c>
      <c r="E1871" s="1">
        <v>360</v>
      </c>
      <c r="F1871" s="1">
        <v>193</v>
      </c>
      <c r="G1871" s="1">
        <v>1741255</v>
      </c>
      <c r="H1871" s="1" t="s">
        <v>70</v>
      </c>
    </row>
    <row r="1872" spans="1:8" x14ac:dyDescent="0.3">
      <c r="A1872" s="1" t="s">
        <v>701</v>
      </c>
      <c r="B1872" s="1" t="s">
        <v>702</v>
      </c>
      <c r="C1872" s="1">
        <v>2017</v>
      </c>
      <c r="D1872" s="1">
        <v>26325</v>
      </c>
      <c r="E1872" s="1">
        <v>137</v>
      </c>
      <c r="F1872" s="1">
        <v>197</v>
      </c>
      <c r="G1872" s="1">
        <v>792042</v>
      </c>
      <c r="H1872" s="1" t="s">
        <v>70</v>
      </c>
    </row>
    <row r="1873" spans="1:8" x14ac:dyDescent="0.3">
      <c r="A1873" s="1" t="s">
        <v>703</v>
      </c>
      <c r="B1873" s="1" t="s">
        <v>704</v>
      </c>
      <c r="C1873" s="1">
        <v>2017</v>
      </c>
      <c r="D1873" s="1">
        <v>22265</v>
      </c>
      <c r="E1873" s="1">
        <v>331</v>
      </c>
      <c r="F1873" s="1">
        <v>159</v>
      </c>
      <c r="G1873" s="1">
        <v>1445615</v>
      </c>
      <c r="H1873" s="1" t="s">
        <v>70</v>
      </c>
    </row>
    <row r="1874" spans="1:8" x14ac:dyDescent="0.3">
      <c r="A1874" s="1" t="s">
        <v>705</v>
      </c>
      <c r="B1874" s="1" t="s">
        <v>706</v>
      </c>
      <c r="C1874" s="1">
        <v>2017</v>
      </c>
      <c r="D1874" s="1">
        <v>16107</v>
      </c>
      <c r="E1874" s="1">
        <v>242</v>
      </c>
      <c r="F1874" s="1">
        <v>90</v>
      </c>
      <c r="G1874" s="1">
        <v>512035</v>
      </c>
      <c r="H1874" s="1" t="s">
        <v>70</v>
      </c>
    </row>
    <row r="1875" spans="1:8" x14ac:dyDescent="0.3">
      <c r="A1875" s="1" t="s">
        <v>707</v>
      </c>
      <c r="B1875" s="1" t="s">
        <v>708</v>
      </c>
      <c r="C1875" s="1">
        <v>2017</v>
      </c>
      <c r="D1875" s="1">
        <v>26506</v>
      </c>
      <c r="E1875" s="1">
        <v>1024</v>
      </c>
      <c r="F1875" s="1">
        <v>831</v>
      </c>
      <c r="G1875" s="1">
        <v>1766605</v>
      </c>
      <c r="H1875" s="1" t="s">
        <v>70</v>
      </c>
    </row>
    <row r="1876" spans="1:8" x14ac:dyDescent="0.3">
      <c r="A1876" s="1" t="s">
        <v>709</v>
      </c>
      <c r="B1876" s="1" t="s">
        <v>710</v>
      </c>
      <c r="C1876" s="1">
        <v>2017</v>
      </c>
      <c r="D1876" s="1">
        <v>22010</v>
      </c>
      <c r="E1876" s="1">
        <v>177</v>
      </c>
      <c r="F1876" s="1">
        <v>242</v>
      </c>
      <c r="G1876" s="1">
        <v>2524878</v>
      </c>
      <c r="H1876" s="1" t="s">
        <v>70</v>
      </c>
    </row>
    <row r="1877" spans="1:8" x14ac:dyDescent="0.3">
      <c r="A1877" s="1" t="s">
        <v>711</v>
      </c>
      <c r="B1877" s="1" t="s">
        <v>712</v>
      </c>
      <c r="C1877" s="1">
        <v>2017</v>
      </c>
      <c r="D1877" s="1">
        <v>43636</v>
      </c>
      <c r="E1877" s="1">
        <v>272</v>
      </c>
      <c r="F1877" s="1">
        <v>535</v>
      </c>
      <c r="G1877" s="1">
        <v>4951213</v>
      </c>
      <c r="H1877" s="1" t="s">
        <v>70</v>
      </c>
    </row>
    <row r="1878" spans="1:8" x14ac:dyDescent="0.3">
      <c r="A1878" s="1" t="s">
        <v>713</v>
      </c>
      <c r="B1878" s="1" t="s">
        <v>714</v>
      </c>
      <c r="C1878" s="1">
        <v>2017</v>
      </c>
      <c r="D1878" s="1">
        <v>29606</v>
      </c>
      <c r="E1878" s="1">
        <v>133</v>
      </c>
      <c r="F1878" s="1">
        <v>304</v>
      </c>
      <c r="G1878" s="1">
        <v>3107225</v>
      </c>
      <c r="H1878" s="1" t="s">
        <v>70</v>
      </c>
    </row>
    <row r="1879" spans="1:8" x14ac:dyDescent="0.3">
      <c r="A1879" s="1" t="s">
        <v>715</v>
      </c>
      <c r="B1879" s="1" t="s">
        <v>716</v>
      </c>
      <c r="C1879" s="1">
        <v>2017</v>
      </c>
      <c r="D1879" s="1">
        <v>24426</v>
      </c>
      <c r="E1879" s="1">
        <v>179</v>
      </c>
      <c r="F1879" s="1">
        <v>406</v>
      </c>
      <c r="G1879" s="1">
        <v>1648184</v>
      </c>
      <c r="H1879" s="1" t="s">
        <v>70</v>
      </c>
    </row>
    <row r="1880" spans="1:8" x14ac:dyDescent="0.3">
      <c r="A1880" s="1" t="s">
        <v>717</v>
      </c>
      <c r="B1880" s="1" t="s">
        <v>718</v>
      </c>
      <c r="C1880" s="1">
        <v>2017</v>
      </c>
      <c r="D1880" s="1">
        <v>258015</v>
      </c>
      <c r="E1880" s="1">
        <v>4069</v>
      </c>
      <c r="F1880" s="1">
        <v>6518</v>
      </c>
      <c r="G1880" s="1">
        <v>16137943</v>
      </c>
      <c r="H1880" s="1" t="s">
        <v>70</v>
      </c>
    </row>
    <row r="1881" spans="1:8" x14ac:dyDescent="0.3">
      <c r="A1881" s="1" t="s">
        <v>719</v>
      </c>
      <c r="B1881" s="1" t="s">
        <v>720</v>
      </c>
      <c r="C1881" s="1">
        <v>2017</v>
      </c>
      <c r="D1881" s="1">
        <v>16810</v>
      </c>
      <c r="E1881" s="1">
        <v>130</v>
      </c>
      <c r="F1881" s="1">
        <v>183</v>
      </c>
      <c r="G1881" s="1">
        <v>1482124</v>
      </c>
      <c r="H1881" s="1" t="s">
        <v>70</v>
      </c>
    </row>
    <row r="1882" spans="1:8" x14ac:dyDescent="0.3">
      <c r="A1882" s="1" t="s">
        <v>721</v>
      </c>
      <c r="B1882" s="1" t="s">
        <v>722</v>
      </c>
      <c r="C1882" s="1">
        <v>2017</v>
      </c>
      <c r="D1882" s="1">
        <v>16615</v>
      </c>
      <c r="E1882" s="1">
        <v>81</v>
      </c>
      <c r="F1882" s="1">
        <v>134</v>
      </c>
      <c r="G1882" s="1">
        <v>1191629</v>
      </c>
      <c r="H1882" s="1" t="s">
        <v>70</v>
      </c>
    </row>
    <row r="1883" spans="1:8" x14ac:dyDescent="0.3">
      <c r="A1883" s="1" t="s">
        <v>723</v>
      </c>
      <c r="B1883" s="1" t="s">
        <v>724</v>
      </c>
      <c r="C1883" s="1">
        <v>2017</v>
      </c>
      <c r="D1883" s="1">
        <v>20265</v>
      </c>
      <c r="E1883" s="1">
        <v>124</v>
      </c>
      <c r="F1883" s="1">
        <v>166</v>
      </c>
      <c r="G1883" s="1">
        <v>3139934</v>
      </c>
      <c r="H1883" s="1" t="s">
        <v>70</v>
      </c>
    </row>
    <row r="1884" spans="1:8" x14ac:dyDescent="0.3">
      <c r="A1884" s="1" t="s">
        <v>725</v>
      </c>
      <c r="B1884" s="1" t="s">
        <v>726</v>
      </c>
      <c r="C1884" s="1">
        <v>2017</v>
      </c>
      <c r="D1884" s="1">
        <v>27391</v>
      </c>
      <c r="E1884" s="1">
        <v>197</v>
      </c>
      <c r="F1884" s="1">
        <v>296</v>
      </c>
      <c r="G1884" s="1">
        <v>1074507</v>
      </c>
      <c r="H1884" s="1" t="s">
        <v>70</v>
      </c>
    </row>
    <row r="1885" spans="1:8" x14ac:dyDescent="0.3">
      <c r="A1885" s="1" t="s">
        <v>727</v>
      </c>
      <c r="B1885" s="1" t="s">
        <v>728</v>
      </c>
      <c r="C1885" s="1">
        <v>2017</v>
      </c>
      <c r="D1885" s="1">
        <v>20834</v>
      </c>
      <c r="E1885" s="1">
        <v>84</v>
      </c>
      <c r="F1885" s="1">
        <v>199</v>
      </c>
      <c r="G1885" s="1">
        <v>1573941</v>
      </c>
      <c r="H1885" s="1" t="s">
        <v>70</v>
      </c>
    </row>
    <row r="1886" spans="1:8" x14ac:dyDescent="0.3">
      <c r="A1886" s="1" t="s">
        <v>729</v>
      </c>
      <c r="B1886" s="1" t="s">
        <v>730</v>
      </c>
      <c r="C1886" s="1">
        <v>2017</v>
      </c>
      <c r="D1886" s="1">
        <v>27214</v>
      </c>
      <c r="E1886" s="1">
        <v>153</v>
      </c>
      <c r="F1886" s="1">
        <v>265</v>
      </c>
      <c r="G1886" s="1">
        <v>1128299</v>
      </c>
      <c r="H1886" s="1" t="s">
        <v>70</v>
      </c>
    </row>
    <row r="1887" spans="1:8" x14ac:dyDescent="0.3">
      <c r="A1887" s="1" t="s">
        <v>731</v>
      </c>
      <c r="B1887" s="1" t="s">
        <v>732</v>
      </c>
      <c r="C1887" s="1">
        <v>2017</v>
      </c>
      <c r="D1887" s="1">
        <v>20715</v>
      </c>
      <c r="E1887" s="1">
        <v>288</v>
      </c>
      <c r="F1887" s="1">
        <v>388</v>
      </c>
      <c r="G1887" s="1">
        <v>743977</v>
      </c>
      <c r="H1887" s="1" t="s">
        <v>70</v>
      </c>
    </row>
    <row r="1888" spans="1:8" x14ac:dyDescent="0.3">
      <c r="A1888" s="1" t="s">
        <v>733</v>
      </c>
      <c r="B1888" s="1" t="s">
        <v>734</v>
      </c>
      <c r="C1888" s="1">
        <v>2017</v>
      </c>
      <c r="D1888" s="1">
        <v>34947</v>
      </c>
      <c r="E1888" s="1">
        <v>801</v>
      </c>
      <c r="F1888" s="1">
        <v>325</v>
      </c>
      <c r="G1888" s="1">
        <v>1415033</v>
      </c>
      <c r="H1888" s="1" t="s">
        <v>70</v>
      </c>
    </row>
    <row r="1889" spans="1:8" x14ac:dyDescent="0.3">
      <c r="A1889" s="1" t="s">
        <v>735</v>
      </c>
      <c r="B1889" s="1" t="s">
        <v>736</v>
      </c>
      <c r="C1889" s="1">
        <v>2017</v>
      </c>
      <c r="D1889" s="1">
        <v>22739</v>
      </c>
      <c r="E1889" s="1">
        <v>652</v>
      </c>
      <c r="F1889" s="1">
        <v>305</v>
      </c>
      <c r="G1889" s="1">
        <v>758273</v>
      </c>
      <c r="H1889" s="1" t="s">
        <v>70</v>
      </c>
    </row>
    <row r="1890" spans="1:8" x14ac:dyDescent="0.3">
      <c r="A1890" s="1" t="s">
        <v>737</v>
      </c>
      <c r="B1890" s="1" t="s">
        <v>738</v>
      </c>
      <c r="C1890" s="1">
        <v>2017</v>
      </c>
      <c r="D1890" s="1">
        <v>22407</v>
      </c>
      <c r="E1890" s="1">
        <v>189</v>
      </c>
      <c r="F1890" s="1">
        <v>204</v>
      </c>
      <c r="G1890" s="1">
        <v>1472968</v>
      </c>
      <c r="H1890" s="1" t="s">
        <v>70</v>
      </c>
    </row>
    <row r="1891" spans="1:8" x14ac:dyDescent="0.3">
      <c r="A1891" s="1" t="s">
        <v>739</v>
      </c>
      <c r="B1891" s="1" t="s">
        <v>740</v>
      </c>
      <c r="C1891" s="1">
        <v>2017</v>
      </c>
      <c r="D1891" s="1">
        <v>28157</v>
      </c>
      <c r="E1891" s="1">
        <v>542</v>
      </c>
      <c r="F1891" s="1">
        <v>328</v>
      </c>
      <c r="G1891" s="1">
        <v>881041</v>
      </c>
      <c r="H1891" s="1" t="s">
        <v>70</v>
      </c>
    </row>
    <row r="1892" spans="1:8" x14ac:dyDescent="0.3">
      <c r="A1892" s="1" t="s">
        <v>741</v>
      </c>
      <c r="B1892" s="1" t="s">
        <v>742</v>
      </c>
      <c r="C1892" s="1">
        <v>2017</v>
      </c>
      <c r="D1892" s="1">
        <v>12758</v>
      </c>
      <c r="E1892" s="1">
        <v>80</v>
      </c>
      <c r="F1892" s="1">
        <v>100</v>
      </c>
      <c r="G1892" s="1">
        <v>761873</v>
      </c>
      <c r="H1892" s="1" t="s">
        <v>70</v>
      </c>
    </row>
    <row r="1893" spans="1:8" x14ac:dyDescent="0.3">
      <c r="A1893" s="1" t="s">
        <v>743</v>
      </c>
      <c r="B1893" s="1" t="s">
        <v>744</v>
      </c>
      <c r="C1893" s="1">
        <v>2017</v>
      </c>
      <c r="D1893" s="1">
        <v>18933</v>
      </c>
      <c r="E1893" s="1">
        <v>198</v>
      </c>
      <c r="F1893" s="1">
        <v>307</v>
      </c>
      <c r="G1893" s="1">
        <v>856283</v>
      </c>
      <c r="H1893" s="1" t="s">
        <v>70</v>
      </c>
    </row>
    <row r="1894" spans="1:8" x14ac:dyDescent="0.3">
      <c r="A1894" s="1" t="s">
        <v>745</v>
      </c>
      <c r="B1894" s="1" t="s">
        <v>746</v>
      </c>
      <c r="C1894" s="1">
        <v>2017</v>
      </c>
      <c r="D1894" s="1">
        <v>41443</v>
      </c>
      <c r="E1894" s="1">
        <v>242</v>
      </c>
      <c r="F1894" s="1">
        <v>667</v>
      </c>
      <c r="G1894" s="1">
        <v>3430248</v>
      </c>
      <c r="H1894" s="1" t="s">
        <v>70</v>
      </c>
    </row>
    <row r="1895" spans="1:8" x14ac:dyDescent="0.3">
      <c r="A1895" s="1" t="s">
        <v>747</v>
      </c>
      <c r="B1895" s="1" t="s">
        <v>748</v>
      </c>
      <c r="C1895" s="1">
        <v>2017</v>
      </c>
      <c r="D1895" s="1">
        <v>28192</v>
      </c>
      <c r="E1895" s="1">
        <v>101</v>
      </c>
      <c r="F1895" s="1">
        <v>406</v>
      </c>
      <c r="G1895" s="1">
        <v>3042473</v>
      </c>
      <c r="H1895" s="1" t="s">
        <v>70</v>
      </c>
    </row>
    <row r="1896" spans="1:8" x14ac:dyDescent="0.3">
      <c r="A1896" s="1" t="s">
        <v>749</v>
      </c>
      <c r="B1896" s="1" t="s">
        <v>750</v>
      </c>
      <c r="C1896" s="1">
        <v>2017</v>
      </c>
      <c r="D1896" s="1">
        <v>16644</v>
      </c>
      <c r="E1896" s="1">
        <v>49</v>
      </c>
      <c r="F1896" s="1">
        <v>146</v>
      </c>
      <c r="G1896" s="1">
        <v>1422883</v>
      </c>
      <c r="H1896" s="1" t="s">
        <v>70</v>
      </c>
    </row>
    <row r="1897" spans="1:8" x14ac:dyDescent="0.3">
      <c r="A1897" s="1" t="s">
        <v>751</v>
      </c>
      <c r="B1897" s="1" t="s">
        <v>752</v>
      </c>
      <c r="C1897" s="1">
        <v>2017</v>
      </c>
      <c r="D1897" s="1">
        <v>18938</v>
      </c>
      <c r="E1897" s="1">
        <v>115</v>
      </c>
      <c r="F1897" s="1">
        <v>199</v>
      </c>
      <c r="G1897" s="1">
        <v>1266328</v>
      </c>
      <c r="H1897" s="1" t="s">
        <v>70</v>
      </c>
    </row>
    <row r="1898" spans="1:8" x14ac:dyDescent="0.3">
      <c r="A1898" s="1" t="s">
        <v>753</v>
      </c>
      <c r="B1898" s="1" t="s">
        <v>754</v>
      </c>
      <c r="C1898" s="1">
        <v>2017</v>
      </c>
      <c r="D1898" s="1">
        <v>12838</v>
      </c>
      <c r="E1898" s="1">
        <v>32</v>
      </c>
      <c r="F1898" s="1">
        <v>122</v>
      </c>
      <c r="G1898" s="1">
        <v>728430</v>
      </c>
      <c r="H1898" s="1" t="s">
        <v>70</v>
      </c>
    </row>
    <row r="1899" spans="1:8" x14ac:dyDescent="0.3">
      <c r="A1899" s="1" t="s">
        <v>755</v>
      </c>
      <c r="B1899" s="1" t="s">
        <v>756</v>
      </c>
      <c r="C1899" s="1">
        <v>2017</v>
      </c>
      <c r="D1899" s="1">
        <v>46307</v>
      </c>
      <c r="E1899" s="1">
        <v>509</v>
      </c>
      <c r="F1899" s="1">
        <v>714</v>
      </c>
      <c r="G1899" s="1">
        <v>3907076</v>
      </c>
      <c r="H1899" s="1" t="s">
        <v>70</v>
      </c>
    </row>
    <row r="1900" spans="1:8" x14ac:dyDescent="0.3">
      <c r="A1900" s="1" t="s">
        <v>757</v>
      </c>
      <c r="B1900" s="1" t="s">
        <v>758</v>
      </c>
      <c r="C1900" s="1">
        <v>2017</v>
      </c>
      <c r="D1900" s="1">
        <v>177766</v>
      </c>
      <c r="E1900" s="1">
        <v>2661</v>
      </c>
      <c r="F1900" s="1">
        <v>4178</v>
      </c>
      <c r="G1900" s="1">
        <v>10239306</v>
      </c>
      <c r="H1900" s="1" t="s">
        <v>70</v>
      </c>
    </row>
    <row r="1901" spans="1:8" x14ac:dyDescent="0.3">
      <c r="A1901" s="1" t="s">
        <v>759</v>
      </c>
      <c r="B1901" s="1" t="s">
        <v>760</v>
      </c>
      <c r="C1901" s="1">
        <v>2017</v>
      </c>
      <c r="D1901" s="1">
        <v>20636</v>
      </c>
      <c r="E1901" s="1">
        <v>245</v>
      </c>
      <c r="F1901" s="1">
        <v>403</v>
      </c>
      <c r="G1901" s="1">
        <v>975695</v>
      </c>
      <c r="H1901" s="1" t="s">
        <v>70</v>
      </c>
    </row>
    <row r="1902" spans="1:8" x14ac:dyDescent="0.3">
      <c r="A1902" s="2" t="s">
        <v>10</v>
      </c>
      <c r="B1902" s="2" t="s">
        <v>11</v>
      </c>
      <c r="C1902" s="1">
        <v>2018</v>
      </c>
      <c r="D1902" s="2">
        <v>32143</v>
      </c>
      <c r="E1902" s="2">
        <v>337</v>
      </c>
      <c r="F1902" s="2">
        <v>589</v>
      </c>
      <c r="G1902" s="2">
        <v>1073530</v>
      </c>
      <c r="H1902" s="1">
        <v>32</v>
      </c>
    </row>
    <row r="1903" spans="1:8" x14ac:dyDescent="0.3">
      <c r="A1903" s="1" t="s">
        <v>12</v>
      </c>
      <c r="B1903" s="1" t="s">
        <v>13</v>
      </c>
      <c r="C1903" s="1">
        <v>2018</v>
      </c>
      <c r="D1903" s="1">
        <v>39817</v>
      </c>
      <c r="E1903" s="1">
        <v>118</v>
      </c>
      <c r="F1903" s="1">
        <v>414</v>
      </c>
      <c r="G1903" s="1">
        <v>2261339</v>
      </c>
      <c r="H1903" s="1">
        <v>154</v>
      </c>
    </row>
    <row r="1904" spans="1:8" x14ac:dyDescent="0.3">
      <c r="A1904" s="1" t="s">
        <v>14</v>
      </c>
      <c r="B1904" s="1" t="s">
        <v>15</v>
      </c>
      <c r="C1904" s="1">
        <v>2018</v>
      </c>
      <c r="D1904" s="1">
        <v>33107</v>
      </c>
      <c r="E1904" s="1">
        <v>450</v>
      </c>
      <c r="F1904" s="1">
        <v>578</v>
      </c>
      <c r="G1904" s="1">
        <v>1675608</v>
      </c>
      <c r="H1904" s="1">
        <v>0</v>
      </c>
    </row>
    <row r="1905" spans="1:8" x14ac:dyDescent="0.3">
      <c r="A1905" s="1" t="s">
        <v>16</v>
      </c>
      <c r="B1905" s="1" t="s">
        <v>17</v>
      </c>
      <c r="C1905" s="1">
        <v>2018</v>
      </c>
      <c r="D1905" s="1">
        <v>11982</v>
      </c>
      <c r="E1905" s="1">
        <v>72</v>
      </c>
      <c r="F1905" s="1">
        <v>31</v>
      </c>
      <c r="G1905" s="1">
        <v>714744</v>
      </c>
      <c r="H1905" s="1">
        <v>81</v>
      </c>
    </row>
    <row r="1906" spans="1:8" x14ac:dyDescent="0.3">
      <c r="A1906" s="1" t="s">
        <v>18</v>
      </c>
      <c r="B1906" s="1" t="s">
        <v>19</v>
      </c>
      <c r="C1906" s="1">
        <v>2018</v>
      </c>
      <c r="D1906" s="1">
        <v>18050</v>
      </c>
      <c r="E1906" s="1">
        <v>88</v>
      </c>
      <c r="F1906" s="1">
        <v>136</v>
      </c>
      <c r="G1906" s="1">
        <v>579543</v>
      </c>
      <c r="H1906" s="1">
        <v>4</v>
      </c>
    </row>
    <row r="1907" spans="1:8" x14ac:dyDescent="0.3">
      <c r="A1907" s="1" t="s">
        <v>20</v>
      </c>
      <c r="B1907" s="1" t="s">
        <v>21</v>
      </c>
      <c r="C1907" s="1">
        <v>2018</v>
      </c>
      <c r="D1907" s="1">
        <v>25827</v>
      </c>
      <c r="E1907" s="1">
        <v>302</v>
      </c>
      <c r="F1907" s="1">
        <v>215</v>
      </c>
      <c r="G1907" s="1">
        <v>865877</v>
      </c>
      <c r="H1907" s="1">
        <v>49</v>
      </c>
    </row>
    <row r="1908" spans="1:8" x14ac:dyDescent="0.3">
      <c r="A1908" s="1" t="s">
        <v>22</v>
      </c>
      <c r="B1908" s="1" t="s">
        <v>23</v>
      </c>
      <c r="C1908" s="1">
        <v>2018</v>
      </c>
      <c r="D1908" s="1">
        <v>16829</v>
      </c>
      <c r="E1908" s="1">
        <v>70</v>
      </c>
      <c r="F1908" s="1">
        <v>153</v>
      </c>
      <c r="G1908" s="1">
        <v>797991</v>
      </c>
      <c r="H1908" s="1">
        <v>4</v>
      </c>
    </row>
    <row r="1909" spans="1:8" x14ac:dyDescent="0.3">
      <c r="A1909" s="1" t="s">
        <v>24</v>
      </c>
      <c r="B1909" s="1" t="s">
        <v>25</v>
      </c>
      <c r="C1909" s="1">
        <v>2018</v>
      </c>
      <c r="D1909" s="1">
        <v>64534</v>
      </c>
      <c r="E1909" s="1">
        <v>240</v>
      </c>
      <c r="F1909" s="1">
        <v>710</v>
      </c>
      <c r="G1909" s="1">
        <v>3444198</v>
      </c>
      <c r="H1909" s="1">
        <v>380</v>
      </c>
    </row>
    <row r="1910" spans="1:8" x14ac:dyDescent="0.3">
      <c r="A1910" s="1" t="s">
        <v>26</v>
      </c>
      <c r="B1910" s="1" t="s">
        <v>27</v>
      </c>
      <c r="C1910" s="1">
        <v>2018</v>
      </c>
      <c r="D1910" s="1">
        <v>18499</v>
      </c>
      <c r="E1910" s="1">
        <v>172</v>
      </c>
      <c r="F1910" s="1">
        <v>116</v>
      </c>
      <c r="G1910" s="1">
        <v>501328</v>
      </c>
      <c r="H1910" s="1">
        <v>10</v>
      </c>
    </row>
    <row r="1911" spans="1:8" x14ac:dyDescent="0.3">
      <c r="A1911" s="1" t="s">
        <v>28</v>
      </c>
      <c r="B1911" s="1" t="s">
        <v>29</v>
      </c>
      <c r="C1911" s="1">
        <v>2018</v>
      </c>
      <c r="D1911" s="1">
        <v>20464</v>
      </c>
      <c r="E1911" s="1">
        <v>119</v>
      </c>
      <c r="F1911" s="1">
        <v>250</v>
      </c>
      <c r="G1911" s="1">
        <v>782906</v>
      </c>
      <c r="H1911" s="1">
        <v>50</v>
      </c>
    </row>
    <row r="1912" spans="1:8" x14ac:dyDescent="0.3">
      <c r="A1912" s="1" t="s">
        <v>30</v>
      </c>
      <c r="B1912" s="1" t="s">
        <v>31</v>
      </c>
      <c r="C1912" s="1">
        <v>2018</v>
      </c>
      <c r="D1912" s="1">
        <v>40820</v>
      </c>
      <c r="E1912" s="1">
        <v>409</v>
      </c>
      <c r="F1912" s="1">
        <v>761</v>
      </c>
      <c r="G1912" s="1">
        <v>1410360</v>
      </c>
      <c r="H1912" s="1">
        <v>2</v>
      </c>
    </row>
    <row r="1913" spans="1:8" x14ac:dyDescent="0.3">
      <c r="A1913" s="1" t="s">
        <v>32</v>
      </c>
      <c r="B1913" s="1" t="s">
        <v>33</v>
      </c>
      <c r="C1913" s="1">
        <v>2018</v>
      </c>
      <c r="D1913" s="1">
        <v>16856</v>
      </c>
      <c r="E1913" s="1">
        <v>57</v>
      </c>
      <c r="F1913" s="1">
        <v>142</v>
      </c>
      <c r="G1913" s="1">
        <v>554976</v>
      </c>
      <c r="H1913" s="1">
        <v>0</v>
      </c>
    </row>
    <row r="1914" spans="1:8" x14ac:dyDescent="0.3">
      <c r="A1914" s="1" t="s">
        <v>34</v>
      </c>
      <c r="B1914" s="1" t="s">
        <v>35</v>
      </c>
      <c r="C1914" s="1">
        <v>2018</v>
      </c>
      <c r="D1914" s="1">
        <v>11695</v>
      </c>
      <c r="E1914" s="1">
        <v>104</v>
      </c>
      <c r="F1914" s="1">
        <v>90</v>
      </c>
      <c r="G1914" s="1">
        <v>175034</v>
      </c>
      <c r="H1914" s="1">
        <v>74</v>
      </c>
    </row>
    <row r="1915" spans="1:8" x14ac:dyDescent="0.3">
      <c r="A1915" s="1" t="s">
        <v>36</v>
      </c>
      <c r="B1915" s="1" t="s">
        <v>37</v>
      </c>
      <c r="C1915" s="1">
        <v>2018</v>
      </c>
      <c r="D1915" s="1">
        <v>36567</v>
      </c>
      <c r="E1915" s="1">
        <v>475</v>
      </c>
      <c r="F1915" s="1">
        <v>497</v>
      </c>
      <c r="G1915" s="1">
        <v>1604868</v>
      </c>
      <c r="H1915" s="1">
        <v>201</v>
      </c>
    </row>
    <row r="1916" spans="1:8" x14ac:dyDescent="0.3">
      <c r="A1916" s="1" t="s">
        <v>38</v>
      </c>
      <c r="B1916" s="1" t="s">
        <v>39</v>
      </c>
      <c r="C1916" s="1">
        <v>2018</v>
      </c>
      <c r="D1916" s="1">
        <v>28448</v>
      </c>
      <c r="E1916" s="1">
        <v>727</v>
      </c>
      <c r="F1916" s="1">
        <v>291</v>
      </c>
      <c r="G1916" s="1">
        <v>1131323</v>
      </c>
      <c r="H1916" s="1">
        <v>2</v>
      </c>
    </row>
    <row r="1917" spans="1:8" x14ac:dyDescent="0.3">
      <c r="A1917" s="1" t="s">
        <v>40</v>
      </c>
      <c r="B1917" s="1" t="s">
        <v>41</v>
      </c>
      <c r="C1917" s="1">
        <v>2018</v>
      </c>
      <c r="D1917" s="1">
        <v>21802</v>
      </c>
      <c r="E1917" s="1">
        <v>187</v>
      </c>
      <c r="F1917" s="1">
        <v>203</v>
      </c>
      <c r="G1917" s="1">
        <v>1084738</v>
      </c>
      <c r="H1917" s="1">
        <v>6</v>
      </c>
    </row>
    <row r="1918" spans="1:8" x14ac:dyDescent="0.3">
      <c r="A1918" s="1" t="s">
        <v>42</v>
      </c>
      <c r="B1918" s="1" t="s">
        <v>43</v>
      </c>
      <c r="C1918" s="1">
        <v>2018</v>
      </c>
      <c r="D1918" s="1">
        <v>15420</v>
      </c>
      <c r="E1918" s="1">
        <v>147</v>
      </c>
      <c r="F1918" s="1">
        <v>170</v>
      </c>
      <c r="G1918" s="1">
        <v>680899</v>
      </c>
      <c r="H1918" s="1">
        <v>6</v>
      </c>
    </row>
    <row r="1919" spans="1:8" x14ac:dyDescent="0.3">
      <c r="A1919" s="1" t="s">
        <v>44</v>
      </c>
      <c r="B1919" s="1" t="s">
        <v>45</v>
      </c>
      <c r="C1919" s="1">
        <v>2018</v>
      </c>
      <c r="D1919" s="1">
        <v>18467</v>
      </c>
      <c r="E1919" s="1">
        <v>490</v>
      </c>
      <c r="F1919" s="1">
        <v>200</v>
      </c>
      <c r="G1919" s="1">
        <v>162008</v>
      </c>
      <c r="H1919" s="1">
        <v>6</v>
      </c>
    </row>
    <row r="1920" spans="1:8" x14ac:dyDescent="0.3">
      <c r="A1920" s="1" t="s">
        <v>46</v>
      </c>
      <c r="B1920" s="1" t="s">
        <v>47</v>
      </c>
      <c r="C1920" s="1">
        <v>2018</v>
      </c>
      <c r="D1920" s="1">
        <v>60757</v>
      </c>
      <c r="E1920" s="1">
        <v>453</v>
      </c>
      <c r="F1920" s="1">
        <v>1047</v>
      </c>
      <c r="G1920" s="1">
        <v>968391</v>
      </c>
      <c r="H1920" s="1">
        <v>367</v>
      </c>
    </row>
    <row r="1921" spans="1:8" x14ac:dyDescent="0.3">
      <c r="A1921" s="1" t="s">
        <v>48</v>
      </c>
      <c r="B1921" s="1" t="s">
        <v>49</v>
      </c>
      <c r="C1921" s="1">
        <v>2018</v>
      </c>
      <c r="D1921" s="1">
        <v>27681</v>
      </c>
      <c r="E1921" s="1">
        <v>395</v>
      </c>
      <c r="F1921" s="1">
        <v>346</v>
      </c>
      <c r="G1921" s="1">
        <v>798649</v>
      </c>
      <c r="H1921" s="1">
        <v>0</v>
      </c>
    </row>
    <row r="1922" spans="1:8" x14ac:dyDescent="0.3">
      <c r="A1922" s="1" t="s">
        <v>50</v>
      </c>
      <c r="B1922" s="1" t="s">
        <v>51</v>
      </c>
      <c r="C1922" s="1">
        <v>2018</v>
      </c>
      <c r="D1922" s="1">
        <v>22288</v>
      </c>
      <c r="E1922" s="1">
        <v>64</v>
      </c>
      <c r="F1922" s="1">
        <v>316</v>
      </c>
      <c r="G1922" s="1">
        <v>1152653</v>
      </c>
      <c r="H1922" s="1">
        <v>115</v>
      </c>
    </row>
    <row r="1923" spans="1:8" x14ac:dyDescent="0.3">
      <c r="A1923" s="1" t="s">
        <v>52</v>
      </c>
      <c r="B1923" s="1" t="s">
        <v>53</v>
      </c>
      <c r="C1923" s="1">
        <v>2018</v>
      </c>
      <c r="D1923" s="1">
        <v>17257</v>
      </c>
      <c r="E1923" s="1">
        <v>120</v>
      </c>
      <c r="F1923" s="1">
        <v>381</v>
      </c>
      <c r="G1923" s="1">
        <v>609582</v>
      </c>
      <c r="H1923" s="1">
        <v>4</v>
      </c>
    </row>
    <row r="1924" spans="1:8" x14ac:dyDescent="0.3">
      <c r="A1924" s="1" t="s">
        <v>54</v>
      </c>
      <c r="B1924" s="1" t="s">
        <v>55</v>
      </c>
      <c r="C1924" s="1">
        <v>2018</v>
      </c>
      <c r="D1924" s="1">
        <v>55282</v>
      </c>
      <c r="E1924" s="1">
        <v>2474</v>
      </c>
      <c r="F1924" s="1">
        <v>1352</v>
      </c>
      <c r="G1924" s="1">
        <v>438695</v>
      </c>
      <c r="H1924" s="1">
        <v>122</v>
      </c>
    </row>
    <row r="1925" spans="1:8" x14ac:dyDescent="0.3">
      <c r="A1925" s="1" t="s">
        <v>56</v>
      </c>
      <c r="B1925" s="1" t="s">
        <v>57</v>
      </c>
      <c r="C1925" s="1">
        <v>2018</v>
      </c>
      <c r="D1925" s="1">
        <v>24138</v>
      </c>
      <c r="E1925" s="1">
        <v>86</v>
      </c>
      <c r="F1925" s="1">
        <v>181</v>
      </c>
      <c r="G1925" s="1">
        <v>634634</v>
      </c>
      <c r="H1925" s="1">
        <v>7</v>
      </c>
    </row>
    <row r="1926" spans="1:8" x14ac:dyDescent="0.3">
      <c r="A1926" s="1" t="s">
        <v>58</v>
      </c>
      <c r="B1926" s="1" t="s">
        <v>59</v>
      </c>
      <c r="C1926" s="1">
        <v>2018</v>
      </c>
      <c r="D1926" s="1">
        <v>34275</v>
      </c>
      <c r="E1926" s="1">
        <v>66</v>
      </c>
      <c r="F1926" s="1">
        <v>371</v>
      </c>
      <c r="G1926" s="1">
        <v>884200</v>
      </c>
      <c r="H1926" s="1">
        <v>0</v>
      </c>
    </row>
    <row r="1927" spans="1:8" x14ac:dyDescent="0.3">
      <c r="A1927" s="1" t="s">
        <v>60</v>
      </c>
      <c r="B1927" s="1" t="s">
        <v>61</v>
      </c>
      <c r="C1927" s="1">
        <v>2018</v>
      </c>
      <c r="D1927" s="1">
        <v>15731</v>
      </c>
      <c r="E1927" s="1">
        <v>54</v>
      </c>
      <c r="F1927" s="1">
        <v>147</v>
      </c>
      <c r="G1927" s="1">
        <v>837303</v>
      </c>
      <c r="H1927" s="1">
        <v>90</v>
      </c>
    </row>
    <row r="1928" spans="1:8" x14ac:dyDescent="0.3">
      <c r="A1928" s="1" t="s">
        <v>62</v>
      </c>
      <c r="B1928" s="1" t="s">
        <v>63</v>
      </c>
      <c r="C1928" s="1">
        <v>2018</v>
      </c>
      <c r="D1928" s="1">
        <v>35563</v>
      </c>
      <c r="E1928" s="1">
        <v>199</v>
      </c>
      <c r="F1928" s="1">
        <v>855</v>
      </c>
      <c r="G1928" s="1">
        <v>1381552</v>
      </c>
      <c r="H1928" s="1">
        <v>0</v>
      </c>
    </row>
    <row r="1929" spans="1:8" x14ac:dyDescent="0.3">
      <c r="A1929" s="1" t="s">
        <v>64</v>
      </c>
      <c r="B1929" s="1" t="s">
        <v>65</v>
      </c>
      <c r="C1929" s="1">
        <v>2018</v>
      </c>
      <c r="D1929" s="1">
        <v>42685</v>
      </c>
      <c r="E1929" s="1">
        <v>410</v>
      </c>
      <c r="F1929" s="1">
        <v>1041</v>
      </c>
      <c r="G1929" s="1">
        <v>2779163</v>
      </c>
      <c r="H1929" s="1">
        <v>57</v>
      </c>
    </row>
    <row r="1930" spans="1:8" x14ac:dyDescent="0.3">
      <c r="A1930" s="1" t="s">
        <v>66</v>
      </c>
      <c r="B1930" s="1" t="s">
        <v>67</v>
      </c>
      <c r="C1930" s="1">
        <v>2018</v>
      </c>
      <c r="D1930" s="1">
        <v>329064</v>
      </c>
      <c r="E1930" s="1">
        <v>9444</v>
      </c>
      <c r="F1930" s="1">
        <v>12425</v>
      </c>
      <c r="G1930" s="1">
        <v>8354510</v>
      </c>
      <c r="H1930" s="1">
        <v>136</v>
      </c>
    </row>
    <row r="1931" spans="1:8" x14ac:dyDescent="0.3">
      <c r="A1931" s="1" t="s">
        <v>68</v>
      </c>
      <c r="B1931" s="1" t="s">
        <v>69</v>
      </c>
      <c r="C1931" s="1">
        <v>2018</v>
      </c>
      <c r="D1931" s="1">
        <v>50691</v>
      </c>
      <c r="E1931" s="1">
        <v>189</v>
      </c>
      <c r="F1931" s="1">
        <v>826</v>
      </c>
      <c r="G1931" s="1">
        <v>3811042</v>
      </c>
      <c r="H1931" s="1">
        <v>138</v>
      </c>
    </row>
    <row r="1932" spans="1:8" x14ac:dyDescent="0.3">
      <c r="A1932" s="1" t="s">
        <v>71</v>
      </c>
      <c r="B1932" s="1" t="s">
        <v>72</v>
      </c>
      <c r="C1932" s="1">
        <v>2018</v>
      </c>
      <c r="D1932" s="1">
        <v>19985</v>
      </c>
      <c r="E1932" s="1">
        <v>160</v>
      </c>
      <c r="F1932" s="1">
        <v>170</v>
      </c>
      <c r="G1932" s="1">
        <v>800779</v>
      </c>
      <c r="H1932" s="1">
        <v>0</v>
      </c>
    </row>
    <row r="1933" spans="1:8" x14ac:dyDescent="0.3">
      <c r="A1933" s="1" t="s">
        <v>73</v>
      </c>
      <c r="B1933" s="1" t="s">
        <v>74</v>
      </c>
      <c r="C1933" s="1">
        <v>2018</v>
      </c>
      <c r="D1933" s="1">
        <v>26498</v>
      </c>
      <c r="E1933" s="1">
        <v>491</v>
      </c>
      <c r="F1933" s="1">
        <v>462</v>
      </c>
      <c r="G1933" s="1">
        <v>1304160</v>
      </c>
      <c r="H1933" s="1">
        <v>8</v>
      </c>
    </row>
    <row r="1934" spans="1:8" x14ac:dyDescent="0.3">
      <c r="A1934" s="1" t="s">
        <v>75</v>
      </c>
      <c r="B1934" s="1" t="s">
        <v>76</v>
      </c>
      <c r="C1934" s="1">
        <v>2018</v>
      </c>
      <c r="D1934" s="1">
        <v>37550</v>
      </c>
      <c r="E1934" s="1">
        <v>826</v>
      </c>
      <c r="F1934" s="1">
        <v>269</v>
      </c>
      <c r="G1934" s="1">
        <v>1900654</v>
      </c>
      <c r="H1934" s="1">
        <v>17</v>
      </c>
    </row>
    <row r="1935" spans="1:8" x14ac:dyDescent="0.3">
      <c r="A1935" s="1" t="s">
        <v>77</v>
      </c>
      <c r="B1935" s="1" t="s">
        <v>78</v>
      </c>
      <c r="C1935" s="1">
        <v>2018</v>
      </c>
      <c r="D1935" s="1">
        <v>16653</v>
      </c>
      <c r="E1935" s="1">
        <v>112</v>
      </c>
      <c r="F1935" s="1">
        <v>125</v>
      </c>
      <c r="G1935" s="1">
        <v>1064105</v>
      </c>
      <c r="H1935" s="1">
        <v>11</v>
      </c>
    </row>
    <row r="1936" spans="1:8" x14ac:dyDescent="0.3">
      <c r="A1936" s="1" t="s">
        <v>79</v>
      </c>
      <c r="B1936" s="1" t="s">
        <v>80</v>
      </c>
      <c r="C1936" s="1">
        <v>2018</v>
      </c>
      <c r="D1936" s="1">
        <v>14479</v>
      </c>
      <c r="E1936" s="1">
        <v>95</v>
      </c>
      <c r="F1936" s="1">
        <v>76</v>
      </c>
      <c r="G1936" s="1">
        <v>1109934</v>
      </c>
      <c r="H1936" s="1">
        <v>0</v>
      </c>
    </row>
    <row r="1937" spans="1:8" x14ac:dyDescent="0.3">
      <c r="A1937" s="1" t="s">
        <v>81</v>
      </c>
      <c r="B1937" s="1" t="s">
        <v>82</v>
      </c>
      <c r="C1937" s="1">
        <v>2018</v>
      </c>
      <c r="D1937" s="1">
        <v>12262</v>
      </c>
      <c r="E1937" s="1">
        <v>128</v>
      </c>
      <c r="F1937" s="1">
        <v>47</v>
      </c>
      <c r="G1937" s="1">
        <v>681063</v>
      </c>
      <c r="H1937" s="1">
        <v>30</v>
      </c>
    </row>
    <row r="1938" spans="1:8" x14ac:dyDescent="0.3">
      <c r="A1938" s="1" t="s">
        <v>83</v>
      </c>
      <c r="B1938" s="1" t="s">
        <v>84</v>
      </c>
      <c r="C1938" s="1">
        <v>2018</v>
      </c>
      <c r="D1938" s="1">
        <v>58185</v>
      </c>
      <c r="E1938" s="1">
        <v>242</v>
      </c>
      <c r="F1938" s="1">
        <v>651</v>
      </c>
      <c r="G1938" s="1">
        <v>5392747</v>
      </c>
      <c r="H1938" s="1">
        <v>138</v>
      </c>
    </row>
    <row r="1939" spans="1:8" x14ac:dyDescent="0.3">
      <c r="A1939" s="1" t="s">
        <v>85</v>
      </c>
      <c r="B1939" s="1" t="s">
        <v>86</v>
      </c>
      <c r="C1939" s="1">
        <v>2018</v>
      </c>
      <c r="D1939" s="1">
        <v>20116</v>
      </c>
      <c r="E1939" s="1">
        <v>171</v>
      </c>
      <c r="F1939" s="1">
        <v>35</v>
      </c>
      <c r="G1939" s="1">
        <v>813389</v>
      </c>
      <c r="H1939" s="1">
        <v>0</v>
      </c>
    </row>
    <row r="1940" spans="1:8" x14ac:dyDescent="0.3">
      <c r="A1940" s="1" t="s">
        <v>87</v>
      </c>
      <c r="B1940" s="1" t="s">
        <v>88</v>
      </c>
      <c r="C1940" s="1">
        <v>2018</v>
      </c>
      <c r="D1940" s="1">
        <v>14500</v>
      </c>
      <c r="E1940" s="1">
        <v>90</v>
      </c>
      <c r="F1940" s="1">
        <v>79</v>
      </c>
      <c r="G1940" s="1">
        <v>921802</v>
      </c>
      <c r="H1940" s="1">
        <v>20</v>
      </c>
    </row>
    <row r="1941" spans="1:8" x14ac:dyDescent="0.3">
      <c r="A1941" s="1" t="s">
        <v>89</v>
      </c>
      <c r="B1941" s="1" t="s">
        <v>90</v>
      </c>
      <c r="C1941" s="1">
        <v>2018</v>
      </c>
      <c r="D1941" s="1">
        <v>26507</v>
      </c>
      <c r="E1941" s="1">
        <v>331</v>
      </c>
      <c r="F1941" s="1">
        <v>213</v>
      </c>
      <c r="G1941" s="1">
        <v>2660628</v>
      </c>
      <c r="H1941" s="1">
        <v>0</v>
      </c>
    </row>
    <row r="1942" spans="1:8" x14ac:dyDescent="0.3">
      <c r="A1942" s="1" t="s">
        <v>91</v>
      </c>
      <c r="B1942" s="1" t="s">
        <v>92</v>
      </c>
      <c r="C1942" s="1">
        <v>2018</v>
      </c>
      <c r="D1942" s="1">
        <v>12400</v>
      </c>
      <c r="E1942" s="1">
        <v>59</v>
      </c>
      <c r="F1942" s="1">
        <v>81</v>
      </c>
      <c r="G1942" s="1">
        <v>409719</v>
      </c>
      <c r="H1942" s="1">
        <v>0</v>
      </c>
    </row>
    <row r="1943" spans="1:8" x14ac:dyDescent="0.3">
      <c r="A1943" s="1" t="s">
        <v>93</v>
      </c>
      <c r="B1943" s="1" t="s">
        <v>94</v>
      </c>
      <c r="C1943" s="1">
        <v>2018</v>
      </c>
      <c r="D1943" s="1">
        <v>14051</v>
      </c>
      <c r="E1943" s="1">
        <v>99</v>
      </c>
      <c r="F1943" s="1">
        <v>41</v>
      </c>
      <c r="G1943" s="1">
        <v>996407</v>
      </c>
      <c r="H1943" s="1">
        <v>10</v>
      </c>
    </row>
    <row r="1944" spans="1:8" x14ac:dyDescent="0.3">
      <c r="A1944" s="1" t="s">
        <v>95</v>
      </c>
      <c r="B1944" s="1" t="s">
        <v>96</v>
      </c>
      <c r="C1944" s="1">
        <v>2018</v>
      </c>
      <c r="D1944" s="1">
        <v>12352</v>
      </c>
      <c r="E1944" s="1">
        <v>125</v>
      </c>
      <c r="F1944" s="1">
        <v>63</v>
      </c>
      <c r="G1944" s="1">
        <v>973074</v>
      </c>
      <c r="H1944" s="1">
        <v>9</v>
      </c>
    </row>
    <row r="1945" spans="1:8" x14ac:dyDescent="0.3">
      <c r="A1945" s="1" t="s">
        <v>97</v>
      </c>
      <c r="B1945" s="1" t="s">
        <v>98</v>
      </c>
      <c r="C1945" s="1">
        <v>2018</v>
      </c>
      <c r="D1945" s="1">
        <v>31597</v>
      </c>
      <c r="E1945" s="1">
        <v>185</v>
      </c>
      <c r="F1945" s="1">
        <v>216</v>
      </c>
      <c r="G1945" s="1">
        <v>1631430</v>
      </c>
      <c r="H1945" s="1">
        <v>14</v>
      </c>
    </row>
    <row r="1946" spans="1:8" x14ac:dyDescent="0.3">
      <c r="A1946" s="1" t="s">
        <v>99</v>
      </c>
      <c r="B1946" s="1" t="s">
        <v>100</v>
      </c>
      <c r="C1946" s="1">
        <v>2018</v>
      </c>
      <c r="D1946" s="1">
        <v>32257</v>
      </c>
      <c r="E1946" s="1">
        <v>703</v>
      </c>
      <c r="F1946" s="1">
        <v>195</v>
      </c>
      <c r="G1946" s="1">
        <v>1582916</v>
      </c>
      <c r="H1946" s="1">
        <v>27</v>
      </c>
    </row>
    <row r="1947" spans="1:8" x14ac:dyDescent="0.3">
      <c r="A1947" s="1" t="s">
        <v>101</v>
      </c>
      <c r="B1947" s="1" t="s">
        <v>102</v>
      </c>
      <c r="C1947" s="1">
        <v>2018</v>
      </c>
      <c r="D1947" s="1">
        <v>14719</v>
      </c>
      <c r="E1947" s="1">
        <v>157</v>
      </c>
      <c r="F1947" s="1">
        <v>47</v>
      </c>
      <c r="G1947" s="1">
        <v>809392</v>
      </c>
      <c r="H1947" s="1">
        <v>0</v>
      </c>
    </row>
    <row r="1948" spans="1:8" x14ac:dyDescent="0.3">
      <c r="A1948" s="1" t="s">
        <v>103</v>
      </c>
      <c r="B1948" s="1" t="s">
        <v>104</v>
      </c>
      <c r="C1948" s="1">
        <v>2018</v>
      </c>
      <c r="D1948" s="1">
        <v>11421</v>
      </c>
      <c r="E1948" s="1">
        <v>45</v>
      </c>
      <c r="F1948" s="1">
        <v>65</v>
      </c>
      <c r="G1948" s="1">
        <v>1156327</v>
      </c>
      <c r="H1948" s="1">
        <v>8</v>
      </c>
    </row>
    <row r="1949" spans="1:8" x14ac:dyDescent="0.3">
      <c r="A1949" s="1" t="s">
        <v>105</v>
      </c>
      <c r="B1949" s="1" t="s">
        <v>106</v>
      </c>
      <c r="C1949" s="1">
        <v>2018</v>
      </c>
      <c r="D1949" s="1">
        <v>27190</v>
      </c>
      <c r="E1949" s="1">
        <v>232</v>
      </c>
      <c r="F1949" s="1">
        <v>60</v>
      </c>
      <c r="G1949" s="1">
        <v>516437</v>
      </c>
      <c r="H1949" s="1">
        <v>0</v>
      </c>
    </row>
    <row r="1950" spans="1:8" x14ac:dyDescent="0.3">
      <c r="A1950" s="1" t="s">
        <v>107</v>
      </c>
      <c r="B1950" s="1" t="s">
        <v>108</v>
      </c>
      <c r="C1950" s="1">
        <v>2018</v>
      </c>
      <c r="D1950" s="1">
        <v>21879</v>
      </c>
      <c r="E1950" s="1">
        <v>223</v>
      </c>
      <c r="F1950" s="1">
        <v>136</v>
      </c>
      <c r="G1950" s="1">
        <v>1686013</v>
      </c>
      <c r="H1950" s="1">
        <v>21</v>
      </c>
    </row>
    <row r="1951" spans="1:8" x14ac:dyDescent="0.3">
      <c r="A1951" s="1" t="s">
        <v>109</v>
      </c>
      <c r="B1951" s="1" t="s">
        <v>110</v>
      </c>
      <c r="C1951" s="1">
        <v>2018</v>
      </c>
      <c r="D1951" s="1">
        <v>151316</v>
      </c>
      <c r="E1951" s="1">
        <v>1139</v>
      </c>
      <c r="F1951" s="1">
        <v>3484</v>
      </c>
      <c r="G1951" s="1">
        <v>18714896</v>
      </c>
      <c r="H1951" s="1">
        <v>226</v>
      </c>
    </row>
    <row r="1952" spans="1:8" x14ac:dyDescent="0.3">
      <c r="A1952" s="1" t="s">
        <v>111</v>
      </c>
      <c r="B1952" s="1" t="s">
        <v>112</v>
      </c>
      <c r="C1952" s="1">
        <v>2018</v>
      </c>
      <c r="D1952" s="1">
        <v>39110</v>
      </c>
      <c r="E1952" s="1">
        <v>270</v>
      </c>
      <c r="F1952" s="1">
        <v>626</v>
      </c>
      <c r="G1952" s="1">
        <v>6477915</v>
      </c>
      <c r="H1952" s="1">
        <v>0</v>
      </c>
    </row>
    <row r="1953" spans="1:8" x14ac:dyDescent="0.3">
      <c r="A1953" s="1" t="s">
        <v>113</v>
      </c>
      <c r="B1953" s="1" t="s">
        <v>114</v>
      </c>
      <c r="C1953" s="1">
        <v>2018</v>
      </c>
      <c r="D1953" s="1">
        <v>90767</v>
      </c>
      <c r="E1953" s="1">
        <v>990</v>
      </c>
      <c r="F1953" s="1">
        <v>1596</v>
      </c>
      <c r="G1953" s="1">
        <v>5198930</v>
      </c>
      <c r="H1953" s="1">
        <v>122</v>
      </c>
    </row>
    <row r="1954" spans="1:8" x14ac:dyDescent="0.3">
      <c r="A1954" s="1" t="s">
        <v>115</v>
      </c>
      <c r="B1954" s="1" t="s">
        <v>116</v>
      </c>
      <c r="C1954" s="1">
        <v>2018</v>
      </c>
      <c r="D1954" s="1">
        <v>46471</v>
      </c>
      <c r="E1954" s="1">
        <v>219</v>
      </c>
      <c r="F1954" s="1">
        <v>756</v>
      </c>
      <c r="G1954" s="1">
        <v>2500867</v>
      </c>
      <c r="H1954" s="1">
        <v>112</v>
      </c>
    </row>
    <row r="1955" spans="1:8" x14ac:dyDescent="0.3">
      <c r="A1955" s="1" t="s">
        <v>117</v>
      </c>
      <c r="B1955" s="1" t="s">
        <v>118</v>
      </c>
      <c r="C1955" s="1">
        <v>2018</v>
      </c>
      <c r="D1955" s="1">
        <v>39705</v>
      </c>
      <c r="E1955" s="1">
        <v>251</v>
      </c>
      <c r="F1955" s="1">
        <v>35</v>
      </c>
      <c r="G1955" s="1">
        <v>789209</v>
      </c>
      <c r="H1955" s="1">
        <v>49</v>
      </c>
    </row>
    <row r="1956" spans="1:8" x14ac:dyDescent="0.3">
      <c r="A1956" s="1" t="s">
        <v>119</v>
      </c>
      <c r="B1956" s="1" t="s">
        <v>120</v>
      </c>
      <c r="C1956" s="1">
        <v>2018</v>
      </c>
      <c r="D1956" s="1">
        <v>31891</v>
      </c>
      <c r="E1956" s="1">
        <v>210</v>
      </c>
      <c r="F1956" s="1">
        <v>78</v>
      </c>
      <c r="G1956" s="1">
        <v>669292</v>
      </c>
      <c r="H1956" s="1">
        <v>0</v>
      </c>
    </row>
    <row r="1957" spans="1:8" x14ac:dyDescent="0.3">
      <c r="A1957" s="1" t="s">
        <v>121</v>
      </c>
      <c r="B1957" s="1" t="s">
        <v>122</v>
      </c>
      <c r="C1957" s="1">
        <v>2018</v>
      </c>
      <c r="D1957" s="1">
        <v>28769</v>
      </c>
      <c r="E1957" s="1">
        <v>177</v>
      </c>
      <c r="F1957" s="1">
        <v>26</v>
      </c>
      <c r="G1957" s="1">
        <v>234296</v>
      </c>
      <c r="H1957" s="1">
        <v>0</v>
      </c>
    </row>
    <row r="1958" spans="1:8" x14ac:dyDescent="0.3">
      <c r="A1958" s="1" t="s">
        <v>123</v>
      </c>
      <c r="B1958" s="1" t="s">
        <v>124</v>
      </c>
      <c r="C1958" s="1">
        <v>2018</v>
      </c>
      <c r="D1958" s="1">
        <v>22979</v>
      </c>
      <c r="E1958" s="1">
        <v>45</v>
      </c>
      <c r="F1958" s="1">
        <v>73</v>
      </c>
      <c r="G1958" s="1">
        <v>656916</v>
      </c>
      <c r="H1958" s="1">
        <v>23</v>
      </c>
    </row>
    <row r="1959" spans="1:8" x14ac:dyDescent="0.3">
      <c r="A1959" s="1" t="s">
        <v>125</v>
      </c>
      <c r="B1959" s="1" t="s">
        <v>126</v>
      </c>
      <c r="C1959" s="1">
        <v>2018</v>
      </c>
      <c r="D1959" s="1">
        <v>13608</v>
      </c>
      <c r="E1959" s="1">
        <v>45</v>
      </c>
      <c r="F1959" s="1">
        <v>23</v>
      </c>
      <c r="G1959" s="1">
        <v>95998</v>
      </c>
      <c r="H1959" s="1">
        <v>8</v>
      </c>
    </row>
    <row r="1960" spans="1:8" x14ac:dyDescent="0.3">
      <c r="A1960" s="1" t="s">
        <v>127</v>
      </c>
      <c r="B1960" s="1" t="s">
        <v>128</v>
      </c>
      <c r="C1960" s="1">
        <v>2018</v>
      </c>
      <c r="D1960" s="1">
        <v>24805</v>
      </c>
      <c r="E1960" s="1">
        <v>83</v>
      </c>
      <c r="F1960" s="1">
        <v>29</v>
      </c>
      <c r="G1960" s="1">
        <v>419886</v>
      </c>
      <c r="H1960" s="1">
        <v>0</v>
      </c>
    </row>
    <row r="1961" spans="1:8" x14ac:dyDescent="0.3">
      <c r="A1961" s="1" t="s">
        <v>129</v>
      </c>
      <c r="B1961" s="1" t="s">
        <v>130</v>
      </c>
      <c r="C1961" s="1">
        <v>2018</v>
      </c>
      <c r="D1961" s="1">
        <v>32084</v>
      </c>
      <c r="E1961" s="1">
        <v>137</v>
      </c>
      <c r="F1961" s="1">
        <v>89</v>
      </c>
      <c r="G1961" s="1">
        <v>665973</v>
      </c>
      <c r="H1961" s="1">
        <v>0</v>
      </c>
    </row>
    <row r="1962" spans="1:8" x14ac:dyDescent="0.3">
      <c r="A1962" s="1" t="s">
        <v>131</v>
      </c>
      <c r="B1962" s="1" t="s">
        <v>132</v>
      </c>
      <c r="C1962" s="1">
        <v>2018</v>
      </c>
      <c r="D1962" s="1">
        <v>30778</v>
      </c>
      <c r="E1962" s="1">
        <v>216</v>
      </c>
      <c r="F1962" s="1">
        <v>98</v>
      </c>
      <c r="G1962" s="1">
        <v>440369</v>
      </c>
      <c r="H1962" s="1">
        <v>0</v>
      </c>
    </row>
    <row r="1963" spans="1:8" x14ac:dyDescent="0.3">
      <c r="A1963" s="1" t="s">
        <v>133</v>
      </c>
      <c r="B1963" s="1" t="s">
        <v>134</v>
      </c>
      <c r="C1963" s="1">
        <v>2018</v>
      </c>
      <c r="D1963" s="1">
        <v>51287</v>
      </c>
      <c r="E1963" s="1">
        <v>886</v>
      </c>
      <c r="F1963" s="1">
        <v>170</v>
      </c>
      <c r="G1963" s="1">
        <v>415239</v>
      </c>
      <c r="H1963" s="1">
        <v>4</v>
      </c>
    </row>
    <row r="1964" spans="1:8" x14ac:dyDescent="0.3">
      <c r="A1964" s="1" t="s">
        <v>135</v>
      </c>
      <c r="B1964" s="1" t="s">
        <v>136</v>
      </c>
      <c r="C1964" s="1">
        <v>2018</v>
      </c>
      <c r="D1964" s="1">
        <v>18978</v>
      </c>
      <c r="E1964" s="1">
        <v>214</v>
      </c>
      <c r="F1964" s="1">
        <v>73</v>
      </c>
      <c r="G1964" s="1">
        <v>304559</v>
      </c>
      <c r="H1964" s="1">
        <v>4</v>
      </c>
    </row>
    <row r="1965" spans="1:8" x14ac:dyDescent="0.3">
      <c r="A1965" s="1" t="s">
        <v>137</v>
      </c>
      <c r="B1965" s="1" t="s">
        <v>138</v>
      </c>
      <c r="C1965" s="1">
        <v>2018</v>
      </c>
      <c r="D1965" s="1">
        <v>33770</v>
      </c>
      <c r="E1965" s="1">
        <v>206</v>
      </c>
      <c r="F1965" s="1">
        <v>81</v>
      </c>
      <c r="G1965" s="1">
        <v>646412</v>
      </c>
      <c r="H1965" s="1">
        <v>0</v>
      </c>
    </row>
    <row r="1966" spans="1:8" x14ac:dyDescent="0.3">
      <c r="A1966" s="1" t="s">
        <v>139</v>
      </c>
      <c r="B1966" s="1" t="s">
        <v>140</v>
      </c>
      <c r="C1966" s="1">
        <v>2018</v>
      </c>
      <c r="D1966" s="1">
        <v>20926</v>
      </c>
      <c r="E1966" s="1">
        <v>93</v>
      </c>
      <c r="F1966" s="1">
        <v>74</v>
      </c>
      <c r="G1966" s="1">
        <v>1144392</v>
      </c>
      <c r="H1966" s="1">
        <v>0</v>
      </c>
    </row>
    <row r="1967" spans="1:8" x14ac:dyDescent="0.3">
      <c r="A1967" s="1" t="s">
        <v>141</v>
      </c>
      <c r="B1967" s="1" t="s">
        <v>142</v>
      </c>
      <c r="C1967" s="1">
        <v>2018</v>
      </c>
      <c r="D1967" s="1">
        <v>13156</v>
      </c>
      <c r="E1967" s="1">
        <v>57</v>
      </c>
      <c r="F1967" s="1">
        <v>39</v>
      </c>
      <c r="G1967" s="1">
        <v>276745</v>
      </c>
      <c r="H1967" s="1">
        <v>60</v>
      </c>
    </row>
    <row r="1968" spans="1:8" x14ac:dyDescent="0.3">
      <c r="A1968" s="1" t="s">
        <v>143</v>
      </c>
      <c r="B1968" s="1" t="s">
        <v>144</v>
      </c>
      <c r="C1968" s="1">
        <v>2018</v>
      </c>
      <c r="D1968" s="1">
        <v>43280</v>
      </c>
      <c r="E1968" s="1">
        <v>451</v>
      </c>
      <c r="F1968" s="1">
        <v>244</v>
      </c>
      <c r="G1968" s="1">
        <v>1091940</v>
      </c>
      <c r="H1968" s="1">
        <v>8</v>
      </c>
    </row>
    <row r="1969" spans="1:8" x14ac:dyDescent="0.3">
      <c r="A1969" s="1" t="s">
        <v>145</v>
      </c>
      <c r="B1969" s="1" t="s">
        <v>146</v>
      </c>
      <c r="C1969" s="1">
        <v>2018</v>
      </c>
      <c r="D1969" s="1">
        <v>20030</v>
      </c>
      <c r="E1969" s="1">
        <v>161</v>
      </c>
      <c r="F1969" s="1">
        <v>116</v>
      </c>
      <c r="G1969" s="1">
        <v>425096</v>
      </c>
      <c r="H1969" s="1">
        <v>38</v>
      </c>
    </row>
    <row r="1970" spans="1:8" x14ac:dyDescent="0.3">
      <c r="A1970" s="1" t="s">
        <v>147</v>
      </c>
      <c r="B1970" s="1" t="s">
        <v>148</v>
      </c>
      <c r="C1970" s="1">
        <v>2018</v>
      </c>
      <c r="D1970" s="1">
        <v>20293</v>
      </c>
      <c r="E1970" s="1">
        <v>96</v>
      </c>
      <c r="F1970" s="1">
        <v>80</v>
      </c>
      <c r="G1970" s="1">
        <v>406684</v>
      </c>
      <c r="H1970" s="1">
        <v>0</v>
      </c>
    </row>
    <row r="1971" spans="1:8" x14ac:dyDescent="0.3">
      <c r="A1971" s="1" t="s">
        <v>149</v>
      </c>
      <c r="B1971" s="1" t="s">
        <v>47</v>
      </c>
      <c r="C1971" s="1">
        <v>2018</v>
      </c>
      <c r="D1971" s="1">
        <v>27218</v>
      </c>
      <c r="E1971" s="1">
        <v>230</v>
      </c>
      <c r="F1971" s="1">
        <v>150</v>
      </c>
      <c r="G1971" s="1">
        <v>703106</v>
      </c>
      <c r="H1971" s="1">
        <v>0</v>
      </c>
    </row>
    <row r="1972" spans="1:8" x14ac:dyDescent="0.3">
      <c r="A1972" s="1" t="s">
        <v>150</v>
      </c>
      <c r="B1972" s="1" t="s">
        <v>151</v>
      </c>
      <c r="C1972" s="1">
        <v>2018</v>
      </c>
      <c r="D1972" s="1">
        <v>28210</v>
      </c>
      <c r="E1972" s="1">
        <v>67</v>
      </c>
      <c r="F1972" s="1">
        <v>75</v>
      </c>
      <c r="G1972" s="1">
        <v>566697</v>
      </c>
      <c r="H1972" s="1">
        <v>4</v>
      </c>
    </row>
    <row r="1973" spans="1:8" x14ac:dyDescent="0.3">
      <c r="A1973" s="1" t="s">
        <v>152</v>
      </c>
      <c r="B1973" s="1" t="s">
        <v>153</v>
      </c>
      <c r="C1973" s="1">
        <v>2018</v>
      </c>
      <c r="D1973" s="1">
        <v>14446</v>
      </c>
      <c r="E1973" s="1">
        <v>106</v>
      </c>
      <c r="F1973" s="1">
        <v>119</v>
      </c>
      <c r="G1973" s="1">
        <v>716907</v>
      </c>
      <c r="H1973" s="1">
        <v>28</v>
      </c>
    </row>
    <row r="1974" spans="1:8" x14ac:dyDescent="0.3">
      <c r="A1974" s="1" t="s">
        <v>154</v>
      </c>
      <c r="B1974" s="1" t="s">
        <v>155</v>
      </c>
      <c r="C1974" s="1">
        <v>2018</v>
      </c>
      <c r="D1974" s="1">
        <v>36987</v>
      </c>
      <c r="E1974" s="1">
        <v>221</v>
      </c>
      <c r="F1974" s="1">
        <v>22</v>
      </c>
      <c r="G1974" s="1">
        <v>151251</v>
      </c>
      <c r="H1974" s="1">
        <v>18</v>
      </c>
    </row>
    <row r="1975" spans="1:8" x14ac:dyDescent="0.3">
      <c r="A1975" s="1" t="s">
        <v>156</v>
      </c>
      <c r="B1975" s="1" t="s">
        <v>157</v>
      </c>
      <c r="C1975" s="1">
        <v>2018</v>
      </c>
      <c r="D1975" s="1">
        <v>22853</v>
      </c>
      <c r="E1975" s="1">
        <v>423</v>
      </c>
      <c r="F1975" s="1">
        <v>207</v>
      </c>
      <c r="G1975" s="1">
        <v>1535623</v>
      </c>
      <c r="H1975" s="1">
        <v>0</v>
      </c>
    </row>
    <row r="1976" spans="1:8" x14ac:dyDescent="0.3">
      <c r="A1976" s="1" t="s">
        <v>158</v>
      </c>
      <c r="B1976" s="1" t="s">
        <v>159</v>
      </c>
      <c r="C1976" s="1">
        <v>2018</v>
      </c>
      <c r="D1976" s="1">
        <v>25765</v>
      </c>
      <c r="E1976" s="1">
        <v>58</v>
      </c>
      <c r="F1976" s="1">
        <v>249</v>
      </c>
      <c r="G1976" s="1">
        <v>1267703</v>
      </c>
      <c r="H1976" s="1">
        <v>114</v>
      </c>
    </row>
    <row r="1977" spans="1:8" x14ac:dyDescent="0.3">
      <c r="A1977" s="1" t="s">
        <v>160</v>
      </c>
      <c r="B1977" s="1" t="s">
        <v>161</v>
      </c>
      <c r="C1977" s="1">
        <v>2018</v>
      </c>
      <c r="D1977" s="1">
        <v>154926</v>
      </c>
      <c r="E1977" s="1">
        <v>2889</v>
      </c>
      <c r="F1977" s="1">
        <v>4630</v>
      </c>
      <c r="G1977" s="1">
        <v>7817742</v>
      </c>
      <c r="H1977" s="1">
        <v>70</v>
      </c>
    </row>
    <row r="1978" spans="1:8" x14ac:dyDescent="0.3">
      <c r="A1978" s="1" t="s">
        <v>162</v>
      </c>
      <c r="B1978" s="1" t="s">
        <v>163</v>
      </c>
      <c r="C1978" s="1">
        <v>2018</v>
      </c>
      <c r="D1978" s="1">
        <v>24395</v>
      </c>
      <c r="E1978" s="1">
        <v>196</v>
      </c>
      <c r="F1978" s="1">
        <v>330</v>
      </c>
      <c r="G1978" s="1">
        <v>2491792</v>
      </c>
      <c r="H1978" s="1">
        <v>0</v>
      </c>
    </row>
    <row r="1979" spans="1:8" x14ac:dyDescent="0.3">
      <c r="A1979" s="1" t="s">
        <v>164</v>
      </c>
      <c r="B1979" s="1" t="s">
        <v>165</v>
      </c>
      <c r="C1979" s="1">
        <v>2018</v>
      </c>
      <c r="D1979" s="1">
        <v>22950</v>
      </c>
      <c r="E1979" s="1">
        <v>318</v>
      </c>
      <c r="F1979" s="1">
        <v>346</v>
      </c>
      <c r="G1979" s="1">
        <v>601487</v>
      </c>
      <c r="H1979" s="1">
        <v>8</v>
      </c>
    </row>
    <row r="1980" spans="1:8" x14ac:dyDescent="0.3">
      <c r="A1980" s="1" t="s">
        <v>166</v>
      </c>
      <c r="B1980" s="1" t="s">
        <v>167</v>
      </c>
      <c r="C1980" s="1">
        <v>2018</v>
      </c>
      <c r="D1980" s="1">
        <v>19593</v>
      </c>
      <c r="E1980" s="1">
        <v>217</v>
      </c>
      <c r="F1980" s="1">
        <v>272</v>
      </c>
      <c r="G1980" s="1">
        <v>1004750</v>
      </c>
      <c r="H1980" s="1">
        <v>8</v>
      </c>
    </row>
    <row r="1981" spans="1:8" x14ac:dyDescent="0.3">
      <c r="A1981" s="1" t="s">
        <v>168</v>
      </c>
      <c r="B1981" s="1" t="s">
        <v>169</v>
      </c>
      <c r="C1981" s="1">
        <v>2018</v>
      </c>
      <c r="D1981" s="1">
        <v>20592</v>
      </c>
      <c r="E1981" s="1">
        <v>80</v>
      </c>
      <c r="F1981" s="1">
        <v>242</v>
      </c>
      <c r="G1981" s="1">
        <v>1200118</v>
      </c>
      <c r="H1981" s="1">
        <v>0</v>
      </c>
    </row>
    <row r="1982" spans="1:8" x14ac:dyDescent="0.3">
      <c r="A1982" s="1" t="s">
        <v>170</v>
      </c>
      <c r="B1982" s="1" t="s">
        <v>171</v>
      </c>
      <c r="C1982" s="1">
        <v>2018</v>
      </c>
      <c r="D1982" s="1">
        <v>30982</v>
      </c>
      <c r="E1982" s="1">
        <v>297</v>
      </c>
      <c r="F1982" s="1">
        <v>329</v>
      </c>
      <c r="G1982" s="1">
        <v>1595653</v>
      </c>
      <c r="H1982" s="1">
        <v>0</v>
      </c>
    </row>
    <row r="1983" spans="1:8" x14ac:dyDescent="0.3">
      <c r="A1983" s="1" t="s">
        <v>172</v>
      </c>
      <c r="B1983" s="1" t="s">
        <v>173</v>
      </c>
      <c r="C1983" s="1">
        <v>2018</v>
      </c>
      <c r="D1983" s="1">
        <v>16803</v>
      </c>
      <c r="E1983" s="1">
        <v>198</v>
      </c>
      <c r="F1983" s="1">
        <v>270</v>
      </c>
      <c r="G1983" s="1">
        <v>570891</v>
      </c>
      <c r="H1983" s="1">
        <v>0</v>
      </c>
    </row>
    <row r="1984" spans="1:8" x14ac:dyDescent="0.3">
      <c r="A1984" s="1" t="s">
        <v>174</v>
      </c>
      <c r="B1984" s="1" t="s">
        <v>175</v>
      </c>
      <c r="C1984" s="1">
        <v>2018</v>
      </c>
      <c r="D1984" s="1">
        <v>16979</v>
      </c>
      <c r="E1984" s="1">
        <v>94</v>
      </c>
      <c r="F1984" s="1">
        <v>127</v>
      </c>
      <c r="G1984" s="1">
        <v>793005</v>
      </c>
      <c r="H1984" s="1">
        <v>0</v>
      </c>
    </row>
    <row r="1985" spans="1:8" x14ac:dyDescent="0.3">
      <c r="A1985" s="1" t="s">
        <v>176</v>
      </c>
      <c r="B1985" s="1" t="s">
        <v>177</v>
      </c>
      <c r="C1985" s="1">
        <v>2018</v>
      </c>
      <c r="D1985" s="1">
        <v>12410</v>
      </c>
      <c r="E1985" s="1">
        <v>82</v>
      </c>
      <c r="F1985" s="1">
        <v>128</v>
      </c>
      <c r="G1985" s="1">
        <v>852363</v>
      </c>
      <c r="H1985" s="1">
        <v>0</v>
      </c>
    </row>
    <row r="1986" spans="1:8" x14ac:dyDescent="0.3">
      <c r="A1986" s="1" t="s">
        <v>178</v>
      </c>
      <c r="B1986" s="1" t="s">
        <v>179</v>
      </c>
      <c r="C1986" s="1">
        <v>2018</v>
      </c>
      <c r="D1986" s="1">
        <v>19855</v>
      </c>
      <c r="E1986" s="1">
        <v>117</v>
      </c>
      <c r="F1986" s="1">
        <v>276</v>
      </c>
      <c r="G1986" s="1">
        <v>400455</v>
      </c>
      <c r="H1986" s="1">
        <v>0</v>
      </c>
    </row>
    <row r="1987" spans="1:8" x14ac:dyDescent="0.3">
      <c r="A1987" s="1" t="s">
        <v>180</v>
      </c>
      <c r="B1987" s="1" t="s">
        <v>181</v>
      </c>
      <c r="C1987" s="1">
        <v>2018</v>
      </c>
      <c r="D1987" s="1">
        <v>25211</v>
      </c>
      <c r="E1987" s="1">
        <v>331</v>
      </c>
      <c r="F1987" s="1">
        <v>268</v>
      </c>
      <c r="G1987" s="1">
        <v>813669</v>
      </c>
      <c r="H1987" s="1">
        <v>0</v>
      </c>
    </row>
    <row r="1988" spans="1:8" x14ac:dyDescent="0.3">
      <c r="A1988" s="1" t="s">
        <v>182</v>
      </c>
      <c r="B1988" s="1" t="s">
        <v>183</v>
      </c>
      <c r="C1988" s="1">
        <v>2018</v>
      </c>
      <c r="D1988" s="1">
        <v>29619</v>
      </c>
      <c r="E1988" s="1">
        <v>114</v>
      </c>
      <c r="F1988" s="1">
        <v>327</v>
      </c>
      <c r="G1988" s="1">
        <v>2058420</v>
      </c>
      <c r="H1988" s="1">
        <v>0</v>
      </c>
    </row>
    <row r="1989" spans="1:8" x14ac:dyDescent="0.3">
      <c r="A1989" s="1" t="s">
        <v>184</v>
      </c>
      <c r="B1989" s="1" t="s">
        <v>185</v>
      </c>
      <c r="C1989" s="1">
        <v>2018</v>
      </c>
      <c r="D1989" s="1">
        <v>34639</v>
      </c>
      <c r="E1989" s="1">
        <v>366</v>
      </c>
      <c r="F1989" s="1">
        <v>446</v>
      </c>
      <c r="G1989" s="1">
        <v>1661756</v>
      </c>
      <c r="H1989" s="1">
        <v>0</v>
      </c>
    </row>
    <row r="1990" spans="1:8" x14ac:dyDescent="0.3">
      <c r="A1990" s="1" t="s">
        <v>186</v>
      </c>
      <c r="B1990" s="1" t="s">
        <v>187</v>
      </c>
      <c r="C1990" s="1">
        <v>2018</v>
      </c>
      <c r="D1990" s="1">
        <v>12770</v>
      </c>
      <c r="E1990" s="1">
        <v>101</v>
      </c>
      <c r="F1990" s="1">
        <v>82</v>
      </c>
      <c r="G1990" s="1">
        <v>213918</v>
      </c>
      <c r="H1990" s="1">
        <v>0</v>
      </c>
    </row>
    <row r="1991" spans="1:8" x14ac:dyDescent="0.3">
      <c r="A1991" s="1" t="s">
        <v>188</v>
      </c>
      <c r="B1991" s="1" t="s">
        <v>189</v>
      </c>
      <c r="C1991" s="1">
        <v>2018</v>
      </c>
      <c r="D1991" s="1">
        <v>53208</v>
      </c>
      <c r="E1991" s="1">
        <v>723</v>
      </c>
      <c r="F1991" s="1">
        <v>1725</v>
      </c>
      <c r="G1991" s="1">
        <v>3336460</v>
      </c>
      <c r="H1991" s="1">
        <v>0</v>
      </c>
    </row>
    <row r="1992" spans="1:8" x14ac:dyDescent="0.3">
      <c r="A1992" s="1" t="s">
        <v>190</v>
      </c>
      <c r="B1992" s="1" t="s">
        <v>191</v>
      </c>
      <c r="C1992" s="1">
        <v>2018</v>
      </c>
      <c r="D1992" s="1">
        <v>61366</v>
      </c>
      <c r="E1992" s="1">
        <v>1219</v>
      </c>
      <c r="F1992" s="1">
        <v>1866</v>
      </c>
      <c r="G1992" s="1">
        <v>3922364</v>
      </c>
      <c r="H1992" s="1">
        <v>14</v>
      </c>
    </row>
    <row r="1993" spans="1:8" x14ac:dyDescent="0.3">
      <c r="A1993" s="1" t="s">
        <v>192</v>
      </c>
      <c r="B1993" s="1" t="s">
        <v>193</v>
      </c>
      <c r="C1993" s="1">
        <v>2018</v>
      </c>
      <c r="D1993" s="1">
        <v>41085</v>
      </c>
      <c r="E1993" s="1">
        <v>283</v>
      </c>
      <c r="F1993" s="1">
        <v>343</v>
      </c>
      <c r="G1993" s="1">
        <v>1601068</v>
      </c>
      <c r="H1993" s="1">
        <v>0</v>
      </c>
    </row>
    <row r="1994" spans="1:8" x14ac:dyDescent="0.3">
      <c r="A1994" s="1" t="s">
        <v>194</v>
      </c>
      <c r="B1994" s="1" t="s">
        <v>195</v>
      </c>
      <c r="C1994" s="1">
        <v>2018</v>
      </c>
      <c r="D1994" s="1">
        <v>38355</v>
      </c>
      <c r="E1994" s="1">
        <v>268</v>
      </c>
      <c r="F1994" s="1">
        <v>238</v>
      </c>
      <c r="G1994" s="1">
        <v>2925991</v>
      </c>
      <c r="H1994" s="1">
        <v>153</v>
      </c>
    </row>
    <row r="1995" spans="1:8" x14ac:dyDescent="0.3">
      <c r="A1995" s="1" t="s">
        <v>196</v>
      </c>
      <c r="B1995" s="1" t="s">
        <v>197</v>
      </c>
      <c r="C1995" s="1">
        <v>2018</v>
      </c>
      <c r="D1995" s="1">
        <v>19537</v>
      </c>
      <c r="E1995" s="1">
        <v>176</v>
      </c>
      <c r="F1995" s="1">
        <v>74</v>
      </c>
      <c r="G1995" s="1">
        <v>825877</v>
      </c>
      <c r="H1995" s="1">
        <v>18</v>
      </c>
    </row>
    <row r="1996" spans="1:8" x14ac:dyDescent="0.3">
      <c r="A1996" s="1" t="s">
        <v>198</v>
      </c>
      <c r="B1996" s="1" t="s">
        <v>199</v>
      </c>
      <c r="C1996" s="1">
        <v>2018</v>
      </c>
      <c r="D1996" s="1">
        <v>17381</v>
      </c>
      <c r="E1996" s="1">
        <v>55</v>
      </c>
      <c r="F1996" s="1">
        <v>57</v>
      </c>
      <c r="G1996" s="1">
        <v>405896</v>
      </c>
      <c r="H1996" s="1">
        <v>144</v>
      </c>
    </row>
    <row r="1997" spans="1:8" x14ac:dyDescent="0.3">
      <c r="A1997" s="1" t="s">
        <v>200</v>
      </c>
      <c r="B1997" s="1" t="s">
        <v>201</v>
      </c>
      <c r="C1997" s="1">
        <v>2018</v>
      </c>
      <c r="D1997" s="1">
        <v>27903</v>
      </c>
      <c r="E1997" s="1">
        <v>123</v>
      </c>
      <c r="F1997" s="1">
        <v>95</v>
      </c>
      <c r="G1997" s="1">
        <v>719025</v>
      </c>
      <c r="H1997" s="1">
        <v>0</v>
      </c>
    </row>
    <row r="1998" spans="1:8" x14ac:dyDescent="0.3">
      <c r="A1998" s="1" t="s">
        <v>202</v>
      </c>
      <c r="B1998" s="1" t="s">
        <v>203</v>
      </c>
      <c r="C1998" s="1">
        <v>2018</v>
      </c>
      <c r="D1998" s="1">
        <v>24675</v>
      </c>
      <c r="E1998" s="1">
        <v>222</v>
      </c>
      <c r="F1998" s="1">
        <v>37</v>
      </c>
      <c r="G1998" s="1">
        <v>363608</v>
      </c>
      <c r="H1998" s="1">
        <v>158</v>
      </c>
    </row>
    <row r="1999" spans="1:8" x14ac:dyDescent="0.3">
      <c r="A1999" s="1" t="s">
        <v>204</v>
      </c>
      <c r="B1999" s="1" t="s">
        <v>205</v>
      </c>
      <c r="C1999" s="1">
        <v>2018</v>
      </c>
      <c r="D1999" s="1">
        <v>26517</v>
      </c>
      <c r="E1999" s="1">
        <v>202</v>
      </c>
      <c r="F1999" s="1">
        <v>82</v>
      </c>
      <c r="G1999" s="1">
        <v>294478</v>
      </c>
      <c r="H1999" s="1">
        <v>18</v>
      </c>
    </row>
    <row r="2000" spans="1:8" x14ac:dyDescent="0.3">
      <c r="A2000" s="1" t="s">
        <v>206</v>
      </c>
      <c r="B2000" s="1" t="s">
        <v>207</v>
      </c>
      <c r="C2000" s="1">
        <v>2018</v>
      </c>
      <c r="D2000" s="1">
        <v>51555</v>
      </c>
      <c r="E2000" s="1">
        <v>413</v>
      </c>
      <c r="F2000" s="1">
        <v>293</v>
      </c>
      <c r="G2000" s="1">
        <v>1059628</v>
      </c>
      <c r="H2000" s="1">
        <v>52</v>
      </c>
    </row>
    <row r="2001" spans="1:8" x14ac:dyDescent="0.3">
      <c r="A2001" s="1" t="s">
        <v>208</v>
      </c>
      <c r="B2001" s="1" t="s">
        <v>209</v>
      </c>
      <c r="C2001" s="1">
        <v>2018</v>
      </c>
      <c r="D2001" s="1">
        <v>17146</v>
      </c>
      <c r="E2001" s="1">
        <v>181</v>
      </c>
      <c r="F2001" s="1">
        <v>11</v>
      </c>
      <c r="G2001" s="1">
        <v>186989</v>
      </c>
      <c r="H2001" s="1">
        <v>0</v>
      </c>
    </row>
    <row r="2002" spans="1:8" x14ac:dyDescent="0.3">
      <c r="A2002" s="1" t="s">
        <v>210</v>
      </c>
      <c r="B2002" s="1" t="s">
        <v>211</v>
      </c>
      <c r="C2002" s="1">
        <v>2018</v>
      </c>
      <c r="D2002" s="1">
        <v>30736</v>
      </c>
      <c r="E2002" s="1">
        <v>302</v>
      </c>
      <c r="F2002" s="1">
        <v>28</v>
      </c>
      <c r="G2002" s="1">
        <v>307685</v>
      </c>
      <c r="H2002" s="1">
        <v>0</v>
      </c>
    </row>
    <row r="2003" spans="1:8" x14ac:dyDescent="0.3">
      <c r="A2003" s="1" t="s">
        <v>212</v>
      </c>
      <c r="B2003" s="1" t="s">
        <v>213</v>
      </c>
      <c r="C2003" s="1">
        <v>2018</v>
      </c>
      <c r="D2003" s="1">
        <v>15743</v>
      </c>
      <c r="E2003" s="1">
        <v>140</v>
      </c>
      <c r="F2003" s="1">
        <v>57</v>
      </c>
      <c r="G2003" s="1">
        <v>228759</v>
      </c>
      <c r="H2003" s="1">
        <v>0</v>
      </c>
    </row>
    <row r="2004" spans="1:8" x14ac:dyDescent="0.3">
      <c r="A2004" s="1" t="s">
        <v>214</v>
      </c>
      <c r="B2004" s="1" t="s">
        <v>215</v>
      </c>
      <c r="C2004" s="1">
        <v>2018</v>
      </c>
      <c r="D2004" s="1">
        <v>43751</v>
      </c>
      <c r="E2004" s="1">
        <v>434</v>
      </c>
      <c r="F2004" s="1">
        <v>148</v>
      </c>
      <c r="G2004" s="1">
        <v>922823</v>
      </c>
      <c r="H2004" s="1">
        <v>61</v>
      </c>
    </row>
    <row r="2005" spans="1:8" x14ac:dyDescent="0.3">
      <c r="A2005" s="1" t="s">
        <v>216</v>
      </c>
      <c r="B2005" s="1" t="s">
        <v>217</v>
      </c>
      <c r="C2005" s="1">
        <v>2018</v>
      </c>
      <c r="D2005" s="1">
        <v>16710</v>
      </c>
      <c r="E2005" s="1">
        <v>135</v>
      </c>
      <c r="F2005" s="1">
        <v>37</v>
      </c>
      <c r="G2005" s="1">
        <v>454785</v>
      </c>
      <c r="H2005" s="1">
        <v>0</v>
      </c>
    </row>
    <row r="2006" spans="1:8" x14ac:dyDescent="0.3">
      <c r="A2006" s="1" t="s">
        <v>218</v>
      </c>
      <c r="B2006" s="1" t="s">
        <v>219</v>
      </c>
      <c r="C2006" s="1">
        <v>2018</v>
      </c>
      <c r="D2006" s="1">
        <v>39860</v>
      </c>
      <c r="E2006" s="1">
        <v>258</v>
      </c>
      <c r="F2006" s="1">
        <v>161</v>
      </c>
      <c r="G2006" s="1">
        <v>1192760</v>
      </c>
      <c r="H2006" s="1">
        <v>0</v>
      </c>
    </row>
    <row r="2007" spans="1:8" x14ac:dyDescent="0.3">
      <c r="A2007" s="1" t="s">
        <v>220</v>
      </c>
      <c r="B2007" s="1" t="s">
        <v>221</v>
      </c>
      <c r="C2007" s="1">
        <v>2018</v>
      </c>
      <c r="D2007" s="1">
        <v>12490</v>
      </c>
      <c r="E2007" s="1">
        <v>122</v>
      </c>
      <c r="F2007" s="1">
        <v>0</v>
      </c>
      <c r="G2007" s="1">
        <v>8815</v>
      </c>
      <c r="H2007" s="1">
        <v>10</v>
      </c>
    </row>
    <row r="2008" spans="1:8" x14ac:dyDescent="0.3">
      <c r="A2008" s="1" t="s">
        <v>222</v>
      </c>
      <c r="B2008" s="1" t="s">
        <v>151</v>
      </c>
      <c r="C2008" s="1">
        <v>2018</v>
      </c>
      <c r="D2008" s="1">
        <v>46155</v>
      </c>
      <c r="E2008" s="1">
        <v>205</v>
      </c>
      <c r="F2008" s="1">
        <v>278</v>
      </c>
      <c r="G2008" s="1">
        <v>2407744</v>
      </c>
      <c r="H2008" s="1">
        <v>0</v>
      </c>
    </row>
    <row r="2009" spans="1:8" x14ac:dyDescent="0.3">
      <c r="A2009" s="1" t="s">
        <v>223</v>
      </c>
      <c r="B2009" s="1" t="s">
        <v>224</v>
      </c>
      <c r="C2009" s="1">
        <v>2018</v>
      </c>
      <c r="D2009" s="1">
        <v>25749</v>
      </c>
      <c r="E2009" s="1">
        <v>298</v>
      </c>
      <c r="F2009" s="1">
        <v>105</v>
      </c>
      <c r="G2009" s="1">
        <v>698375</v>
      </c>
      <c r="H2009" s="1">
        <v>0</v>
      </c>
    </row>
    <row r="2010" spans="1:8" x14ac:dyDescent="0.3">
      <c r="A2010" s="1" t="s">
        <v>225</v>
      </c>
      <c r="B2010" s="1" t="s">
        <v>226</v>
      </c>
      <c r="C2010" s="1">
        <v>2018</v>
      </c>
      <c r="D2010" s="1">
        <v>13746</v>
      </c>
      <c r="E2010" s="1">
        <v>159</v>
      </c>
      <c r="F2010" s="1">
        <v>112</v>
      </c>
      <c r="G2010" s="1">
        <v>253681</v>
      </c>
      <c r="H2010" s="1">
        <v>0</v>
      </c>
    </row>
    <row r="2011" spans="1:8" x14ac:dyDescent="0.3">
      <c r="A2011" s="1" t="s">
        <v>227</v>
      </c>
      <c r="B2011" s="1" t="s">
        <v>228</v>
      </c>
      <c r="C2011" s="1">
        <v>2018</v>
      </c>
      <c r="D2011" s="1">
        <v>24755</v>
      </c>
      <c r="E2011" s="1">
        <v>166</v>
      </c>
      <c r="F2011" s="1">
        <v>136</v>
      </c>
      <c r="G2011" s="1">
        <v>1051584</v>
      </c>
      <c r="H2011" s="1">
        <v>132</v>
      </c>
    </row>
    <row r="2012" spans="1:8" x14ac:dyDescent="0.3">
      <c r="A2012" s="1" t="s">
        <v>229</v>
      </c>
      <c r="B2012" s="1" t="s">
        <v>230</v>
      </c>
      <c r="C2012" s="1">
        <v>2018</v>
      </c>
      <c r="D2012" s="1">
        <v>67272</v>
      </c>
      <c r="E2012" s="1">
        <v>611</v>
      </c>
      <c r="F2012" s="1">
        <v>402</v>
      </c>
      <c r="G2012" s="1">
        <v>1833272</v>
      </c>
      <c r="H2012" s="1">
        <v>349</v>
      </c>
    </row>
    <row r="2013" spans="1:8" x14ac:dyDescent="0.3">
      <c r="A2013" s="1" t="s">
        <v>231</v>
      </c>
      <c r="B2013" s="1" t="s">
        <v>232</v>
      </c>
      <c r="C2013" s="1">
        <v>2018</v>
      </c>
      <c r="D2013" s="1">
        <v>11623</v>
      </c>
      <c r="E2013" s="1">
        <v>158</v>
      </c>
      <c r="F2013" s="1">
        <v>53</v>
      </c>
      <c r="G2013" s="1">
        <v>255973</v>
      </c>
      <c r="H2013" s="1">
        <v>0</v>
      </c>
    </row>
    <row r="2014" spans="1:8" x14ac:dyDescent="0.3">
      <c r="A2014" s="1" t="s">
        <v>233</v>
      </c>
      <c r="B2014" s="1" t="s">
        <v>234</v>
      </c>
      <c r="C2014" s="1">
        <v>2018</v>
      </c>
      <c r="D2014" s="1">
        <v>358991</v>
      </c>
      <c r="E2014" s="1">
        <v>2800</v>
      </c>
      <c r="F2014" s="1">
        <v>7029</v>
      </c>
      <c r="G2014" s="1">
        <v>23945559</v>
      </c>
      <c r="H2014" s="1">
        <v>306</v>
      </c>
    </row>
    <row r="2015" spans="1:8" x14ac:dyDescent="0.3">
      <c r="A2015" s="1" t="s">
        <v>235</v>
      </c>
      <c r="B2015" s="1" t="s">
        <v>236</v>
      </c>
      <c r="C2015" s="1">
        <v>2018</v>
      </c>
      <c r="D2015" s="1">
        <v>31779</v>
      </c>
      <c r="E2015" s="1">
        <v>131</v>
      </c>
      <c r="F2015" s="1">
        <v>217</v>
      </c>
      <c r="G2015" s="1">
        <v>4028134</v>
      </c>
      <c r="H2015" s="1">
        <v>111</v>
      </c>
    </row>
    <row r="2016" spans="1:8" x14ac:dyDescent="0.3">
      <c r="A2016" s="1" t="s">
        <v>237</v>
      </c>
      <c r="B2016" s="1" t="s">
        <v>238</v>
      </c>
      <c r="C2016" s="1">
        <v>2018</v>
      </c>
      <c r="D2016" s="1">
        <v>19810</v>
      </c>
      <c r="E2016" s="1">
        <v>204</v>
      </c>
      <c r="F2016" s="1">
        <v>260</v>
      </c>
      <c r="G2016" s="1">
        <v>534088</v>
      </c>
      <c r="H2016" s="1">
        <v>60</v>
      </c>
    </row>
    <row r="2017" spans="1:8" x14ac:dyDescent="0.3">
      <c r="A2017" s="1" t="s">
        <v>239</v>
      </c>
      <c r="B2017" s="1" t="s">
        <v>240</v>
      </c>
      <c r="C2017" s="1">
        <v>2018</v>
      </c>
      <c r="D2017" s="1">
        <v>32534</v>
      </c>
      <c r="E2017" s="1">
        <v>344</v>
      </c>
      <c r="F2017" s="1">
        <v>81</v>
      </c>
      <c r="G2017" s="1">
        <v>433257</v>
      </c>
      <c r="H2017" s="1">
        <v>0</v>
      </c>
    </row>
    <row r="2018" spans="1:8" x14ac:dyDescent="0.3">
      <c r="A2018" s="1" t="s">
        <v>241</v>
      </c>
      <c r="B2018" s="1" t="s">
        <v>242</v>
      </c>
      <c r="C2018" s="1">
        <v>2018</v>
      </c>
      <c r="D2018" s="1">
        <v>28040</v>
      </c>
      <c r="E2018" s="1">
        <v>182</v>
      </c>
      <c r="F2018" s="1">
        <v>69</v>
      </c>
      <c r="G2018" s="1">
        <v>247722</v>
      </c>
      <c r="H2018" s="1">
        <v>0</v>
      </c>
    </row>
    <row r="2019" spans="1:8" x14ac:dyDescent="0.3">
      <c r="A2019" s="1" t="s">
        <v>243</v>
      </c>
      <c r="B2019" s="1" t="s">
        <v>244</v>
      </c>
      <c r="C2019" s="1">
        <v>2018</v>
      </c>
      <c r="D2019" s="1">
        <v>44530</v>
      </c>
      <c r="E2019" s="1">
        <v>193</v>
      </c>
      <c r="F2019" s="1">
        <v>351</v>
      </c>
      <c r="G2019" s="1">
        <v>3969998</v>
      </c>
      <c r="H2019" s="1">
        <v>32</v>
      </c>
    </row>
    <row r="2020" spans="1:8" x14ac:dyDescent="0.3">
      <c r="A2020" s="1" t="s">
        <v>245</v>
      </c>
      <c r="B2020" s="1" t="s">
        <v>246</v>
      </c>
      <c r="C2020" s="1">
        <v>2018</v>
      </c>
      <c r="D2020" s="1">
        <v>16926</v>
      </c>
      <c r="E2020" s="1">
        <v>147</v>
      </c>
      <c r="F2020" s="1">
        <v>16</v>
      </c>
      <c r="G2020" s="1">
        <v>190722</v>
      </c>
      <c r="H2020" s="1">
        <v>0</v>
      </c>
    </row>
    <row r="2021" spans="1:8" x14ac:dyDescent="0.3">
      <c r="A2021" s="1" t="s">
        <v>247</v>
      </c>
      <c r="B2021" s="1" t="s">
        <v>248</v>
      </c>
      <c r="C2021" s="1">
        <v>2018</v>
      </c>
      <c r="D2021" s="1">
        <v>32575</v>
      </c>
      <c r="E2021" s="1">
        <v>364</v>
      </c>
      <c r="F2021" s="1">
        <v>53</v>
      </c>
      <c r="G2021" s="1">
        <v>837477</v>
      </c>
      <c r="H2021" s="1">
        <v>0</v>
      </c>
    </row>
    <row r="2022" spans="1:8" x14ac:dyDescent="0.3">
      <c r="A2022" s="1" t="s">
        <v>249</v>
      </c>
      <c r="B2022" s="1" t="s">
        <v>250</v>
      </c>
      <c r="C2022" s="1">
        <v>2018</v>
      </c>
      <c r="D2022" s="1">
        <v>87855</v>
      </c>
      <c r="E2022" s="1">
        <v>1588</v>
      </c>
      <c r="F2022" s="1">
        <v>440</v>
      </c>
      <c r="G2022" s="1">
        <v>832079</v>
      </c>
      <c r="H2022" s="1">
        <v>168</v>
      </c>
    </row>
    <row r="2023" spans="1:8" x14ac:dyDescent="0.3">
      <c r="A2023" s="1" t="s">
        <v>251</v>
      </c>
      <c r="B2023" s="1" t="s">
        <v>252</v>
      </c>
      <c r="C2023" s="1">
        <v>2018</v>
      </c>
      <c r="D2023" s="1">
        <v>34929</v>
      </c>
      <c r="E2023" s="1">
        <v>409</v>
      </c>
      <c r="F2023" s="1">
        <v>49</v>
      </c>
      <c r="G2023" s="1">
        <v>284167</v>
      </c>
      <c r="H2023" s="1">
        <v>0</v>
      </c>
    </row>
    <row r="2024" spans="1:8" x14ac:dyDescent="0.3">
      <c r="A2024" s="1" t="s">
        <v>253</v>
      </c>
      <c r="B2024" s="1" t="s">
        <v>254</v>
      </c>
      <c r="C2024" s="1">
        <v>2018</v>
      </c>
      <c r="D2024" s="1">
        <v>17285</v>
      </c>
      <c r="E2024" s="1">
        <v>73</v>
      </c>
      <c r="F2024" s="1">
        <v>27</v>
      </c>
      <c r="G2024" s="1">
        <v>242344</v>
      </c>
      <c r="H2024" s="1">
        <v>10</v>
      </c>
    </row>
    <row r="2025" spans="1:8" x14ac:dyDescent="0.3">
      <c r="A2025" s="1" t="s">
        <v>255</v>
      </c>
      <c r="B2025" s="1" t="s">
        <v>256</v>
      </c>
      <c r="C2025" s="1">
        <v>2018</v>
      </c>
      <c r="D2025" s="1">
        <v>34999</v>
      </c>
      <c r="E2025" s="1">
        <v>467</v>
      </c>
      <c r="F2025" s="1">
        <v>118</v>
      </c>
      <c r="G2025" s="1">
        <v>146028</v>
      </c>
      <c r="H2025" s="1">
        <v>0</v>
      </c>
    </row>
    <row r="2026" spans="1:8" x14ac:dyDescent="0.3">
      <c r="A2026" s="1" t="s">
        <v>257</v>
      </c>
      <c r="B2026" s="1" t="s">
        <v>258</v>
      </c>
      <c r="C2026" s="1">
        <v>2018</v>
      </c>
      <c r="D2026" s="1">
        <v>53703</v>
      </c>
      <c r="E2026" s="1">
        <v>207</v>
      </c>
      <c r="F2026" s="1">
        <v>160</v>
      </c>
      <c r="G2026" s="1">
        <v>635097</v>
      </c>
      <c r="H2026" s="1">
        <v>0</v>
      </c>
    </row>
    <row r="2027" spans="1:8" x14ac:dyDescent="0.3">
      <c r="A2027" s="1" t="s">
        <v>259</v>
      </c>
      <c r="B2027" s="1" t="s">
        <v>260</v>
      </c>
      <c r="C2027" s="1">
        <v>2018</v>
      </c>
      <c r="D2027" s="1">
        <v>54260</v>
      </c>
      <c r="E2027" s="1">
        <v>692</v>
      </c>
      <c r="F2027" s="1">
        <v>230</v>
      </c>
      <c r="G2027" s="1">
        <v>727176</v>
      </c>
      <c r="H2027" s="1">
        <v>0</v>
      </c>
    </row>
    <row r="2028" spans="1:8" x14ac:dyDescent="0.3">
      <c r="A2028" s="1" t="s">
        <v>261</v>
      </c>
      <c r="B2028" s="1" t="s">
        <v>262</v>
      </c>
      <c r="C2028" s="1">
        <v>2018</v>
      </c>
      <c r="D2028" s="1">
        <v>38322</v>
      </c>
      <c r="E2028" s="1">
        <v>197</v>
      </c>
      <c r="F2028" s="1">
        <v>157</v>
      </c>
      <c r="G2028" s="1">
        <v>977928</v>
      </c>
      <c r="H2028" s="1">
        <v>48</v>
      </c>
    </row>
    <row r="2029" spans="1:8" x14ac:dyDescent="0.3">
      <c r="A2029" s="1" t="s">
        <v>263</v>
      </c>
      <c r="B2029" s="1" t="s">
        <v>264</v>
      </c>
      <c r="C2029" s="1">
        <v>2018</v>
      </c>
      <c r="D2029" s="1">
        <v>52104</v>
      </c>
      <c r="E2029" s="1">
        <v>448</v>
      </c>
      <c r="F2029" s="1">
        <v>447</v>
      </c>
      <c r="G2029" s="1">
        <v>2269661</v>
      </c>
      <c r="H2029" s="1">
        <v>84</v>
      </c>
    </row>
    <row r="2030" spans="1:8" x14ac:dyDescent="0.3">
      <c r="A2030" s="1" t="s">
        <v>265</v>
      </c>
      <c r="B2030" s="1" t="s">
        <v>266</v>
      </c>
      <c r="C2030" s="1">
        <v>2018</v>
      </c>
      <c r="D2030" s="1">
        <v>13224</v>
      </c>
      <c r="E2030" s="1">
        <v>95</v>
      </c>
      <c r="F2030" s="1">
        <v>17</v>
      </c>
      <c r="G2030" s="1">
        <v>423318</v>
      </c>
      <c r="H2030" s="1">
        <v>0</v>
      </c>
    </row>
    <row r="2031" spans="1:8" x14ac:dyDescent="0.3">
      <c r="A2031" s="1" t="s">
        <v>267</v>
      </c>
      <c r="B2031" s="1" t="s">
        <v>268</v>
      </c>
      <c r="C2031" s="1">
        <v>2018</v>
      </c>
      <c r="D2031" s="1">
        <v>25689</v>
      </c>
      <c r="E2031" s="1">
        <v>303</v>
      </c>
      <c r="F2031" s="1">
        <v>27</v>
      </c>
      <c r="G2031" s="1">
        <v>143306</v>
      </c>
      <c r="H2031" s="1">
        <v>0</v>
      </c>
    </row>
    <row r="2032" spans="1:8" x14ac:dyDescent="0.3">
      <c r="A2032" s="1" t="s">
        <v>269</v>
      </c>
      <c r="B2032" s="1" t="s">
        <v>270</v>
      </c>
      <c r="C2032" s="1">
        <v>2018</v>
      </c>
      <c r="D2032" s="1">
        <v>55639</v>
      </c>
      <c r="E2032" s="1">
        <v>629</v>
      </c>
      <c r="F2032" s="1">
        <v>4</v>
      </c>
      <c r="G2032" s="1">
        <v>272158</v>
      </c>
      <c r="H2032" s="1">
        <v>26</v>
      </c>
    </row>
    <row r="2033" spans="1:8" x14ac:dyDescent="0.3">
      <c r="A2033" s="1" t="s">
        <v>271</v>
      </c>
      <c r="B2033" s="1" t="s">
        <v>272</v>
      </c>
      <c r="C2033" s="1">
        <v>2018</v>
      </c>
      <c r="D2033" s="1">
        <v>25172</v>
      </c>
      <c r="E2033" s="1">
        <v>287</v>
      </c>
      <c r="F2033" s="1">
        <v>277</v>
      </c>
      <c r="G2033" s="1">
        <v>258250</v>
      </c>
      <c r="H2033" s="1">
        <v>47</v>
      </c>
    </row>
    <row r="2034" spans="1:8" x14ac:dyDescent="0.3">
      <c r="A2034" s="1" t="s">
        <v>273</v>
      </c>
      <c r="B2034" s="1" t="s">
        <v>274</v>
      </c>
      <c r="C2034" s="1">
        <v>2018</v>
      </c>
      <c r="D2034" s="1">
        <v>48112</v>
      </c>
      <c r="E2034" s="1">
        <v>540</v>
      </c>
      <c r="F2034" s="1">
        <v>138</v>
      </c>
      <c r="G2034" s="1">
        <v>1026151</v>
      </c>
      <c r="H2034" s="1">
        <v>0</v>
      </c>
    </row>
    <row r="2035" spans="1:8" x14ac:dyDescent="0.3">
      <c r="A2035" s="1" t="s">
        <v>275</v>
      </c>
      <c r="B2035" s="1" t="s">
        <v>276</v>
      </c>
      <c r="C2035" s="1">
        <v>2018</v>
      </c>
      <c r="D2035" s="1">
        <v>39795</v>
      </c>
      <c r="E2035" s="1">
        <v>902</v>
      </c>
      <c r="F2035" s="1">
        <v>551</v>
      </c>
      <c r="G2035" s="1">
        <v>179828</v>
      </c>
      <c r="H2035" s="1">
        <v>0</v>
      </c>
    </row>
    <row r="2036" spans="1:8" x14ac:dyDescent="0.3">
      <c r="A2036" s="1" t="s">
        <v>277</v>
      </c>
      <c r="B2036" s="1" t="s">
        <v>278</v>
      </c>
      <c r="C2036" s="1">
        <v>2018</v>
      </c>
      <c r="D2036" s="1">
        <v>389606</v>
      </c>
      <c r="E2036" s="1">
        <v>9606</v>
      </c>
      <c r="F2036" s="1">
        <v>11585</v>
      </c>
      <c r="G2036" s="1">
        <v>14642663</v>
      </c>
      <c r="H2036" s="1">
        <v>51</v>
      </c>
    </row>
    <row r="2037" spans="1:8" x14ac:dyDescent="0.3">
      <c r="A2037" s="1" t="s">
        <v>279</v>
      </c>
      <c r="B2037" s="1" t="s">
        <v>280</v>
      </c>
      <c r="C2037" s="1">
        <v>2018</v>
      </c>
      <c r="D2037" s="1">
        <v>30440</v>
      </c>
      <c r="E2037" s="1">
        <v>306</v>
      </c>
      <c r="F2037" s="1">
        <v>329</v>
      </c>
      <c r="G2037" s="1">
        <v>1945870</v>
      </c>
      <c r="H2037" s="1">
        <v>0</v>
      </c>
    </row>
    <row r="2038" spans="1:8" x14ac:dyDescent="0.3">
      <c r="A2038" s="1" t="s">
        <v>281</v>
      </c>
      <c r="B2038" s="1" t="s">
        <v>282</v>
      </c>
      <c r="C2038" s="1">
        <v>2018</v>
      </c>
      <c r="D2038" s="1">
        <v>43822</v>
      </c>
      <c r="E2038" s="1">
        <v>241</v>
      </c>
      <c r="F2038" s="1">
        <v>537</v>
      </c>
      <c r="G2038" s="1">
        <v>5358319</v>
      </c>
      <c r="H2038" s="1">
        <v>195</v>
      </c>
    </row>
    <row r="2039" spans="1:8" x14ac:dyDescent="0.3">
      <c r="A2039" s="1" t="s">
        <v>283</v>
      </c>
      <c r="B2039" s="1" t="s">
        <v>284</v>
      </c>
      <c r="C2039" s="1">
        <v>2018</v>
      </c>
      <c r="D2039" s="1">
        <v>12031</v>
      </c>
      <c r="E2039" s="1">
        <v>104</v>
      </c>
      <c r="F2039" s="1">
        <v>16</v>
      </c>
      <c r="G2039" s="1">
        <v>88938</v>
      </c>
      <c r="H2039" s="1">
        <v>6</v>
      </c>
    </row>
    <row r="2040" spans="1:8" x14ac:dyDescent="0.3">
      <c r="A2040" s="1" t="s">
        <v>285</v>
      </c>
      <c r="B2040" s="1" t="s">
        <v>286</v>
      </c>
      <c r="C2040" s="1">
        <v>2018</v>
      </c>
      <c r="D2040" s="1">
        <v>31828</v>
      </c>
      <c r="E2040" s="1">
        <v>411</v>
      </c>
      <c r="F2040" s="1">
        <v>281</v>
      </c>
      <c r="G2040" s="1">
        <v>2099212</v>
      </c>
      <c r="H2040" s="1">
        <v>94</v>
      </c>
    </row>
    <row r="2041" spans="1:8" x14ac:dyDescent="0.3">
      <c r="A2041" s="1" t="s">
        <v>287</v>
      </c>
      <c r="B2041" s="1" t="s">
        <v>288</v>
      </c>
      <c r="C2041" s="1">
        <v>2018</v>
      </c>
      <c r="D2041" s="1">
        <v>35681</v>
      </c>
      <c r="E2041" s="1">
        <v>477</v>
      </c>
      <c r="F2041" s="1">
        <v>15</v>
      </c>
      <c r="G2041" s="1">
        <v>371433</v>
      </c>
      <c r="H2041" s="1">
        <v>46</v>
      </c>
    </row>
    <row r="2042" spans="1:8" x14ac:dyDescent="0.3">
      <c r="A2042" s="1" t="s">
        <v>289</v>
      </c>
      <c r="B2042" s="1" t="s">
        <v>290</v>
      </c>
      <c r="C2042" s="1">
        <v>2018</v>
      </c>
      <c r="D2042" s="1">
        <v>16471</v>
      </c>
      <c r="E2042" s="1">
        <v>108</v>
      </c>
      <c r="F2042" s="1">
        <v>82</v>
      </c>
      <c r="G2042" s="1">
        <v>709391</v>
      </c>
      <c r="H2042" s="1">
        <v>0</v>
      </c>
    </row>
    <row r="2043" spans="1:8" x14ac:dyDescent="0.3">
      <c r="A2043" s="1" t="s">
        <v>291</v>
      </c>
      <c r="B2043" s="1" t="s">
        <v>292</v>
      </c>
      <c r="C2043" s="1">
        <v>2018</v>
      </c>
      <c r="D2043" s="1">
        <v>36905</v>
      </c>
      <c r="E2043" s="1">
        <v>997</v>
      </c>
      <c r="F2043" s="1">
        <v>252</v>
      </c>
      <c r="G2043" s="1">
        <v>818892</v>
      </c>
      <c r="H2043" s="1">
        <v>22</v>
      </c>
    </row>
    <row r="2044" spans="1:8" x14ac:dyDescent="0.3">
      <c r="A2044" s="1" t="s">
        <v>293</v>
      </c>
      <c r="B2044" s="1" t="s">
        <v>294</v>
      </c>
      <c r="C2044" s="1">
        <v>2018</v>
      </c>
      <c r="D2044" s="1">
        <v>37386</v>
      </c>
      <c r="E2044" s="1">
        <v>391</v>
      </c>
      <c r="F2044" s="1">
        <v>309</v>
      </c>
      <c r="G2044" s="1">
        <v>568061</v>
      </c>
      <c r="H2044" s="1">
        <v>53</v>
      </c>
    </row>
    <row r="2045" spans="1:8" x14ac:dyDescent="0.3">
      <c r="A2045" s="1" t="s">
        <v>295</v>
      </c>
      <c r="B2045" s="1" t="s">
        <v>296</v>
      </c>
      <c r="C2045" s="1">
        <v>2018</v>
      </c>
      <c r="D2045" s="1">
        <v>22423</v>
      </c>
      <c r="E2045" s="1">
        <v>192</v>
      </c>
      <c r="F2045" s="1">
        <v>121</v>
      </c>
      <c r="G2045" s="1">
        <v>348524</v>
      </c>
      <c r="H2045" s="1">
        <v>55</v>
      </c>
    </row>
    <row r="2046" spans="1:8" x14ac:dyDescent="0.3">
      <c r="A2046" s="1" t="s">
        <v>297</v>
      </c>
      <c r="B2046" s="1" t="s">
        <v>298</v>
      </c>
      <c r="C2046" s="1">
        <v>2018</v>
      </c>
      <c r="D2046" s="1">
        <v>46387</v>
      </c>
      <c r="E2046" s="1">
        <v>1234</v>
      </c>
      <c r="F2046" s="1">
        <v>791</v>
      </c>
      <c r="G2046" s="1">
        <v>1055950</v>
      </c>
      <c r="H2046" s="1">
        <v>44</v>
      </c>
    </row>
    <row r="2047" spans="1:8" x14ac:dyDescent="0.3">
      <c r="A2047" s="1" t="s">
        <v>299</v>
      </c>
      <c r="B2047" s="1" t="s">
        <v>300</v>
      </c>
      <c r="C2047" s="1">
        <v>2018</v>
      </c>
      <c r="D2047" s="1">
        <v>13373</v>
      </c>
      <c r="E2047" s="1">
        <v>67</v>
      </c>
      <c r="F2047" s="1">
        <v>17</v>
      </c>
      <c r="G2047" s="1">
        <v>102159</v>
      </c>
      <c r="H2047" s="1">
        <v>0</v>
      </c>
    </row>
    <row r="2048" spans="1:8" x14ac:dyDescent="0.3">
      <c r="A2048" s="1" t="s">
        <v>301</v>
      </c>
      <c r="B2048" s="1" t="s">
        <v>302</v>
      </c>
      <c r="C2048" s="1">
        <v>2018</v>
      </c>
      <c r="D2048" s="1">
        <v>11596</v>
      </c>
      <c r="E2048" s="1">
        <v>53</v>
      </c>
      <c r="F2048" s="1">
        <v>13</v>
      </c>
      <c r="G2048" s="1">
        <v>190119</v>
      </c>
      <c r="H2048" s="1">
        <v>2</v>
      </c>
    </row>
    <row r="2049" spans="1:8" x14ac:dyDescent="0.3">
      <c r="A2049" s="1" t="s">
        <v>303</v>
      </c>
      <c r="B2049" s="1" t="s">
        <v>304</v>
      </c>
      <c r="C2049" s="1">
        <v>2018</v>
      </c>
      <c r="D2049" s="1">
        <v>15354</v>
      </c>
      <c r="E2049" s="1">
        <v>121</v>
      </c>
      <c r="F2049" s="1">
        <v>35</v>
      </c>
      <c r="G2049" s="1">
        <v>564002</v>
      </c>
      <c r="H2049" s="1">
        <v>10</v>
      </c>
    </row>
    <row r="2050" spans="1:8" x14ac:dyDescent="0.3">
      <c r="A2050" s="1" t="s">
        <v>305</v>
      </c>
      <c r="B2050" s="1" t="s">
        <v>306</v>
      </c>
      <c r="C2050" s="1">
        <v>2018</v>
      </c>
      <c r="D2050" s="1">
        <v>56738</v>
      </c>
      <c r="E2050" s="1">
        <v>985</v>
      </c>
      <c r="F2050" s="1">
        <v>795</v>
      </c>
      <c r="G2050" s="1">
        <v>748793</v>
      </c>
      <c r="H2050" s="1">
        <v>133</v>
      </c>
    </row>
    <row r="2051" spans="1:8" x14ac:dyDescent="0.3">
      <c r="A2051" s="1" t="s">
        <v>307</v>
      </c>
      <c r="B2051" s="1" t="s">
        <v>308</v>
      </c>
      <c r="C2051" s="1">
        <v>2018</v>
      </c>
      <c r="D2051" s="1">
        <v>25537</v>
      </c>
      <c r="E2051" s="1">
        <v>242</v>
      </c>
      <c r="F2051" s="1">
        <v>251</v>
      </c>
      <c r="G2051" s="1">
        <v>966815</v>
      </c>
      <c r="H2051" s="1">
        <v>18</v>
      </c>
    </row>
    <row r="2052" spans="1:8" x14ac:dyDescent="0.3">
      <c r="A2052" s="1" t="s">
        <v>309</v>
      </c>
      <c r="B2052" s="1" t="s">
        <v>310</v>
      </c>
      <c r="C2052" s="1">
        <v>2018</v>
      </c>
      <c r="D2052" s="1">
        <v>30444</v>
      </c>
      <c r="E2052" s="1">
        <v>445</v>
      </c>
      <c r="F2052" s="1">
        <v>329</v>
      </c>
      <c r="G2052" s="1">
        <v>683689</v>
      </c>
      <c r="H2052" s="1">
        <v>20</v>
      </c>
    </row>
    <row r="2053" spans="1:8" x14ac:dyDescent="0.3">
      <c r="A2053" s="1" t="s">
        <v>311</v>
      </c>
      <c r="B2053" s="1" t="s">
        <v>312</v>
      </c>
      <c r="C2053" s="1">
        <v>2018</v>
      </c>
      <c r="D2053" s="1">
        <v>24938</v>
      </c>
      <c r="E2053" s="1">
        <v>280</v>
      </c>
      <c r="F2053" s="1">
        <v>0</v>
      </c>
      <c r="G2053" s="1">
        <v>102350</v>
      </c>
      <c r="H2053" s="1">
        <v>6</v>
      </c>
    </row>
    <row r="2054" spans="1:8" x14ac:dyDescent="0.3">
      <c r="A2054" s="1" t="s">
        <v>313</v>
      </c>
      <c r="B2054" s="1" t="s">
        <v>314</v>
      </c>
      <c r="C2054" s="1">
        <v>2018</v>
      </c>
      <c r="D2054" s="1">
        <v>24826</v>
      </c>
      <c r="E2054" s="1">
        <v>113</v>
      </c>
      <c r="F2054" s="1">
        <v>53</v>
      </c>
      <c r="G2054" s="1">
        <v>568858</v>
      </c>
      <c r="H2054" s="1">
        <v>4</v>
      </c>
    </row>
    <row r="2055" spans="1:8" x14ac:dyDescent="0.3">
      <c r="A2055" s="1" t="s">
        <v>315</v>
      </c>
      <c r="B2055" s="1" t="s">
        <v>316</v>
      </c>
      <c r="C2055" s="1">
        <v>2018</v>
      </c>
      <c r="D2055" s="1">
        <v>47469</v>
      </c>
      <c r="E2055" s="1">
        <v>363</v>
      </c>
      <c r="F2055" s="1">
        <v>245</v>
      </c>
      <c r="G2055" s="1">
        <v>909428</v>
      </c>
      <c r="H2055" s="1">
        <v>0</v>
      </c>
    </row>
    <row r="2056" spans="1:8" x14ac:dyDescent="0.3">
      <c r="A2056" s="1" t="s">
        <v>317</v>
      </c>
      <c r="B2056" s="1" t="s">
        <v>318</v>
      </c>
      <c r="C2056" s="1">
        <v>2018</v>
      </c>
      <c r="D2056" s="1">
        <v>77946</v>
      </c>
      <c r="E2056" s="1">
        <v>2166</v>
      </c>
      <c r="F2056" s="1">
        <v>461</v>
      </c>
      <c r="G2056" s="1">
        <v>1462251</v>
      </c>
      <c r="H2056" s="1">
        <v>2</v>
      </c>
    </row>
    <row r="2057" spans="1:8" x14ac:dyDescent="0.3">
      <c r="A2057" s="1" t="s">
        <v>319</v>
      </c>
      <c r="B2057" s="1" t="s">
        <v>320</v>
      </c>
      <c r="C2057" s="1">
        <v>2018</v>
      </c>
      <c r="D2057" s="1">
        <v>35562</v>
      </c>
      <c r="E2057" s="1">
        <v>378</v>
      </c>
      <c r="F2057" s="1">
        <v>58</v>
      </c>
      <c r="G2057" s="1">
        <v>339199</v>
      </c>
      <c r="H2057" s="1">
        <v>0</v>
      </c>
    </row>
    <row r="2058" spans="1:8" x14ac:dyDescent="0.3">
      <c r="A2058" s="1" t="s">
        <v>321</v>
      </c>
      <c r="B2058" s="1" t="s">
        <v>322</v>
      </c>
      <c r="C2058" s="1">
        <v>2018</v>
      </c>
      <c r="D2058" s="1">
        <v>30713</v>
      </c>
      <c r="E2058" s="1">
        <v>289</v>
      </c>
      <c r="F2058" s="1">
        <v>138</v>
      </c>
      <c r="G2058" s="1">
        <v>846439</v>
      </c>
      <c r="H2058" s="1">
        <v>21</v>
      </c>
    </row>
    <row r="2059" spans="1:8" x14ac:dyDescent="0.3">
      <c r="A2059" s="1" t="s">
        <v>323</v>
      </c>
      <c r="B2059" s="1" t="s">
        <v>324</v>
      </c>
      <c r="C2059" s="1">
        <v>2018</v>
      </c>
      <c r="D2059" s="1">
        <v>63510</v>
      </c>
      <c r="E2059" s="1">
        <v>948</v>
      </c>
      <c r="F2059" s="1">
        <v>911</v>
      </c>
      <c r="G2059" s="1">
        <v>1600619</v>
      </c>
      <c r="H2059" s="1">
        <v>224</v>
      </c>
    </row>
    <row r="2060" spans="1:8" x14ac:dyDescent="0.3">
      <c r="A2060" s="1" t="s">
        <v>325</v>
      </c>
      <c r="B2060" s="1" t="s">
        <v>326</v>
      </c>
      <c r="C2060" s="1">
        <v>2018</v>
      </c>
      <c r="D2060" s="1">
        <v>16299</v>
      </c>
      <c r="E2060" s="1">
        <v>71</v>
      </c>
      <c r="F2060" s="1">
        <v>68</v>
      </c>
      <c r="G2060" s="1">
        <v>326930</v>
      </c>
      <c r="H2060" s="1">
        <v>12</v>
      </c>
    </row>
    <row r="2061" spans="1:8" x14ac:dyDescent="0.3">
      <c r="A2061" s="1" t="s">
        <v>327</v>
      </c>
      <c r="B2061" s="1" t="s">
        <v>328</v>
      </c>
      <c r="C2061" s="1">
        <v>2018</v>
      </c>
      <c r="D2061" s="1">
        <v>14884</v>
      </c>
      <c r="E2061" s="1">
        <v>90</v>
      </c>
      <c r="F2061" s="1">
        <v>21</v>
      </c>
      <c r="G2061" s="1">
        <v>39410</v>
      </c>
      <c r="H2061" s="1">
        <v>0</v>
      </c>
    </row>
    <row r="2062" spans="1:8" x14ac:dyDescent="0.3">
      <c r="A2062" s="1" t="s">
        <v>329</v>
      </c>
      <c r="B2062" s="1" t="s">
        <v>330</v>
      </c>
      <c r="C2062" s="1">
        <v>2018</v>
      </c>
      <c r="D2062" s="1">
        <v>18742</v>
      </c>
      <c r="E2062" s="1">
        <v>181</v>
      </c>
      <c r="F2062" s="1">
        <v>126</v>
      </c>
      <c r="G2062" s="1">
        <v>1153840</v>
      </c>
      <c r="H2062" s="1">
        <v>15</v>
      </c>
    </row>
    <row r="2063" spans="1:8" x14ac:dyDescent="0.3">
      <c r="A2063" s="1" t="s">
        <v>331</v>
      </c>
      <c r="B2063" s="1" t="s">
        <v>332</v>
      </c>
      <c r="C2063" s="1">
        <v>2018</v>
      </c>
      <c r="D2063" s="1">
        <v>46492</v>
      </c>
      <c r="E2063" s="1">
        <v>543</v>
      </c>
      <c r="F2063" s="1">
        <v>95</v>
      </c>
      <c r="G2063" s="1">
        <v>667243</v>
      </c>
      <c r="H2063" s="1">
        <v>4</v>
      </c>
    </row>
    <row r="2064" spans="1:8" x14ac:dyDescent="0.3">
      <c r="A2064" s="1" t="s">
        <v>333</v>
      </c>
      <c r="B2064" s="1" t="s">
        <v>334</v>
      </c>
      <c r="C2064" s="1">
        <v>2018</v>
      </c>
      <c r="D2064" s="1">
        <v>26578</v>
      </c>
      <c r="E2064" s="1">
        <v>213</v>
      </c>
      <c r="F2064" s="1">
        <v>16</v>
      </c>
      <c r="G2064" s="1">
        <v>47301</v>
      </c>
      <c r="H2064" s="1">
        <v>0</v>
      </c>
    </row>
    <row r="2065" spans="1:8" x14ac:dyDescent="0.3">
      <c r="A2065" s="1" t="s">
        <v>335</v>
      </c>
      <c r="B2065" s="1" t="s">
        <v>336</v>
      </c>
      <c r="C2065" s="1">
        <v>2018</v>
      </c>
      <c r="D2065" s="1">
        <v>17139</v>
      </c>
      <c r="E2065" s="1">
        <v>263</v>
      </c>
      <c r="F2065" s="1">
        <v>204</v>
      </c>
      <c r="G2065" s="1">
        <v>1038846</v>
      </c>
      <c r="H2065" s="1">
        <v>0</v>
      </c>
    </row>
    <row r="2066" spans="1:8" x14ac:dyDescent="0.3">
      <c r="A2066" s="1" t="s">
        <v>337</v>
      </c>
      <c r="B2066" s="1" t="s">
        <v>338</v>
      </c>
      <c r="C2066" s="1">
        <v>2018</v>
      </c>
      <c r="D2066" s="1">
        <v>29728</v>
      </c>
      <c r="E2066" s="1">
        <v>217</v>
      </c>
      <c r="F2066" s="1">
        <v>162</v>
      </c>
      <c r="G2066" s="1">
        <v>1091735</v>
      </c>
      <c r="H2066" s="1">
        <v>4</v>
      </c>
    </row>
    <row r="2067" spans="1:8" x14ac:dyDescent="0.3">
      <c r="A2067" s="1" t="s">
        <v>339</v>
      </c>
      <c r="B2067" s="1" t="s">
        <v>340</v>
      </c>
      <c r="C2067" s="1">
        <v>2018</v>
      </c>
      <c r="D2067" s="1">
        <v>21374</v>
      </c>
      <c r="E2067" s="1">
        <v>191</v>
      </c>
      <c r="F2067" s="1">
        <v>87</v>
      </c>
      <c r="G2067" s="1">
        <v>203861</v>
      </c>
      <c r="H2067" s="1">
        <v>30</v>
      </c>
    </row>
    <row r="2068" spans="1:8" x14ac:dyDescent="0.3">
      <c r="A2068" s="1" t="s">
        <v>341</v>
      </c>
      <c r="B2068" s="1" t="s">
        <v>342</v>
      </c>
      <c r="C2068" s="1">
        <v>2018</v>
      </c>
      <c r="D2068" s="1">
        <v>13493</v>
      </c>
      <c r="E2068" s="1">
        <v>132</v>
      </c>
      <c r="F2068" s="1">
        <v>42</v>
      </c>
      <c r="G2068" s="1">
        <v>167884</v>
      </c>
      <c r="H2068" s="1">
        <v>21</v>
      </c>
    </row>
    <row r="2069" spans="1:8" x14ac:dyDescent="0.3">
      <c r="A2069" s="1" t="s">
        <v>343</v>
      </c>
      <c r="B2069" s="1" t="s">
        <v>344</v>
      </c>
      <c r="C2069" s="1">
        <v>2018</v>
      </c>
      <c r="D2069" s="1">
        <v>46123</v>
      </c>
      <c r="E2069" s="1">
        <v>1138</v>
      </c>
      <c r="F2069" s="1">
        <v>839</v>
      </c>
      <c r="G2069" s="1">
        <v>268427</v>
      </c>
      <c r="H2069" s="1">
        <v>44</v>
      </c>
    </row>
    <row r="2070" spans="1:8" x14ac:dyDescent="0.3">
      <c r="A2070" s="1" t="s">
        <v>345</v>
      </c>
      <c r="B2070" s="1" t="s">
        <v>346</v>
      </c>
      <c r="C2070" s="1">
        <v>2018</v>
      </c>
      <c r="D2070" s="1">
        <v>24779</v>
      </c>
      <c r="E2070" s="1">
        <v>182</v>
      </c>
      <c r="F2070" s="1">
        <v>9</v>
      </c>
      <c r="G2070" s="1">
        <v>804470</v>
      </c>
      <c r="H2070" s="1">
        <v>36</v>
      </c>
    </row>
    <row r="2071" spans="1:8" x14ac:dyDescent="0.3">
      <c r="A2071" s="1" t="s">
        <v>347</v>
      </c>
      <c r="B2071" s="1" t="s">
        <v>348</v>
      </c>
      <c r="C2071" s="1">
        <v>2018</v>
      </c>
      <c r="D2071" s="1">
        <v>86188</v>
      </c>
      <c r="E2071" s="1">
        <v>1582</v>
      </c>
      <c r="F2071" s="1">
        <v>1279</v>
      </c>
      <c r="G2071" s="1">
        <v>1943929</v>
      </c>
      <c r="H2071" s="1">
        <v>27</v>
      </c>
    </row>
    <row r="2072" spans="1:8" x14ac:dyDescent="0.3">
      <c r="A2072" s="1" t="s">
        <v>349</v>
      </c>
      <c r="B2072" s="1" t="s">
        <v>350</v>
      </c>
      <c r="C2072" s="1">
        <v>2018</v>
      </c>
      <c r="D2072" s="1">
        <v>23665</v>
      </c>
      <c r="E2072" s="1">
        <v>268</v>
      </c>
      <c r="F2072" s="1">
        <v>94</v>
      </c>
      <c r="G2072" s="1">
        <v>324291</v>
      </c>
      <c r="H2072" s="1">
        <v>3</v>
      </c>
    </row>
    <row r="2073" spans="1:8" x14ac:dyDescent="0.3">
      <c r="A2073" s="1" t="s">
        <v>351</v>
      </c>
      <c r="B2073" s="1" t="s">
        <v>352</v>
      </c>
      <c r="C2073" s="1">
        <v>2018</v>
      </c>
      <c r="D2073" s="1">
        <v>12428</v>
      </c>
      <c r="E2073" s="1">
        <v>105</v>
      </c>
      <c r="F2073" s="1">
        <v>16</v>
      </c>
      <c r="G2073" s="1">
        <v>117658</v>
      </c>
      <c r="H2073" s="1">
        <v>11</v>
      </c>
    </row>
    <row r="2074" spans="1:8" x14ac:dyDescent="0.3">
      <c r="A2074" s="1" t="s">
        <v>353</v>
      </c>
      <c r="B2074" s="1" t="s">
        <v>354</v>
      </c>
      <c r="C2074" s="1">
        <v>2018</v>
      </c>
      <c r="D2074" s="1">
        <v>12236</v>
      </c>
      <c r="E2074" s="1">
        <v>50</v>
      </c>
      <c r="F2074" s="1">
        <v>36</v>
      </c>
      <c r="G2074" s="1">
        <v>343626</v>
      </c>
      <c r="H2074" s="1">
        <v>0</v>
      </c>
    </row>
    <row r="2075" spans="1:8" x14ac:dyDescent="0.3">
      <c r="A2075" s="1" t="s">
        <v>355</v>
      </c>
      <c r="B2075" s="1" t="s">
        <v>356</v>
      </c>
      <c r="C2075" s="1">
        <v>2018</v>
      </c>
      <c r="D2075" s="1">
        <v>31308</v>
      </c>
      <c r="E2075" s="1">
        <v>388</v>
      </c>
      <c r="F2075" s="1">
        <v>212</v>
      </c>
      <c r="G2075" s="1">
        <v>1663559</v>
      </c>
      <c r="H2075" s="1">
        <v>190</v>
      </c>
    </row>
    <row r="2076" spans="1:8" x14ac:dyDescent="0.3">
      <c r="A2076" s="1" t="s">
        <v>357</v>
      </c>
      <c r="B2076" s="1" t="s">
        <v>358</v>
      </c>
      <c r="C2076" s="1">
        <v>2018</v>
      </c>
      <c r="D2076" s="1">
        <v>19435</v>
      </c>
      <c r="E2076" s="1">
        <v>114</v>
      </c>
      <c r="F2076" s="1">
        <v>183</v>
      </c>
      <c r="G2076" s="1">
        <v>1616900</v>
      </c>
      <c r="H2076" s="1">
        <v>0</v>
      </c>
    </row>
    <row r="2077" spans="1:8" x14ac:dyDescent="0.3">
      <c r="A2077" s="1" t="s">
        <v>359</v>
      </c>
      <c r="B2077" s="1" t="s">
        <v>360</v>
      </c>
      <c r="C2077" s="1">
        <v>2018</v>
      </c>
      <c r="D2077" s="1">
        <v>51614</v>
      </c>
      <c r="E2077" s="1">
        <v>445</v>
      </c>
      <c r="F2077" s="1">
        <v>907</v>
      </c>
      <c r="G2077" s="1">
        <v>5601597</v>
      </c>
      <c r="H2077" s="1">
        <v>9</v>
      </c>
    </row>
    <row r="2078" spans="1:8" x14ac:dyDescent="0.3">
      <c r="A2078" s="1" t="s">
        <v>361</v>
      </c>
      <c r="B2078" s="1" t="s">
        <v>362</v>
      </c>
      <c r="C2078" s="1">
        <v>2018</v>
      </c>
      <c r="D2078" s="1">
        <v>84368</v>
      </c>
      <c r="E2078" s="1">
        <v>722</v>
      </c>
      <c r="F2078" s="1">
        <v>1030</v>
      </c>
      <c r="G2078" s="1">
        <v>7200098</v>
      </c>
      <c r="H2078" s="1">
        <v>0</v>
      </c>
    </row>
    <row r="2079" spans="1:8" x14ac:dyDescent="0.3">
      <c r="A2079" s="1" t="s">
        <v>363</v>
      </c>
      <c r="B2079" s="1" t="s">
        <v>364</v>
      </c>
      <c r="C2079" s="1">
        <v>2018</v>
      </c>
      <c r="D2079" s="1">
        <v>33159</v>
      </c>
      <c r="E2079" s="1">
        <v>389</v>
      </c>
      <c r="F2079" s="1">
        <v>987</v>
      </c>
      <c r="G2079" s="1">
        <v>2317998</v>
      </c>
      <c r="H2079" s="1">
        <v>54</v>
      </c>
    </row>
    <row r="2080" spans="1:8" x14ac:dyDescent="0.3">
      <c r="A2080" s="1" t="s">
        <v>365</v>
      </c>
      <c r="B2080" s="1" t="s">
        <v>366</v>
      </c>
      <c r="C2080" s="1">
        <v>2018</v>
      </c>
      <c r="D2080" s="1">
        <v>975731</v>
      </c>
      <c r="E2080" s="1">
        <v>23430</v>
      </c>
      <c r="F2080" s="1">
        <v>23192</v>
      </c>
      <c r="G2080" s="1">
        <v>26864747</v>
      </c>
      <c r="H2080" s="1">
        <v>2925</v>
      </c>
    </row>
    <row r="2081" spans="1:8" x14ac:dyDescent="0.3">
      <c r="A2081" s="1" t="s">
        <v>367</v>
      </c>
      <c r="B2081" s="1" t="s">
        <v>242</v>
      </c>
      <c r="C2081" s="1">
        <v>2018</v>
      </c>
      <c r="D2081" s="1">
        <v>32916</v>
      </c>
      <c r="E2081" s="1">
        <v>271</v>
      </c>
      <c r="F2081" s="1">
        <v>499</v>
      </c>
      <c r="G2081" s="1">
        <v>1606956</v>
      </c>
      <c r="H2081" s="1">
        <v>15</v>
      </c>
    </row>
    <row r="2082" spans="1:8" x14ac:dyDescent="0.3">
      <c r="A2082" s="1" t="s">
        <v>368</v>
      </c>
      <c r="B2082" s="1" t="s">
        <v>369</v>
      </c>
      <c r="C2082" s="1">
        <v>2018</v>
      </c>
      <c r="D2082" s="1">
        <v>17223</v>
      </c>
      <c r="E2082" s="1">
        <v>44</v>
      </c>
      <c r="F2082" s="1">
        <v>125</v>
      </c>
      <c r="G2082" s="1">
        <v>528484</v>
      </c>
      <c r="H2082" s="1">
        <v>6</v>
      </c>
    </row>
    <row r="2083" spans="1:8" x14ac:dyDescent="0.3">
      <c r="A2083" s="1" t="s">
        <v>370</v>
      </c>
      <c r="B2083" s="1" t="s">
        <v>371</v>
      </c>
      <c r="C2083" s="1">
        <v>2018</v>
      </c>
      <c r="D2083" s="1">
        <v>36194</v>
      </c>
      <c r="E2083" s="1">
        <v>85</v>
      </c>
      <c r="F2083" s="1">
        <v>322</v>
      </c>
      <c r="G2083" s="1">
        <v>1852423</v>
      </c>
      <c r="H2083" s="1">
        <v>24</v>
      </c>
    </row>
    <row r="2084" spans="1:8" x14ac:dyDescent="0.3">
      <c r="A2084" s="1" t="s">
        <v>372</v>
      </c>
      <c r="B2084" s="1" t="s">
        <v>373</v>
      </c>
      <c r="C2084" s="1">
        <v>2018</v>
      </c>
      <c r="D2084" s="1">
        <v>23018</v>
      </c>
      <c r="E2084" s="1">
        <v>105</v>
      </c>
      <c r="F2084" s="1">
        <v>211</v>
      </c>
      <c r="G2084" s="1">
        <v>845595</v>
      </c>
      <c r="H2084" s="1">
        <v>32</v>
      </c>
    </row>
    <row r="2085" spans="1:8" x14ac:dyDescent="0.3">
      <c r="A2085" s="1" t="s">
        <v>374</v>
      </c>
      <c r="B2085" s="1" t="s">
        <v>375</v>
      </c>
      <c r="C2085" s="1">
        <v>2018</v>
      </c>
      <c r="D2085" s="1">
        <v>21263</v>
      </c>
      <c r="E2085" s="1">
        <v>110</v>
      </c>
      <c r="F2085" s="1">
        <v>125</v>
      </c>
      <c r="G2085" s="1">
        <v>537087</v>
      </c>
      <c r="H2085" s="1">
        <v>42</v>
      </c>
    </row>
    <row r="2086" spans="1:8" x14ac:dyDescent="0.3">
      <c r="A2086" s="1" t="s">
        <v>376</v>
      </c>
      <c r="B2086" s="1" t="s">
        <v>377</v>
      </c>
      <c r="C2086" s="1">
        <v>2018</v>
      </c>
      <c r="D2086" s="1">
        <v>15638</v>
      </c>
      <c r="E2086" s="1">
        <v>321</v>
      </c>
      <c r="F2086" s="1">
        <v>223</v>
      </c>
      <c r="G2086" s="1">
        <v>581485</v>
      </c>
      <c r="H2086" s="1">
        <v>0</v>
      </c>
    </row>
    <row r="2087" spans="1:8" x14ac:dyDescent="0.3">
      <c r="A2087" s="1" t="s">
        <v>378</v>
      </c>
      <c r="B2087" s="1" t="s">
        <v>379</v>
      </c>
      <c r="C2087" s="1">
        <v>2018</v>
      </c>
      <c r="D2087" s="1">
        <v>49087</v>
      </c>
      <c r="E2087" s="1">
        <v>160</v>
      </c>
      <c r="F2087" s="1">
        <v>448</v>
      </c>
      <c r="G2087" s="1">
        <v>1296931</v>
      </c>
      <c r="H2087" s="1">
        <v>6</v>
      </c>
    </row>
    <row r="2088" spans="1:8" x14ac:dyDescent="0.3">
      <c r="A2088" s="1" t="s">
        <v>380</v>
      </c>
      <c r="B2088" s="1" t="s">
        <v>381</v>
      </c>
      <c r="C2088" s="1">
        <v>2018</v>
      </c>
      <c r="D2088" s="1">
        <v>21114</v>
      </c>
      <c r="E2088" s="1">
        <v>97</v>
      </c>
      <c r="F2088" s="1">
        <v>47</v>
      </c>
      <c r="G2088" s="1">
        <v>429580</v>
      </c>
      <c r="H2088" s="1">
        <v>4</v>
      </c>
    </row>
    <row r="2089" spans="1:8" x14ac:dyDescent="0.3">
      <c r="A2089" s="1" t="s">
        <v>382</v>
      </c>
      <c r="B2089" s="1" t="s">
        <v>140</v>
      </c>
      <c r="C2089" s="1">
        <v>2018</v>
      </c>
      <c r="D2089" s="1">
        <v>39574</v>
      </c>
      <c r="E2089" s="1">
        <v>275</v>
      </c>
      <c r="F2089" s="1">
        <v>179</v>
      </c>
      <c r="G2089" s="1">
        <v>585758</v>
      </c>
      <c r="H2089" s="1">
        <v>24</v>
      </c>
    </row>
    <row r="2090" spans="1:8" x14ac:dyDescent="0.3">
      <c r="A2090" s="1" t="s">
        <v>383</v>
      </c>
      <c r="B2090" s="1" t="s">
        <v>384</v>
      </c>
      <c r="C2090" s="1">
        <v>2018</v>
      </c>
      <c r="D2090" s="1">
        <v>20319</v>
      </c>
      <c r="E2090" s="1">
        <v>39</v>
      </c>
      <c r="F2090" s="1">
        <v>130</v>
      </c>
      <c r="G2090" s="1">
        <v>1262230</v>
      </c>
      <c r="H2090" s="1">
        <v>46</v>
      </c>
    </row>
    <row r="2091" spans="1:8" x14ac:dyDescent="0.3">
      <c r="A2091" s="1" t="s">
        <v>385</v>
      </c>
      <c r="B2091" s="1" t="s">
        <v>386</v>
      </c>
      <c r="C2091" s="1">
        <v>2018</v>
      </c>
      <c r="D2091" s="1">
        <v>24394</v>
      </c>
      <c r="E2091" s="1">
        <v>86</v>
      </c>
      <c r="F2091" s="1">
        <v>133</v>
      </c>
      <c r="G2091" s="1">
        <v>1074434</v>
      </c>
      <c r="H2091" s="1">
        <v>10</v>
      </c>
    </row>
    <row r="2092" spans="1:8" x14ac:dyDescent="0.3">
      <c r="A2092" s="1" t="s">
        <v>387</v>
      </c>
      <c r="B2092" s="1" t="s">
        <v>388</v>
      </c>
      <c r="C2092" s="1">
        <v>2018</v>
      </c>
      <c r="D2092" s="1">
        <v>56735</v>
      </c>
      <c r="E2092" s="1">
        <v>795</v>
      </c>
      <c r="F2092" s="1">
        <v>1331</v>
      </c>
      <c r="G2092" s="1">
        <v>1806871</v>
      </c>
      <c r="H2092" s="1">
        <v>39</v>
      </c>
    </row>
    <row r="2093" spans="1:8" x14ac:dyDescent="0.3">
      <c r="A2093" s="1" t="s">
        <v>389</v>
      </c>
      <c r="B2093" s="1" t="s">
        <v>390</v>
      </c>
      <c r="C2093" s="1">
        <v>2018</v>
      </c>
      <c r="D2093" s="1">
        <v>6894</v>
      </c>
      <c r="E2093" s="1">
        <v>39</v>
      </c>
      <c r="F2093" s="1">
        <v>63</v>
      </c>
      <c r="G2093" s="1">
        <v>734773</v>
      </c>
      <c r="H2093" s="1">
        <v>0</v>
      </c>
    </row>
    <row r="2094" spans="1:8" x14ac:dyDescent="0.3">
      <c r="A2094" s="1" t="s">
        <v>391</v>
      </c>
      <c r="B2094" s="1" t="s">
        <v>392</v>
      </c>
      <c r="C2094" s="1">
        <v>2018</v>
      </c>
      <c r="D2094" s="1">
        <v>18763</v>
      </c>
      <c r="E2094" s="1">
        <v>148</v>
      </c>
      <c r="F2094" s="1">
        <v>27</v>
      </c>
      <c r="G2094" s="1">
        <v>86863</v>
      </c>
      <c r="H2094" s="1">
        <v>0</v>
      </c>
    </row>
    <row r="2095" spans="1:8" x14ac:dyDescent="0.3">
      <c r="A2095" s="1" t="s">
        <v>393</v>
      </c>
      <c r="B2095" s="1" t="s">
        <v>394</v>
      </c>
      <c r="C2095" s="1">
        <v>2018</v>
      </c>
      <c r="D2095" s="1">
        <v>38443</v>
      </c>
      <c r="E2095" s="1">
        <v>411</v>
      </c>
      <c r="F2095" s="1">
        <v>134</v>
      </c>
      <c r="G2095" s="1">
        <v>1136904</v>
      </c>
      <c r="H2095" s="1">
        <v>0</v>
      </c>
    </row>
    <row r="2096" spans="1:8" x14ac:dyDescent="0.3">
      <c r="A2096" s="1" t="s">
        <v>395</v>
      </c>
      <c r="B2096" s="1" t="s">
        <v>396</v>
      </c>
      <c r="C2096" s="1">
        <v>2018</v>
      </c>
      <c r="D2096" s="1">
        <v>36174</v>
      </c>
      <c r="E2096" s="1">
        <v>345</v>
      </c>
      <c r="F2096" s="1">
        <v>211</v>
      </c>
      <c r="G2096" s="1">
        <v>1562266</v>
      </c>
      <c r="H2096" s="1">
        <v>2</v>
      </c>
    </row>
    <row r="2097" spans="1:8" x14ac:dyDescent="0.3">
      <c r="A2097" s="1" t="s">
        <v>397</v>
      </c>
      <c r="B2097" s="1" t="s">
        <v>398</v>
      </c>
      <c r="C2097" s="1">
        <v>2018</v>
      </c>
      <c r="D2097" s="1">
        <v>33628</v>
      </c>
      <c r="E2097" s="1">
        <v>176</v>
      </c>
      <c r="F2097" s="1">
        <v>75</v>
      </c>
      <c r="G2097" s="1">
        <v>1460786</v>
      </c>
      <c r="H2097" s="1">
        <v>0</v>
      </c>
    </row>
    <row r="2098" spans="1:8" x14ac:dyDescent="0.3">
      <c r="A2098" s="1" t="s">
        <v>399</v>
      </c>
      <c r="B2098" s="1" t="s">
        <v>400</v>
      </c>
      <c r="C2098" s="1">
        <v>2018</v>
      </c>
      <c r="D2098" s="1">
        <v>17091</v>
      </c>
      <c r="E2098" s="1">
        <v>150</v>
      </c>
      <c r="F2098" s="1">
        <v>62</v>
      </c>
      <c r="G2098" s="1">
        <v>170982</v>
      </c>
      <c r="H2098" s="1">
        <v>0</v>
      </c>
    </row>
    <row r="2099" spans="1:8" x14ac:dyDescent="0.3">
      <c r="A2099" s="1" t="s">
        <v>401</v>
      </c>
      <c r="B2099" s="1" t="s">
        <v>167</v>
      </c>
      <c r="C2099" s="1">
        <v>2018</v>
      </c>
      <c r="D2099" s="1">
        <v>31967</v>
      </c>
      <c r="E2099" s="1">
        <v>239</v>
      </c>
      <c r="F2099" s="1">
        <v>24</v>
      </c>
      <c r="G2099" s="1">
        <v>169071</v>
      </c>
      <c r="H2099" s="1">
        <v>8</v>
      </c>
    </row>
    <row r="2100" spans="1:8" x14ac:dyDescent="0.3">
      <c r="A2100" s="1" t="s">
        <v>402</v>
      </c>
      <c r="B2100" s="1" t="s">
        <v>403</v>
      </c>
      <c r="C2100" s="1">
        <v>2018</v>
      </c>
      <c r="D2100" s="1">
        <v>19942</v>
      </c>
      <c r="E2100" s="1">
        <v>146</v>
      </c>
      <c r="F2100" s="1">
        <v>56</v>
      </c>
      <c r="G2100" s="1">
        <v>578502</v>
      </c>
      <c r="H2100" s="1">
        <v>0</v>
      </c>
    </row>
    <row r="2101" spans="1:8" x14ac:dyDescent="0.3">
      <c r="A2101" s="1" t="s">
        <v>404</v>
      </c>
      <c r="B2101" s="1" t="s">
        <v>405</v>
      </c>
      <c r="C2101" s="1">
        <v>2018</v>
      </c>
      <c r="D2101" s="1">
        <v>16926</v>
      </c>
      <c r="E2101" s="1">
        <v>122</v>
      </c>
      <c r="F2101" s="1">
        <v>33</v>
      </c>
      <c r="G2101" s="1">
        <v>308759</v>
      </c>
      <c r="H2101" s="1">
        <v>0</v>
      </c>
    </row>
    <row r="2102" spans="1:8" x14ac:dyDescent="0.3">
      <c r="A2102" s="1" t="s">
        <v>406</v>
      </c>
      <c r="B2102" s="1" t="s">
        <v>407</v>
      </c>
      <c r="C2102" s="1">
        <v>2018</v>
      </c>
      <c r="D2102" s="1">
        <v>23827</v>
      </c>
      <c r="E2102" s="1">
        <v>244</v>
      </c>
      <c r="F2102" s="1">
        <v>48</v>
      </c>
      <c r="G2102" s="1">
        <v>277677</v>
      </c>
      <c r="H2102" s="1">
        <v>0</v>
      </c>
    </row>
    <row r="2103" spans="1:8" x14ac:dyDescent="0.3">
      <c r="A2103" s="1" t="s">
        <v>408</v>
      </c>
      <c r="B2103" s="1" t="s">
        <v>409</v>
      </c>
      <c r="C2103" s="1">
        <v>2018</v>
      </c>
      <c r="D2103" s="1">
        <v>41924</v>
      </c>
      <c r="E2103" s="1">
        <v>480</v>
      </c>
      <c r="F2103" s="1">
        <v>174</v>
      </c>
      <c r="G2103" s="1">
        <v>770053</v>
      </c>
      <c r="H2103" s="1">
        <v>0</v>
      </c>
    </row>
    <row r="2104" spans="1:8" x14ac:dyDescent="0.3">
      <c r="A2104" s="1" t="s">
        <v>410</v>
      </c>
      <c r="B2104" s="1" t="s">
        <v>411</v>
      </c>
      <c r="C2104" s="1">
        <v>2018</v>
      </c>
      <c r="D2104" s="1">
        <v>20004</v>
      </c>
      <c r="E2104" s="1">
        <v>148</v>
      </c>
      <c r="F2104" s="1">
        <v>29</v>
      </c>
      <c r="G2104" s="1">
        <v>311504</v>
      </c>
      <c r="H2104" s="1">
        <v>20</v>
      </c>
    </row>
    <row r="2105" spans="1:8" x14ac:dyDescent="0.3">
      <c r="A2105" s="1" t="s">
        <v>412</v>
      </c>
      <c r="B2105" s="1" t="s">
        <v>413</v>
      </c>
      <c r="C2105" s="1">
        <v>2018</v>
      </c>
      <c r="D2105" s="1">
        <v>20695</v>
      </c>
      <c r="E2105" s="1">
        <v>244</v>
      </c>
      <c r="F2105" s="1">
        <v>47</v>
      </c>
      <c r="G2105" s="1">
        <v>112605</v>
      </c>
      <c r="H2105" s="1">
        <v>0</v>
      </c>
    </row>
    <row r="2106" spans="1:8" x14ac:dyDescent="0.3">
      <c r="A2106" s="1" t="s">
        <v>414</v>
      </c>
      <c r="B2106" s="1" t="s">
        <v>415</v>
      </c>
      <c r="C2106" s="1">
        <v>2018</v>
      </c>
      <c r="D2106" s="1">
        <v>23883</v>
      </c>
      <c r="E2106" s="1">
        <v>186</v>
      </c>
      <c r="F2106" s="1">
        <v>46</v>
      </c>
      <c r="G2106" s="1">
        <v>287718</v>
      </c>
      <c r="H2106" s="1">
        <v>0</v>
      </c>
    </row>
    <row r="2107" spans="1:8" x14ac:dyDescent="0.3">
      <c r="A2107" s="1" t="s">
        <v>416</v>
      </c>
      <c r="B2107" s="1" t="s">
        <v>417</v>
      </c>
      <c r="C2107" s="1">
        <v>2018</v>
      </c>
      <c r="D2107" s="1">
        <v>20814</v>
      </c>
      <c r="E2107" s="1">
        <v>254</v>
      </c>
      <c r="F2107" s="1">
        <v>58</v>
      </c>
      <c r="G2107" s="1">
        <v>121239</v>
      </c>
      <c r="H2107" s="1">
        <v>0</v>
      </c>
    </row>
    <row r="2108" spans="1:8" x14ac:dyDescent="0.3">
      <c r="A2108" s="1" t="s">
        <v>418</v>
      </c>
      <c r="B2108" s="1" t="s">
        <v>419</v>
      </c>
      <c r="C2108" s="1">
        <v>2018</v>
      </c>
      <c r="D2108" s="1">
        <v>49856</v>
      </c>
      <c r="E2108" s="1">
        <v>874</v>
      </c>
      <c r="F2108" s="1">
        <v>290</v>
      </c>
      <c r="G2108" s="1">
        <v>208737</v>
      </c>
      <c r="H2108" s="1">
        <v>10</v>
      </c>
    </row>
    <row r="2109" spans="1:8" x14ac:dyDescent="0.3">
      <c r="A2109" s="1" t="s">
        <v>420</v>
      </c>
      <c r="B2109" s="1" t="s">
        <v>421</v>
      </c>
      <c r="C2109" s="1">
        <v>2018</v>
      </c>
      <c r="D2109" s="1">
        <v>29111</v>
      </c>
      <c r="E2109" s="1">
        <v>196</v>
      </c>
      <c r="F2109" s="1">
        <v>111</v>
      </c>
      <c r="G2109" s="1">
        <v>1183263</v>
      </c>
      <c r="H2109" s="1">
        <v>44</v>
      </c>
    </row>
    <row r="2110" spans="1:8" x14ac:dyDescent="0.3">
      <c r="A2110" s="1" t="s">
        <v>422</v>
      </c>
      <c r="B2110" s="1" t="s">
        <v>423</v>
      </c>
      <c r="C2110" s="1">
        <v>2018</v>
      </c>
      <c r="D2110" s="1">
        <v>36465</v>
      </c>
      <c r="E2110" s="1">
        <v>322</v>
      </c>
      <c r="F2110" s="1">
        <v>290</v>
      </c>
      <c r="G2110" s="1">
        <v>484562</v>
      </c>
      <c r="H2110" s="1">
        <v>6</v>
      </c>
    </row>
    <row r="2111" spans="1:8" x14ac:dyDescent="0.3">
      <c r="A2111" s="1" t="s">
        <v>424</v>
      </c>
      <c r="B2111" s="1" t="s">
        <v>425</v>
      </c>
      <c r="C2111" s="1">
        <v>2018</v>
      </c>
      <c r="D2111" s="1">
        <v>17580</v>
      </c>
      <c r="E2111" s="1">
        <v>139</v>
      </c>
      <c r="F2111" s="1">
        <v>52</v>
      </c>
      <c r="G2111" s="1">
        <v>206383</v>
      </c>
      <c r="H2111" s="1">
        <v>2</v>
      </c>
    </row>
    <row r="2112" spans="1:8" x14ac:dyDescent="0.3">
      <c r="A2112" s="1" t="s">
        <v>426</v>
      </c>
      <c r="B2112" s="1" t="s">
        <v>427</v>
      </c>
      <c r="C2112" s="1">
        <v>2018</v>
      </c>
      <c r="D2112" s="1">
        <v>16050</v>
      </c>
      <c r="E2112" s="1">
        <v>113</v>
      </c>
      <c r="F2112" s="1">
        <v>67</v>
      </c>
      <c r="G2112" s="1">
        <v>390807</v>
      </c>
      <c r="H2112" s="1">
        <v>0</v>
      </c>
    </row>
    <row r="2113" spans="1:8" x14ac:dyDescent="0.3">
      <c r="A2113" s="1" t="s">
        <v>428</v>
      </c>
      <c r="B2113" s="1" t="s">
        <v>429</v>
      </c>
      <c r="C2113" s="1">
        <v>2018</v>
      </c>
      <c r="D2113" s="1">
        <v>8118</v>
      </c>
      <c r="E2113" s="1">
        <v>125</v>
      </c>
      <c r="F2113" s="1">
        <v>15</v>
      </c>
      <c r="G2113" s="1">
        <v>235362</v>
      </c>
      <c r="H2113" s="1">
        <v>0</v>
      </c>
    </row>
    <row r="2114" spans="1:8" x14ac:dyDescent="0.3">
      <c r="A2114" s="1" t="s">
        <v>430</v>
      </c>
      <c r="B2114" s="1" t="s">
        <v>431</v>
      </c>
      <c r="C2114" s="1">
        <v>2018</v>
      </c>
      <c r="D2114" s="1">
        <v>17788</v>
      </c>
      <c r="E2114" s="1">
        <v>48</v>
      </c>
      <c r="F2114" s="1">
        <v>111</v>
      </c>
      <c r="G2114" s="1">
        <v>513296</v>
      </c>
      <c r="H2114" s="1">
        <v>0</v>
      </c>
    </row>
    <row r="2115" spans="1:8" x14ac:dyDescent="0.3">
      <c r="A2115" s="1" t="s">
        <v>432</v>
      </c>
      <c r="B2115" s="1" t="s">
        <v>433</v>
      </c>
      <c r="C2115" s="1">
        <v>2018</v>
      </c>
      <c r="D2115" s="1">
        <v>25047</v>
      </c>
      <c r="E2115" s="1">
        <v>186</v>
      </c>
      <c r="F2115" s="1">
        <v>337</v>
      </c>
      <c r="G2115" s="1">
        <v>3395343</v>
      </c>
      <c r="H2115" s="1">
        <v>9</v>
      </c>
    </row>
    <row r="2116" spans="1:8" x14ac:dyDescent="0.3">
      <c r="A2116" s="1" t="s">
        <v>434</v>
      </c>
      <c r="B2116" s="1" t="s">
        <v>435</v>
      </c>
      <c r="C2116" s="1">
        <v>2018</v>
      </c>
      <c r="D2116" s="1">
        <v>81596</v>
      </c>
      <c r="E2116" s="1">
        <v>2307</v>
      </c>
      <c r="F2116" s="1">
        <v>2586</v>
      </c>
      <c r="G2116" s="1">
        <v>4634798</v>
      </c>
      <c r="H2116" s="1">
        <v>150</v>
      </c>
    </row>
    <row r="2117" spans="1:8" x14ac:dyDescent="0.3">
      <c r="A2117" s="1" t="s">
        <v>436</v>
      </c>
      <c r="B2117" s="1" t="s">
        <v>437</v>
      </c>
      <c r="C2117" s="1">
        <v>2018</v>
      </c>
      <c r="D2117" s="1">
        <v>17670</v>
      </c>
      <c r="E2117" s="1">
        <v>131</v>
      </c>
      <c r="F2117" s="1">
        <v>129</v>
      </c>
      <c r="G2117" s="1">
        <v>1077238</v>
      </c>
      <c r="H2117" s="1">
        <v>0</v>
      </c>
    </row>
    <row r="2118" spans="1:8" x14ac:dyDescent="0.3">
      <c r="A2118" s="1" t="s">
        <v>438</v>
      </c>
      <c r="B2118" s="1" t="s">
        <v>439</v>
      </c>
      <c r="C2118" s="1">
        <v>2018</v>
      </c>
      <c r="D2118" s="1">
        <v>20123</v>
      </c>
      <c r="E2118" s="1">
        <v>135</v>
      </c>
      <c r="F2118" s="1">
        <v>86</v>
      </c>
      <c r="G2118" s="1">
        <v>420857</v>
      </c>
      <c r="H2118" s="1">
        <v>0</v>
      </c>
    </row>
    <row r="2119" spans="1:8" x14ac:dyDescent="0.3">
      <c r="A2119" s="1" t="s">
        <v>440</v>
      </c>
      <c r="B2119" s="1" t="s">
        <v>441</v>
      </c>
      <c r="C2119" s="1">
        <v>2018</v>
      </c>
      <c r="D2119" s="1">
        <v>55952</v>
      </c>
      <c r="E2119" s="1">
        <v>1041</v>
      </c>
      <c r="F2119" s="1">
        <v>397</v>
      </c>
      <c r="G2119" s="1">
        <v>1677733</v>
      </c>
      <c r="H2119" s="1">
        <v>6</v>
      </c>
    </row>
    <row r="2120" spans="1:8" x14ac:dyDescent="0.3">
      <c r="A2120" s="1" t="s">
        <v>442</v>
      </c>
      <c r="B2120" s="1" t="s">
        <v>443</v>
      </c>
      <c r="C2120" s="1">
        <v>2018</v>
      </c>
      <c r="D2120" s="1">
        <v>23902</v>
      </c>
      <c r="E2120" s="1">
        <v>179</v>
      </c>
      <c r="F2120" s="1">
        <v>60</v>
      </c>
      <c r="G2120" s="1">
        <v>694689</v>
      </c>
      <c r="H2120" s="1">
        <v>0</v>
      </c>
    </row>
    <row r="2121" spans="1:8" x14ac:dyDescent="0.3">
      <c r="A2121" s="1" t="s">
        <v>444</v>
      </c>
      <c r="B2121" s="1" t="s">
        <v>445</v>
      </c>
      <c r="C2121" s="1">
        <v>2018</v>
      </c>
      <c r="D2121" s="1">
        <v>15588</v>
      </c>
      <c r="E2121" s="1">
        <v>126</v>
      </c>
      <c r="F2121" s="1">
        <v>154</v>
      </c>
      <c r="G2121" s="1">
        <v>765902</v>
      </c>
      <c r="H2121" s="1">
        <v>18</v>
      </c>
    </row>
    <row r="2122" spans="1:8" x14ac:dyDescent="0.3">
      <c r="A2122" s="1" t="s">
        <v>446</v>
      </c>
      <c r="B2122" s="1" t="s">
        <v>447</v>
      </c>
      <c r="C2122" s="1">
        <v>2018</v>
      </c>
      <c r="D2122" s="1">
        <v>22095</v>
      </c>
      <c r="E2122" s="1">
        <v>91</v>
      </c>
      <c r="F2122" s="1">
        <v>54</v>
      </c>
      <c r="G2122" s="1">
        <v>1041013</v>
      </c>
      <c r="H2122" s="1">
        <v>101</v>
      </c>
    </row>
    <row r="2123" spans="1:8" x14ac:dyDescent="0.3">
      <c r="A2123" s="1" t="s">
        <v>448</v>
      </c>
      <c r="B2123" s="1" t="s">
        <v>449</v>
      </c>
      <c r="C2123" s="1">
        <v>2018</v>
      </c>
      <c r="D2123" s="1">
        <v>10873</v>
      </c>
      <c r="E2123" s="1">
        <v>72</v>
      </c>
      <c r="F2123" s="1">
        <v>62</v>
      </c>
      <c r="G2123" s="1">
        <v>319978</v>
      </c>
      <c r="H2123" s="1">
        <v>2</v>
      </c>
    </row>
    <row r="2124" spans="1:8" x14ac:dyDescent="0.3">
      <c r="A2124" s="1" t="s">
        <v>450</v>
      </c>
      <c r="B2124" s="1" t="s">
        <v>451</v>
      </c>
      <c r="C2124" s="1">
        <v>2018</v>
      </c>
      <c r="D2124" s="1">
        <v>15211</v>
      </c>
      <c r="E2124" s="1">
        <v>143</v>
      </c>
      <c r="F2124" s="1">
        <v>11</v>
      </c>
      <c r="G2124" s="1">
        <v>109814</v>
      </c>
      <c r="H2124" s="1">
        <v>2</v>
      </c>
    </row>
    <row r="2125" spans="1:8" x14ac:dyDescent="0.3">
      <c r="A2125" s="1" t="s">
        <v>452</v>
      </c>
      <c r="B2125" s="1" t="s">
        <v>453</v>
      </c>
      <c r="C2125" s="1">
        <v>2018</v>
      </c>
      <c r="D2125" s="1">
        <v>13689</v>
      </c>
      <c r="E2125" s="1">
        <v>55</v>
      </c>
      <c r="F2125" s="1">
        <v>19</v>
      </c>
      <c r="G2125" s="1">
        <v>356366</v>
      </c>
      <c r="H2125" s="1">
        <v>0</v>
      </c>
    </row>
    <row r="2126" spans="1:8" x14ac:dyDescent="0.3">
      <c r="A2126" s="1" t="s">
        <v>454</v>
      </c>
      <c r="B2126" s="1" t="s">
        <v>455</v>
      </c>
      <c r="C2126" s="1">
        <v>2018</v>
      </c>
      <c r="D2126" s="1">
        <v>7164</v>
      </c>
      <c r="E2126" s="1">
        <v>52</v>
      </c>
      <c r="F2126" s="1">
        <v>9</v>
      </c>
      <c r="G2126" s="1">
        <v>154383</v>
      </c>
      <c r="H2126" s="1">
        <v>36</v>
      </c>
    </row>
    <row r="2127" spans="1:8" x14ac:dyDescent="0.3">
      <c r="A2127" s="1" t="s">
        <v>456</v>
      </c>
      <c r="B2127" s="1" t="s">
        <v>457</v>
      </c>
      <c r="C2127" s="1">
        <v>2018</v>
      </c>
      <c r="D2127" s="1">
        <v>18234</v>
      </c>
      <c r="E2127" s="1">
        <v>101</v>
      </c>
      <c r="F2127" s="1">
        <v>51</v>
      </c>
      <c r="G2127" s="1">
        <v>182232</v>
      </c>
      <c r="H2127" s="1">
        <v>36</v>
      </c>
    </row>
    <row r="2128" spans="1:8" x14ac:dyDescent="0.3">
      <c r="A2128" s="1" t="s">
        <v>458</v>
      </c>
      <c r="B2128" s="1" t="s">
        <v>459</v>
      </c>
      <c r="C2128" s="1">
        <v>2018</v>
      </c>
      <c r="D2128" s="1">
        <v>25697</v>
      </c>
      <c r="E2128" s="1">
        <v>125</v>
      </c>
      <c r="F2128" s="1">
        <v>35</v>
      </c>
      <c r="G2128" s="1">
        <v>830522</v>
      </c>
      <c r="H2128" s="1">
        <v>34</v>
      </c>
    </row>
    <row r="2129" spans="1:8" x14ac:dyDescent="0.3">
      <c r="A2129" s="1" t="s">
        <v>460</v>
      </c>
      <c r="B2129" s="1" t="s">
        <v>461</v>
      </c>
      <c r="C2129" s="1">
        <v>2018</v>
      </c>
      <c r="D2129" s="1">
        <v>11380</v>
      </c>
      <c r="E2129" s="1">
        <v>109</v>
      </c>
      <c r="F2129" s="1">
        <v>15</v>
      </c>
      <c r="G2129" s="1">
        <v>229619</v>
      </c>
      <c r="H2129" s="1">
        <v>20</v>
      </c>
    </row>
    <row r="2130" spans="1:8" x14ac:dyDescent="0.3">
      <c r="A2130" s="1" t="s">
        <v>462</v>
      </c>
      <c r="B2130" s="1" t="s">
        <v>463</v>
      </c>
      <c r="C2130" s="1">
        <v>2018</v>
      </c>
      <c r="D2130" s="1">
        <v>18148</v>
      </c>
      <c r="E2130" s="1">
        <v>212</v>
      </c>
      <c r="F2130" s="1">
        <v>70</v>
      </c>
      <c r="G2130" s="1">
        <v>199069</v>
      </c>
      <c r="H2130" s="1">
        <v>12</v>
      </c>
    </row>
    <row r="2131" spans="1:8" x14ac:dyDescent="0.3">
      <c r="A2131" s="1" t="s">
        <v>464</v>
      </c>
      <c r="B2131" s="1" t="s">
        <v>465</v>
      </c>
      <c r="C2131" s="1">
        <v>2018</v>
      </c>
      <c r="D2131" s="1">
        <v>14532</v>
      </c>
      <c r="E2131" s="1">
        <v>86</v>
      </c>
      <c r="F2131" s="1">
        <v>101</v>
      </c>
      <c r="G2131" s="1">
        <v>457767</v>
      </c>
      <c r="H2131" s="1">
        <v>0</v>
      </c>
    </row>
    <row r="2132" spans="1:8" x14ac:dyDescent="0.3">
      <c r="A2132" s="1" t="s">
        <v>466</v>
      </c>
      <c r="B2132" s="1" t="s">
        <v>467</v>
      </c>
      <c r="C2132" s="1">
        <v>2018</v>
      </c>
      <c r="D2132" s="1">
        <v>131982</v>
      </c>
      <c r="E2132" s="1">
        <v>1927</v>
      </c>
      <c r="F2132" s="1">
        <v>2992</v>
      </c>
      <c r="G2132" s="1">
        <v>10927414</v>
      </c>
      <c r="H2132" s="1">
        <v>0</v>
      </c>
    </row>
    <row r="2133" spans="1:8" x14ac:dyDescent="0.3">
      <c r="A2133" s="1" t="s">
        <v>468</v>
      </c>
      <c r="B2133" s="1" t="s">
        <v>469</v>
      </c>
      <c r="C2133" s="1">
        <v>2018</v>
      </c>
      <c r="D2133" s="1">
        <v>23849</v>
      </c>
      <c r="E2133" s="1">
        <v>210</v>
      </c>
      <c r="F2133" s="1">
        <v>441</v>
      </c>
      <c r="G2133" s="1">
        <v>1724977</v>
      </c>
      <c r="H2133" s="1">
        <v>0</v>
      </c>
    </row>
    <row r="2134" spans="1:8" x14ac:dyDescent="0.3">
      <c r="A2134" s="1" t="s">
        <v>470</v>
      </c>
      <c r="B2134" s="1" t="s">
        <v>471</v>
      </c>
      <c r="C2134" s="1">
        <v>2018</v>
      </c>
      <c r="D2134" s="1">
        <v>26249</v>
      </c>
      <c r="E2134" s="1">
        <v>288</v>
      </c>
      <c r="F2134" s="1">
        <v>526</v>
      </c>
      <c r="G2134" s="1">
        <v>2138124</v>
      </c>
      <c r="H2134" s="1">
        <v>93</v>
      </c>
    </row>
    <row r="2135" spans="1:8" x14ac:dyDescent="0.3">
      <c r="A2135" s="1" t="s">
        <v>472</v>
      </c>
      <c r="B2135" s="1" t="s">
        <v>473</v>
      </c>
      <c r="C2135" s="1">
        <v>2018</v>
      </c>
      <c r="D2135" s="1">
        <v>22920</v>
      </c>
      <c r="E2135" s="1">
        <v>216</v>
      </c>
      <c r="F2135" s="1">
        <v>266</v>
      </c>
      <c r="G2135" s="1">
        <v>715545</v>
      </c>
      <c r="H2135" s="1">
        <v>131</v>
      </c>
    </row>
    <row r="2136" spans="1:8" x14ac:dyDescent="0.3">
      <c r="A2136" s="1" t="s">
        <v>474</v>
      </c>
      <c r="B2136" s="1" t="s">
        <v>475</v>
      </c>
      <c r="C2136" s="1">
        <v>2018</v>
      </c>
      <c r="D2136" s="1">
        <v>29800</v>
      </c>
      <c r="E2136" s="1">
        <v>389</v>
      </c>
      <c r="F2136" s="1">
        <v>337</v>
      </c>
      <c r="G2136" s="1">
        <v>1990558</v>
      </c>
      <c r="H2136" s="1">
        <v>20</v>
      </c>
    </row>
    <row r="2137" spans="1:8" x14ac:dyDescent="0.3">
      <c r="A2137" s="1" t="s">
        <v>476</v>
      </c>
      <c r="B2137" s="1" t="s">
        <v>477</v>
      </c>
      <c r="C2137" s="1">
        <v>2018</v>
      </c>
      <c r="D2137" s="1">
        <v>18087</v>
      </c>
      <c r="E2137" s="1">
        <v>122</v>
      </c>
      <c r="F2137" s="1">
        <v>164</v>
      </c>
      <c r="G2137" s="1">
        <v>1678908</v>
      </c>
      <c r="H2137" s="1">
        <v>37</v>
      </c>
    </row>
    <row r="2138" spans="1:8" x14ac:dyDescent="0.3">
      <c r="A2138" s="1" t="s">
        <v>478</v>
      </c>
      <c r="B2138" s="1" t="s">
        <v>479</v>
      </c>
      <c r="C2138" s="1">
        <v>2018</v>
      </c>
      <c r="D2138" s="1">
        <v>39190</v>
      </c>
      <c r="E2138" s="1">
        <v>1389</v>
      </c>
      <c r="F2138" s="1">
        <v>1366</v>
      </c>
      <c r="G2138" s="1">
        <v>1716356</v>
      </c>
      <c r="H2138" s="1">
        <v>42</v>
      </c>
    </row>
    <row r="2139" spans="1:8" x14ac:dyDescent="0.3">
      <c r="A2139" s="1" t="s">
        <v>480</v>
      </c>
      <c r="B2139" s="1" t="s">
        <v>481</v>
      </c>
      <c r="C2139" s="1">
        <v>2018</v>
      </c>
      <c r="D2139" s="1">
        <v>37140</v>
      </c>
      <c r="E2139" s="1">
        <v>1341</v>
      </c>
      <c r="F2139" s="1">
        <v>636</v>
      </c>
      <c r="G2139" s="1">
        <v>2266411</v>
      </c>
      <c r="H2139" s="1">
        <v>9</v>
      </c>
    </row>
    <row r="2140" spans="1:8" x14ac:dyDescent="0.3">
      <c r="A2140" s="1" t="s">
        <v>482</v>
      </c>
      <c r="B2140" s="1" t="s">
        <v>483</v>
      </c>
      <c r="C2140" s="1">
        <v>2018</v>
      </c>
      <c r="D2140" s="1">
        <v>21614</v>
      </c>
      <c r="E2140" s="1">
        <v>228</v>
      </c>
      <c r="F2140" s="1">
        <v>167</v>
      </c>
      <c r="G2140" s="1">
        <v>1818535</v>
      </c>
      <c r="H2140" s="1">
        <v>0</v>
      </c>
    </row>
    <row r="2141" spans="1:8" x14ac:dyDescent="0.3">
      <c r="A2141" s="1" t="s">
        <v>484</v>
      </c>
      <c r="B2141" s="1" t="s">
        <v>485</v>
      </c>
      <c r="C2141" s="1">
        <v>2018</v>
      </c>
      <c r="D2141" s="1">
        <v>26111</v>
      </c>
      <c r="E2141" s="1">
        <v>230</v>
      </c>
      <c r="F2141" s="1">
        <v>265</v>
      </c>
      <c r="G2141" s="1">
        <v>1297759</v>
      </c>
      <c r="H2141" s="1">
        <v>133</v>
      </c>
    </row>
    <row r="2142" spans="1:8" x14ac:dyDescent="0.3">
      <c r="A2142" s="1" t="s">
        <v>486</v>
      </c>
      <c r="B2142" s="1" t="s">
        <v>487</v>
      </c>
      <c r="C2142" s="1">
        <v>2018</v>
      </c>
      <c r="D2142" s="1">
        <v>22343</v>
      </c>
      <c r="E2142" s="1">
        <v>290</v>
      </c>
      <c r="F2142" s="1">
        <v>506</v>
      </c>
      <c r="G2142" s="1">
        <v>1018361</v>
      </c>
      <c r="H2142" s="1">
        <v>0</v>
      </c>
    </row>
    <row r="2143" spans="1:8" x14ac:dyDescent="0.3">
      <c r="A2143" s="1" t="s">
        <v>488</v>
      </c>
      <c r="B2143" s="1" t="s">
        <v>489</v>
      </c>
      <c r="C2143" s="1">
        <v>2018</v>
      </c>
      <c r="D2143" s="1">
        <v>22028</v>
      </c>
      <c r="E2143" s="1">
        <v>197</v>
      </c>
      <c r="F2143" s="1">
        <v>416</v>
      </c>
      <c r="G2143" s="1">
        <v>2268481</v>
      </c>
      <c r="H2143" s="1">
        <v>11</v>
      </c>
    </row>
    <row r="2144" spans="1:8" x14ac:dyDescent="0.3">
      <c r="A2144" s="1" t="s">
        <v>490</v>
      </c>
      <c r="B2144" s="1" t="s">
        <v>310</v>
      </c>
      <c r="C2144" s="1">
        <v>2018</v>
      </c>
      <c r="D2144" s="1">
        <v>13255</v>
      </c>
      <c r="E2144" s="1">
        <v>123</v>
      </c>
      <c r="F2144" s="1">
        <v>145</v>
      </c>
      <c r="G2144" s="1">
        <v>888505</v>
      </c>
      <c r="H2144" s="1">
        <v>0</v>
      </c>
    </row>
    <row r="2145" spans="1:8" x14ac:dyDescent="0.3">
      <c r="A2145" s="1" t="s">
        <v>491</v>
      </c>
      <c r="B2145" s="1" t="s">
        <v>492</v>
      </c>
      <c r="C2145" s="1">
        <v>2018</v>
      </c>
      <c r="D2145" s="1">
        <v>29675</v>
      </c>
      <c r="E2145" s="1">
        <v>953</v>
      </c>
      <c r="F2145" s="1">
        <v>815</v>
      </c>
      <c r="G2145" s="1">
        <v>1316041</v>
      </c>
      <c r="H2145" s="1">
        <v>4</v>
      </c>
    </row>
    <row r="2146" spans="1:8" x14ac:dyDescent="0.3">
      <c r="A2146" s="1" t="s">
        <v>493</v>
      </c>
      <c r="B2146" s="1" t="s">
        <v>494</v>
      </c>
      <c r="C2146" s="1">
        <v>2018</v>
      </c>
      <c r="D2146" s="1">
        <v>33217</v>
      </c>
      <c r="E2146" s="1">
        <v>492</v>
      </c>
      <c r="F2146" s="1">
        <v>311</v>
      </c>
      <c r="G2146" s="1">
        <v>945383</v>
      </c>
      <c r="H2146" s="1">
        <v>79</v>
      </c>
    </row>
    <row r="2147" spans="1:8" x14ac:dyDescent="0.3">
      <c r="A2147" s="1" t="s">
        <v>495</v>
      </c>
      <c r="B2147" s="1" t="s">
        <v>496</v>
      </c>
      <c r="C2147" s="1">
        <v>2018</v>
      </c>
      <c r="D2147" s="1">
        <v>40108</v>
      </c>
      <c r="E2147" s="1">
        <v>405</v>
      </c>
      <c r="F2147" s="1">
        <v>375</v>
      </c>
      <c r="G2147" s="1">
        <v>3533812</v>
      </c>
      <c r="H2147" s="1">
        <v>3</v>
      </c>
    </row>
    <row r="2148" spans="1:8" x14ac:dyDescent="0.3">
      <c r="A2148" s="1" t="s">
        <v>497</v>
      </c>
      <c r="B2148" s="1" t="s">
        <v>498</v>
      </c>
      <c r="C2148" s="1">
        <v>2018</v>
      </c>
      <c r="D2148" s="1">
        <v>38118</v>
      </c>
      <c r="E2148" s="1">
        <v>472</v>
      </c>
      <c r="F2148" s="1">
        <v>730</v>
      </c>
      <c r="G2148" s="1">
        <v>3656992</v>
      </c>
      <c r="H2148" s="1">
        <v>95</v>
      </c>
    </row>
    <row r="2149" spans="1:8" x14ac:dyDescent="0.3">
      <c r="A2149" s="1" t="s">
        <v>499</v>
      </c>
      <c r="B2149" s="1" t="s">
        <v>500</v>
      </c>
      <c r="C2149" s="1">
        <v>2018</v>
      </c>
      <c r="D2149" s="1">
        <v>70075</v>
      </c>
      <c r="E2149" s="1">
        <v>946</v>
      </c>
      <c r="F2149" s="1">
        <v>1632</v>
      </c>
      <c r="G2149" s="1">
        <v>2218664</v>
      </c>
      <c r="H2149" s="1">
        <v>313</v>
      </c>
    </row>
    <row r="2150" spans="1:8" x14ac:dyDescent="0.3">
      <c r="A2150" s="1" t="s">
        <v>501</v>
      </c>
      <c r="B2150" s="1" t="s">
        <v>502</v>
      </c>
      <c r="C2150" s="1">
        <v>2018</v>
      </c>
      <c r="D2150" s="1">
        <v>12965</v>
      </c>
      <c r="E2150" s="1">
        <v>49</v>
      </c>
      <c r="F2150" s="1">
        <v>95</v>
      </c>
      <c r="G2150" s="1">
        <v>1483973</v>
      </c>
      <c r="H2150" s="1">
        <v>33</v>
      </c>
    </row>
    <row r="2151" spans="1:8" x14ac:dyDescent="0.3">
      <c r="A2151" s="1" t="s">
        <v>503</v>
      </c>
      <c r="B2151" s="1" t="s">
        <v>504</v>
      </c>
      <c r="C2151" s="1">
        <v>2018</v>
      </c>
      <c r="D2151" s="1">
        <v>228966</v>
      </c>
      <c r="E2151" s="1">
        <v>6851</v>
      </c>
      <c r="F2151" s="1">
        <v>9682</v>
      </c>
      <c r="G2151" s="1">
        <v>10927134</v>
      </c>
      <c r="H2151" s="1">
        <v>1578</v>
      </c>
    </row>
    <row r="2152" spans="1:8" x14ac:dyDescent="0.3">
      <c r="A2152" s="1" t="s">
        <v>505</v>
      </c>
      <c r="B2152" s="1" t="s">
        <v>506</v>
      </c>
      <c r="C2152" s="1">
        <v>2018</v>
      </c>
      <c r="D2152" s="1">
        <v>114611</v>
      </c>
      <c r="E2152" s="1">
        <v>1521</v>
      </c>
      <c r="F2152" s="1">
        <v>2978</v>
      </c>
      <c r="G2152" s="1">
        <v>4487653</v>
      </c>
      <c r="H2152" s="1">
        <v>524</v>
      </c>
    </row>
    <row r="2153" spans="1:8" x14ac:dyDescent="0.3">
      <c r="A2153" s="1" t="s">
        <v>507</v>
      </c>
      <c r="B2153" s="1" t="s">
        <v>508</v>
      </c>
      <c r="C2153" s="1">
        <v>2018</v>
      </c>
      <c r="D2153" s="1">
        <v>39675</v>
      </c>
      <c r="E2153" s="1">
        <v>355</v>
      </c>
      <c r="F2153" s="1">
        <v>1130</v>
      </c>
      <c r="G2153" s="1">
        <v>1492825</v>
      </c>
      <c r="H2153" s="1">
        <v>0</v>
      </c>
    </row>
    <row r="2154" spans="1:8" x14ac:dyDescent="0.3">
      <c r="A2154" s="1" t="s">
        <v>509</v>
      </c>
      <c r="B2154" s="1" t="s">
        <v>510</v>
      </c>
      <c r="C2154" s="1">
        <v>2018</v>
      </c>
      <c r="D2154" s="1">
        <v>19333</v>
      </c>
      <c r="E2154" s="1">
        <v>95</v>
      </c>
      <c r="F2154" s="1">
        <v>390</v>
      </c>
      <c r="G2154" s="1">
        <v>430091</v>
      </c>
      <c r="H2154" s="1">
        <v>80</v>
      </c>
    </row>
    <row r="2155" spans="1:8" x14ac:dyDescent="0.3">
      <c r="A2155" s="1" t="s">
        <v>511</v>
      </c>
      <c r="B2155" s="1" t="s">
        <v>512</v>
      </c>
      <c r="C2155" s="1">
        <v>2018</v>
      </c>
      <c r="D2155" s="1">
        <v>61823</v>
      </c>
      <c r="E2155" s="1">
        <v>317</v>
      </c>
      <c r="F2155" s="1">
        <v>546</v>
      </c>
      <c r="G2155" s="1">
        <v>4172525</v>
      </c>
      <c r="H2155" s="1">
        <v>0</v>
      </c>
    </row>
    <row r="2156" spans="1:8" x14ac:dyDescent="0.3">
      <c r="A2156" s="1" t="s">
        <v>513</v>
      </c>
      <c r="B2156" s="1" t="s">
        <v>443</v>
      </c>
      <c r="C2156" s="1">
        <v>2018</v>
      </c>
      <c r="D2156" s="1">
        <v>50674</v>
      </c>
      <c r="E2156" s="1">
        <v>515</v>
      </c>
      <c r="F2156" s="1">
        <v>195</v>
      </c>
      <c r="G2156" s="1">
        <v>700188</v>
      </c>
      <c r="H2156" s="1">
        <v>4</v>
      </c>
    </row>
    <row r="2157" spans="1:8" x14ac:dyDescent="0.3">
      <c r="A2157" s="1" t="s">
        <v>514</v>
      </c>
      <c r="B2157" s="1" t="s">
        <v>515</v>
      </c>
      <c r="C2157" s="1">
        <v>2018</v>
      </c>
      <c r="D2157" s="1">
        <v>61969</v>
      </c>
      <c r="E2157" s="1">
        <v>595</v>
      </c>
      <c r="F2157" s="1">
        <v>275</v>
      </c>
      <c r="G2157" s="1">
        <v>1453311</v>
      </c>
      <c r="H2157" s="1">
        <v>144</v>
      </c>
    </row>
    <row r="2158" spans="1:8" x14ac:dyDescent="0.3">
      <c r="A2158" s="1" t="s">
        <v>516</v>
      </c>
      <c r="B2158" s="1" t="s">
        <v>517</v>
      </c>
      <c r="C2158" s="1">
        <v>2018</v>
      </c>
      <c r="D2158" s="1">
        <v>47331</v>
      </c>
      <c r="E2158" s="1">
        <v>448</v>
      </c>
      <c r="F2158" s="1">
        <v>66</v>
      </c>
      <c r="G2158" s="1">
        <v>405721</v>
      </c>
      <c r="H2158" s="1">
        <v>2</v>
      </c>
    </row>
    <row r="2159" spans="1:8" x14ac:dyDescent="0.3">
      <c r="A2159" s="1" t="s">
        <v>518</v>
      </c>
      <c r="B2159" s="1" t="s">
        <v>519</v>
      </c>
      <c r="C2159" s="1">
        <v>2018</v>
      </c>
      <c r="D2159" s="1">
        <v>38996</v>
      </c>
      <c r="E2159" s="1">
        <v>354</v>
      </c>
      <c r="F2159" s="1">
        <v>348</v>
      </c>
      <c r="G2159" s="1">
        <v>2123430</v>
      </c>
      <c r="H2159" s="1">
        <v>16</v>
      </c>
    </row>
    <row r="2160" spans="1:8" x14ac:dyDescent="0.3">
      <c r="A2160" s="1" t="s">
        <v>520</v>
      </c>
      <c r="B2160" s="1" t="s">
        <v>521</v>
      </c>
      <c r="C2160" s="1">
        <v>2018</v>
      </c>
      <c r="D2160" s="1">
        <v>27071</v>
      </c>
      <c r="E2160" s="1">
        <v>201</v>
      </c>
      <c r="F2160" s="1">
        <v>31</v>
      </c>
      <c r="G2160" s="1">
        <v>159247</v>
      </c>
      <c r="H2160" s="1">
        <v>0</v>
      </c>
    </row>
    <row r="2161" spans="1:8" x14ac:dyDescent="0.3">
      <c r="A2161" s="1" t="s">
        <v>522</v>
      </c>
      <c r="B2161" s="1" t="s">
        <v>523</v>
      </c>
      <c r="C2161" s="1">
        <v>2018</v>
      </c>
      <c r="D2161" s="1">
        <v>25637</v>
      </c>
      <c r="E2161" s="1">
        <v>159</v>
      </c>
      <c r="F2161" s="1">
        <v>78</v>
      </c>
      <c r="G2161" s="1">
        <v>555835</v>
      </c>
      <c r="H2161" s="1">
        <v>8</v>
      </c>
    </row>
    <row r="2162" spans="1:8" x14ac:dyDescent="0.3">
      <c r="A2162" s="1" t="s">
        <v>524</v>
      </c>
      <c r="B2162" s="1" t="s">
        <v>525</v>
      </c>
      <c r="C2162" s="1">
        <v>2018</v>
      </c>
      <c r="D2162" s="1">
        <v>34267</v>
      </c>
      <c r="E2162" s="1">
        <v>514</v>
      </c>
      <c r="F2162" s="1">
        <v>205</v>
      </c>
      <c r="G2162" s="1">
        <v>1740346</v>
      </c>
      <c r="H2162" s="1">
        <v>82</v>
      </c>
    </row>
    <row r="2163" spans="1:8" x14ac:dyDescent="0.3">
      <c r="A2163" s="1" t="s">
        <v>526</v>
      </c>
      <c r="B2163" s="1" t="s">
        <v>527</v>
      </c>
      <c r="C2163" s="1">
        <v>2018</v>
      </c>
      <c r="D2163" s="1">
        <v>27043</v>
      </c>
      <c r="E2163" s="1">
        <v>245</v>
      </c>
      <c r="F2163" s="1">
        <v>109</v>
      </c>
      <c r="G2163" s="1">
        <v>892439</v>
      </c>
      <c r="H2163" s="1">
        <v>2</v>
      </c>
    </row>
    <row r="2164" spans="1:8" x14ac:dyDescent="0.3">
      <c r="A2164" s="1" t="s">
        <v>528</v>
      </c>
      <c r="B2164" s="1" t="s">
        <v>529</v>
      </c>
      <c r="C2164" s="1">
        <v>2018</v>
      </c>
      <c r="D2164" s="1">
        <v>32646</v>
      </c>
      <c r="E2164" s="1">
        <v>376</v>
      </c>
      <c r="F2164" s="1">
        <v>339</v>
      </c>
      <c r="G2164" s="1">
        <v>646587</v>
      </c>
      <c r="H2164" s="1">
        <v>24</v>
      </c>
    </row>
    <row r="2165" spans="1:8" x14ac:dyDescent="0.3">
      <c r="A2165" s="1" t="s">
        <v>530</v>
      </c>
      <c r="B2165" s="1" t="s">
        <v>531</v>
      </c>
      <c r="C2165" s="1">
        <v>2018</v>
      </c>
      <c r="D2165" s="1">
        <v>36107</v>
      </c>
      <c r="E2165" s="1">
        <v>164</v>
      </c>
      <c r="F2165" s="1">
        <v>266</v>
      </c>
      <c r="G2165" s="1">
        <v>2886724</v>
      </c>
      <c r="H2165" s="1">
        <v>190</v>
      </c>
    </row>
    <row r="2166" spans="1:8" x14ac:dyDescent="0.3">
      <c r="A2166" s="1" t="s">
        <v>532</v>
      </c>
      <c r="B2166" s="1" t="s">
        <v>533</v>
      </c>
      <c r="C2166" s="1">
        <v>2018</v>
      </c>
      <c r="D2166" s="1">
        <v>24791</v>
      </c>
      <c r="E2166" s="1">
        <v>208</v>
      </c>
      <c r="F2166" s="1">
        <v>101</v>
      </c>
      <c r="G2166" s="1">
        <v>632773</v>
      </c>
      <c r="H2166" s="1">
        <v>6</v>
      </c>
    </row>
    <row r="2167" spans="1:8" x14ac:dyDescent="0.3">
      <c r="A2167" s="1" t="s">
        <v>534</v>
      </c>
      <c r="B2167" s="1" t="s">
        <v>535</v>
      </c>
      <c r="C2167" s="1">
        <v>2018</v>
      </c>
      <c r="D2167" s="1">
        <v>50354</v>
      </c>
      <c r="E2167" s="1">
        <v>751</v>
      </c>
      <c r="F2167" s="1">
        <v>336</v>
      </c>
      <c r="G2167" s="1">
        <v>2736607</v>
      </c>
      <c r="H2167" s="1">
        <v>36</v>
      </c>
    </row>
    <row r="2168" spans="1:8" x14ac:dyDescent="0.3">
      <c r="A2168" s="1" t="s">
        <v>536</v>
      </c>
      <c r="B2168" s="1" t="s">
        <v>537</v>
      </c>
      <c r="C2168" s="1">
        <v>2018</v>
      </c>
      <c r="D2168" s="1">
        <v>18728</v>
      </c>
      <c r="E2168" s="1">
        <v>209</v>
      </c>
      <c r="F2168" s="1">
        <v>104</v>
      </c>
      <c r="G2168" s="1">
        <v>337868</v>
      </c>
      <c r="H2168" s="1">
        <v>4</v>
      </c>
    </row>
    <row r="2169" spans="1:8" x14ac:dyDescent="0.3">
      <c r="A2169" s="1" t="s">
        <v>538</v>
      </c>
      <c r="B2169" s="1" t="s">
        <v>539</v>
      </c>
      <c r="C2169" s="1">
        <v>2018</v>
      </c>
      <c r="D2169" s="1">
        <v>49784</v>
      </c>
      <c r="E2169" s="1">
        <v>322</v>
      </c>
      <c r="F2169" s="1">
        <v>214</v>
      </c>
      <c r="G2169" s="1">
        <v>2760056</v>
      </c>
      <c r="H2169" s="1">
        <v>48</v>
      </c>
    </row>
    <row r="2170" spans="1:8" x14ac:dyDescent="0.3">
      <c r="A2170" s="1" t="s">
        <v>540</v>
      </c>
      <c r="B2170" s="1" t="s">
        <v>541</v>
      </c>
      <c r="C2170" s="1">
        <v>2018</v>
      </c>
      <c r="D2170" s="1">
        <v>48010</v>
      </c>
      <c r="E2170" s="1">
        <v>285</v>
      </c>
      <c r="F2170" s="1">
        <v>219</v>
      </c>
      <c r="G2170" s="1">
        <v>2522784</v>
      </c>
      <c r="H2170" s="1">
        <v>2</v>
      </c>
    </row>
    <row r="2171" spans="1:8" x14ac:dyDescent="0.3">
      <c r="A2171" s="1" t="s">
        <v>542</v>
      </c>
      <c r="B2171" s="1" t="s">
        <v>543</v>
      </c>
      <c r="C2171" s="1">
        <v>2018</v>
      </c>
      <c r="D2171" s="1">
        <v>51803</v>
      </c>
      <c r="E2171" s="1">
        <v>492</v>
      </c>
      <c r="F2171" s="1">
        <v>97</v>
      </c>
      <c r="G2171" s="1">
        <v>842651</v>
      </c>
      <c r="H2171" s="1">
        <v>14</v>
      </c>
    </row>
    <row r="2172" spans="1:8" x14ac:dyDescent="0.3">
      <c r="A2172" s="1" t="s">
        <v>544</v>
      </c>
      <c r="B2172" s="1" t="s">
        <v>545</v>
      </c>
      <c r="C2172" s="1">
        <v>2018</v>
      </c>
      <c r="D2172" s="1">
        <v>71404</v>
      </c>
      <c r="E2172" s="1">
        <v>526</v>
      </c>
      <c r="F2172" s="1">
        <v>804</v>
      </c>
      <c r="G2172" s="1">
        <v>4109067</v>
      </c>
      <c r="H2172" s="1">
        <v>201</v>
      </c>
    </row>
    <row r="2173" spans="1:8" x14ac:dyDescent="0.3">
      <c r="A2173" s="1" t="s">
        <v>546</v>
      </c>
      <c r="B2173" s="1" t="s">
        <v>547</v>
      </c>
      <c r="C2173" s="1">
        <v>2018</v>
      </c>
      <c r="D2173" s="1">
        <v>73559</v>
      </c>
      <c r="E2173" s="1">
        <v>100</v>
      </c>
      <c r="F2173" s="1">
        <v>1351</v>
      </c>
      <c r="G2173" s="1">
        <v>5428585</v>
      </c>
      <c r="H2173" s="1">
        <v>16</v>
      </c>
    </row>
    <row r="2174" spans="1:8" x14ac:dyDescent="0.3">
      <c r="A2174" s="1" t="s">
        <v>548</v>
      </c>
      <c r="B2174" s="1" t="s">
        <v>549</v>
      </c>
      <c r="C2174" s="1">
        <v>2018</v>
      </c>
      <c r="D2174" s="1">
        <v>53277</v>
      </c>
      <c r="E2174" s="1">
        <v>206</v>
      </c>
      <c r="F2174" s="1">
        <v>698</v>
      </c>
      <c r="G2174" s="1">
        <v>10602095</v>
      </c>
      <c r="H2174" s="1">
        <v>90</v>
      </c>
    </row>
    <row r="2175" spans="1:8" x14ac:dyDescent="0.3">
      <c r="A2175" s="1" t="s">
        <v>550</v>
      </c>
      <c r="B2175" s="1" t="s">
        <v>551</v>
      </c>
      <c r="C2175" s="1">
        <v>2018</v>
      </c>
      <c r="D2175" s="1">
        <v>99604</v>
      </c>
      <c r="E2175" s="1">
        <v>514</v>
      </c>
      <c r="F2175" s="1">
        <v>786</v>
      </c>
      <c r="G2175" s="1">
        <v>9061869</v>
      </c>
      <c r="H2175" s="1">
        <v>99</v>
      </c>
    </row>
    <row r="2176" spans="1:8" x14ac:dyDescent="0.3">
      <c r="A2176" s="1" t="s">
        <v>552</v>
      </c>
      <c r="B2176" s="1" t="s">
        <v>553</v>
      </c>
      <c r="C2176" s="1">
        <v>2018</v>
      </c>
      <c r="D2176" s="1">
        <v>50460</v>
      </c>
      <c r="E2176" s="1">
        <v>329</v>
      </c>
      <c r="F2176" s="1">
        <v>289</v>
      </c>
      <c r="G2176" s="1">
        <v>2267637</v>
      </c>
      <c r="H2176" s="1">
        <v>0</v>
      </c>
    </row>
    <row r="2177" spans="1:8" x14ac:dyDescent="0.3">
      <c r="A2177" s="1" t="s">
        <v>554</v>
      </c>
      <c r="B2177" s="1" t="s">
        <v>555</v>
      </c>
      <c r="C2177" s="1">
        <v>2018</v>
      </c>
      <c r="D2177" s="1">
        <v>79382</v>
      </c>
      <c r="E2177" s="1">
        <v>725</v>
      </c>
      <c r="F2177" s="1">
        <v>1662</v>
      </c>
      <c r="G2177" s="1">
        <v>5340080</v>
      </c>
      <c r="H2177" s="1">
        <v>170</v>
      </c>
    </row>
    <row r="2178" spans="1:8" x14ac:dyDescent="0.3">
      <c r="A2178" s="1" t="s">
        <v>556</v>
      </c>
      <c r="B2178" s="1" t="s">
        <v>557</v>
      </c>
      <c r="C2178" s="1">
        <v>2018</v>
      </c>
      <c r="D2178" s="1">
        <v>32275</v>
      </c>
      <c r="E2178" s="1">
        <v>149</v>
      </c>
      <c r="F2178" s="1">
        <v>254</v>
      </c>
      <c r="G2178" s="1">
        <v>2389323</v>
      </c>
      <c r="H2178" s="1">
        <v>0</v>
      </c>
    </row>
    <row r="2179" spans="1:8" x14ac:dyDescent="0.3">
      <c r="A2179" s="1" t="s">
        <v>558</v>
      </c>
      <c r="B2179" s="1" t="s">
        <v>559</v>
      </c>
      <c r="C2179" s="1">
        <v>2018</v>
      </c>
      <c r="D2179" s="1">
        <v>35117</v>
      </c>
      <c r="E2179" s="1">
        <v>410</v>
      </c>
      <c r="F2179" s="1">
        <v>364</v>
      </c>
      <c r="G2179" s="1">
        <v>1626946</v>
      </c>
      <c r="H2179" s="1">
        <v>0</v>
      </c>
    </row>
    <row r="2180" spans="1:8" x14ac:dyDescent="0.3">
      <c r="A2180" s="1" t="s">
        <v>560</v>
      </c>
      <c r="B2180" s="1" t="s">
        <v>561</v>
      </c>
      <c r="C2180" s="1">
        <v>2018</v>
      </c>
      <c r="D2180" s="1">
        <v>145064</v>
      </c>
      <c r="E2180" s="1">
        <v>894</v>
      </c>
      <c r="F2180" s="1">
        <v>1876</v>
      </c>
      <c r="G2180" s="1">
        <v>13711638</v>
      </c>
      <c r="H2180" s="1">
        <v>116</v>
      </c>
    </row>
    <row r="2181" spans="1:8" x14ac:dyDescent="0.3">
      <c r="A2181" s="1" t="s">
        <v>562</v>
      </c>
      <c r="B2181" s="1" t="s">
        <v>563</v>
      </c>
      <c r="C2181" s="1">
        <v>2018</v>
      </c>
      <c r="D2181" s="1">
        <v>28958</v>
      </c>
      <c r="E2181" s="1">
        <v>308</v>
      </c>
      <c r="F2181" s="1">
        <v>439</v>
      </c>
      <c r="G2181" s="1">
        <v>3061242</v>
      </c>
      <c r="H2181" s="1">
        <v>0</v>
      </c>
    </row>
    <row r="2182" spans="1:8" x14ac:dyDescent="0.3">
      <c r="A2182" s="1" t="s">
        <v>564</v>
      </c>
      <c r="B2182" s="1" t="s">
        <v>565</v>
      </c>
      <c r="C2182" s="1">
        <v>2018</v>
      </c>
      <c r="D2182" s="1">
        <v>22292</v>
      </c>
      <c r="E2182" s="1">
        <v>101</v>
      </c>
      <c r="F2182" s="1">
        <v>269</v>
      </c>
      <c r="G2182" s="1">
        <v>2563420</v>
      </c>
      <c r="H2182" s="1">
        <v>306</v>
      </c>
    </row>
    <row r="2183" spans="1:8" x14ac:dyDescent="0.3">
      <c r="A2183" s="1" t="s">
        <v>566</v>
      </c>
      <c r="B2183" s="1" t="s">
        <v>567</v>
      </c>
      <c r="C2183" s="1">
        <v>2018</v>
      </c>
      <c r="D2183" s="1">
        <v>58539</v>
      </c>
      <c r="E2183" s="1">
        <v>142</v>
      </c>
      <c r="F2183" s="1">
        <v>731</v>
      </c>
      <c r="G2183" s="1">
        <v>5039103</v>
      </c>
      <c r="H2183" s="1">
        <v>56</v>
      </c>
    </row>
    <row r="2184" spans="1:8" x14ac:dyDescent="0.3">
      <c r="A2184" s="1" t="s">
        <v>568</v>
      </c>
      <c r="B2184" s="1" t="s">
        <v>569</v>
      </c>
      <c r="C2184" s="1">
        <v>2018</v>
      </c>
      <c r="D2184" s="1">
        <v>48474</v>
      </c>
      <c r="E2184" s="1">
        <v>340</v>
      </c>
      <c r="F2184" s="1">
        <v>484</v>
      </c>
      <c r="G2184" s="1">
        <v>4198540</v>
      </c>
      <c r="H2184" s="1">
        <v>72</v>
      </c>
    </row>
    <row r="2185" spans="1:8" x14ac:dyDescent="0.3">
      <c r="A2185" s="1" t="s">
        <v>570</v>
      </c>
      <c r="B2185" s="1" t="s">
        <v>571</v>
      </c>
      <c r="C2185" s="1">
        <v>2018</v>
      </c>
      <c r="D2185" s="1">
        <v>31142</v>
      </c>
      <c r="E2185" s="1">
        <v>88</v>
      </c>
      <c r="F2185" s="1">
        <v>468</v>
      </c>
      <c r="G2185" s="1">
        <v>3311434</v>
      </c>
      <c r="H2185" s="1">
        <v>26</v>
      </c>
    </row>
    <row r="2186" spans="1:8" x14ac:dyDescent="0.3">
      <c r="A2186" s="1" t="s">
        <v>572</v>
      </c>
      <c r="B2186" s="1" t="s">
        <v>573</v>
      </c>
      <c r="C2186" s="1">
        <v>2018</v>
      </c>
      <c r="D2186" s="1">
        <v>92346</v>
      </c>
      <c r="E2186" s="1">
        <v>395</v>
      </c>
      <c r="F2186" s="1">
        <v>444</v>
      </c>
      <c r="G2186" s="1">
        <v>10608469</v>
      </c>
      <c r="H2186" s="1">
        <v>1450</v>
      </c>
    </row>
    <row r="2187" spans="1:8" x14ac:dyDescent="0.3">
      <c r="A2187" s="1" t="s">
        <v>574</v>
      </c>
      <c r="B2187" s="1" t="s">
        <v>575</v>
      </c>
      <c r="C2187" s="1">
        <v>2018</v>
      </c>
      <c r="D2187" s="1">
        <v>22746</v>
      </c>
      <c r="E2187" s="1">
        <v>86</v>
      </c>
      <c r="F2187" s="1">
        <v>244</v>
      </c>
      <c r="G2187" s="1">
        <v>1695078</v>
      </c>
      <c r="H2187" s="1">
        <v>0</v>
      </c>
    </row>
    <row r="2188" spans="1:8" x14ac:dyDescent="0.3">
      <c r="A2188" s="1" t="s">
        <v>576</v>
      </c>
      <c r="B2188" s="1" t="s">
        <v>577</v>
      </c>
      <c r="C2188" s="1">
        <v>2018</v>
      </c>
      <c r="D2188" s="1">
        <v>50696</v>
      </c>
      <c r="E2188" s="1">
        <v>570</v>
      </c>
      <c r="F2188" s="1">
        <v>917</v>
      </c>
      <c r="G2188" s="1">
        <v>3934801</v>
      </c>
      <c r="H2188" s="1">
        <v>68</v>
      </c>
    </row>
    <row r="2189" spans="1:8" x14ac:dyDescent="0.3">
      <c r="A2189" s="1" t="s">
        <v>578</v>
      </c>
      <c r="B2189" s="1" t="s">
        <v>579</v>
      </c>
      <c r="C2189" s="1">
        <v>2018</v>
      </c>
      <c r="D2189" s="1">
        <v>70516</v>
      </c>
      <c r="E2189" s="1">
        <v>195</v>
      </c>
      <c r="F2189" s="1">
        <v>1196</v>
      </c>
      <c r="G2189" s="1">
        <v>8902506</v>
      </c>
      <c r="H2189" s="1">
        <v>55</v>
      </c>
    </row>
    <row r="2190" spans="1:8" x14ac:dyDescent="0.3">
      <c r="A2190" s="1" t="s">
        <v>580</v>
      </c>
      <c r="B2190" s="1" t="s">
        <v>581</v>
      </c>
      <c r="C2190" s="1">
        <v>2018</v>
      </c>
      <c r="D2190" s="1">
        <v>20626</v>
      </c>
      <c r="E2190" s="1">
        <v>247</v>
      </c>
      <c r="F2190" s="1">
        <v>221</v>
      </c>
      <c r="G2190" s="1">
        <v>797675</v>
      </c>
      <c r="H2190" s="1">
        <v>0</v>
      </c>
    </row>
    <row r="2191" spans="1:8" x14ac:dyDescent="0.3">
      <c r="A2191" s="1" t="s">
        <v>582</v>
      </c>
      <c r="B2191" s="1" t="s">
        <v>583</v>
      </c>
      <c r="C2191" s="1">
        <v>2018</v>
      </c>
      <c r="D2191" s="1">
        <v>25187</v>
      </c>
      <c r="E2191" s="1">
        <v>196</v>
      </c>
      <c r="F2191" s="1">
        <v>51</v>
      </c>
      <c r="G2191" s="1">
        <v>395459</v>
      </c>
      <c r="H2191" s="1">
        <v>0</v>
      </c>
    </row>
    <row r="2192" spans="1:8" x14ac:dyDescent="0.3">
      <c r="A2192" s="1" t="s">
        <v>584</v>
      </c>
      <c r="B2192" s="1" t="s">
        <v>585</v>
      </c>
      <c r="C2192" s="1">
        <v>2018</v>
      </c>
      <c r="D2192" s="1">
        <v>30362</v>
      </c>
      <c r="E2192" s="1">
        <v>238</v>
      </c>
      <c r="F2192" s="1">
        <v>95</v>
      </c>
      <c r="G2192" s="1">
        <v>406957</v>
      </c>
      <c r="H2192" s="1">
        <v>18</v>
      </c>
    </row>
    <row r="2193" spans="1:8" x14ac:dyDescent="0.3">
      <c r="A2193" s="1" t="s">
        <v>586</v>
      </c>
      <c r="B2193" s="1" t="s">
        <v>587</v>
      </c>
      <c r="C2193" s="1">
        <v>2018</v>
      </c>
      <c r="D2193" s="1">
        <v>11025</v>
      </c>
      <c r="E2193" s="1">
        <v>37</v>
      </c>
      <c r="F2193" s="1">
        <v>10</v>
      </c>
      <c r="G2193" s="1">
        <v>93696</v>
      </c>
      <c r="H2193" s="1">
        <v>0</v>
      </c>
    </row>
    <row r="2194" spans="1:8" x14ac:dyDescent="0.3">
      <c r="A2194" s="1" t="s">
        <v>588</v>
      </c>
      <c r="B2194" s="1" t="s">
        <v>589</v>
      </c>
      <c r="C2194" s="1">
        <v>2018</v>
      </c>
      <c r="D2194" s="1">
        <v>61293</v>
      </c>
      <c r="E2194" s="1">
        <v>768</v>
      </c>
      <c r="F2194" s="1">
        <v>13</v>
      </c>
      <c r="G2194" s="1">
        <v>210184</v>
      </c>
      <c r="H2194" s="1">
        <v>4</v>
      </c>
    </row>
    <row r="2195" spans="1:8" x14ac:dyDescent="0.3">
      <c r="A2195" s="1" t="s">
        <v>590</v>
      </c>
      <c r="B2195" s="1" t="s">
        <v>591</v>
      </c>
      <c r="C2195" s="1">
        <v>2018</v>
      </c>
      <c r="D2195" s="1">
        <v>30179</v>
      </c>
      <c r="E2195" s="1">
        <v>172</v>
      </c>
      <c r="F2195" s="1">
        <v>75</v>
      </c>
      <c r="G2195" s="1">
        <v>381501</v>
      </c>
      <c r="H2195" s="1">
        <v>2</v>
      </c>
    </row>
    <row r="2196" spans="1:8" x14ac:dyDescent="0.3">
      <c r="A2196" s="1" t="s">
        <v>592</v>
      </c>
      <c r="B2196" s="1" t="s">
        <v>593</v>
      </c>
      <c r="C2196" s="1">
        <v>2018</v>
      </c>
      <c r="D2196" s="1">
        <v>18774</v>
      </c>
      <c r="E2196" s="1">
        <v>63</v>
      </c>
      <c r="F2196" s="1">
        <v>37</v>
      </c>
      <c r="G2196" s="1">
        <v>202994</v>
      </c>
      <c r="H2196" s="1">
        <v>2</v>
      </c>
    </row>
    <row r="2197" spans="1:8" x14ac:dyDescent="0.3">
      <c r="A2197" s="1" t="s">
        <v>594</v>
      </c>
      <c r="B2197" s="1" t="s">
        <v>595</v>
      </c>
      <c r="C2197" s="1">
        <v>2018</v>
      </c>
      <c r="D2197" s="1">
        <v>41262</v>
      </c>
      <c r="E2197" s="1">
        <v>185</v>
      </c>
      <c r="F2197" s="1">
        <v>97</v>
      </c>
      <c r="G2197" s="1">
        <v>836556</v>
      </c>
      <c r="H2197" s="1">
        <v>0</v>
      </c>
    </row>
    <row r="2198" spans="1:8" x14ac:dyDescent="0.3">
      <c r="A2198" s="1" t="s">
        <v>596</v>
      </c>
      <c r="B2198" s="1" t="s">
        <v>597</v>
      </c>
      <c r="C2198" s="1">
        <v>2018</v>
      </c>
      <c r="D2198" s="1">
        <v>14531</v>
      </c>
      <c r="E2198" s="1">
        <v>107</v>
      </c>
      <c r="F2198" s="1">
        <v>30</v>
      </c>
      <c r="G2198" s="1">
        <v>394736</v>
      </c>
      <c r="H2198" s="1">
        <v>10</v>
      </c>
    </row>
    <row r="2199" spans="1:8" x14ac:dyDescent="0.3">
      <c r="A2199" s="1" t="s">
        <v>598</v>
      </c>
      <c r="B2199" s="1" t="s">
        <v>599</v>
      </c>
      <c r="C2199" s="1">
        <v>2018</v>
      </c>
      <c r="D2199" s="1">
        <v>25827</v>
      </c>
      <c r="E2199" s="1">
        <v>96</v>
      </c>
      <c r="F2199" s="1">
        <v>47</v>
      </c>
      <c r="G2199" s="1">
        <v>457733</v>
      </c>
      <c r="H2199" s="1">
        <v>0</v>
      </c>
    </row>
    <row r="2200" spans="1:8" x14ac:dyDescent="0.3">
      <c r="A2200" s="1" t="s">
        <v>600</v>
      </c>
      <c r="B2200" s="1" t="s">
        <v>601</v>
      </c>
      <c r="C2200" s="1">
        <v>2018</v>
      </c>
      <c r="D2200" s="1">
        <v>30478</v>
      </c>
      <c r="E2200" s="1">
        <v>94</v>
      </c>
      <c r="F2200" s="1">
        <v>187</v>
      </c>
      <c r="G2200" s="1">
        <v>1045467</v>
      </c>
      <c r="H2200" s="1">
        <v>0</v>
      </c>
    </row>
    <row r="2201" spans="1:8" x14ac:dyDescent="0.3">
      <c r="A2201" s="1" t="s">
        <v>602</v>
      </c>
      <c r="B2201" s="1" t="s">
        <v>603</v>
      </c>
      <c r="C2201" s="1">
        <v>2018</v>
      </c>
      <c r="D2201" s="1">
        <v>32623</v>
      </c>
      <c r="E2201" s="1">
        <v>116</v>
      </c>
      <c r="F2201" s="1">
        <v>226</v>
      </c>
      <c r="G2201" s="1">
        <v>1595096</v>
      </c>
      <c r="H2201" s="1">
        <v>0</v>
      </c>
    </row>
    <row r="2202" spans="1:8" x14ac:dyDescent="0.3">
      <c r="A2202" s="1" t="s">
        <v>604</v>
      </c>
      <c r="B2202" s="1" t="s">
        <v>605</v>
      </c>
      <c r="C2202" s="1">
        <v>2018</v>
      </c>
      <c r="D2202" s="1">
        <v>24011</v>
      </c>
      <c r="E2202" s="1">
        <v>178</v>
      </c>
      <c r="F2202" s="1">
        <v>49</v>
      </c>
      <c r="G2202" s="1">
        <v>366136</v>
      </c>
      <c r="H2202" s="1">
        <v>0</v>
      </c>
    </row>
    <row r="2203" spans="1:8" x14ac:dyDescent="0.3">
      <c r="A2203" s="1" t="s">
        <v>606</v>
      </c>
      <c r="B2203" s="1" t="s">
        <v>607</v>
      </c>
      <c r="C2203" s="1">
        <v>2018</v>
      </c>
      <c r="D2203" s="1">
        <v>16553</v>
      </c>
      <c r="E2203" s="1">
        <v>112</v>
      </c>
      <c r="F2203" s="1">
        <v>28</v>
      </c>
      <c r="G2203" s="1">
        <v>113977</v>
      </c>
      <c r="H2203" s="1">
        <v>4</v>
      </c>
    </row>
    <row r="2204" spans="1:8" x14ac:dyDescent="0.3">
      <c r="A2204" s="1" t="s">
        <v>608</v>
      </c>
      <c r="B2204" s="1" t="s">
        <v>609</v>
      </c>
      <c r="C2204" s="1">
        <v>2018</v>
      </c>
      <c r="D2204" s="1">
        <v>85085</v>
      </c>
      <c r="E2204" s="1">
        <v>895</v>
      </c>
      <c r="F2204" s="1">
        <v>1673</v>
      </c>
      <c r="G2204" s="1">
        <v>2960459</v>
      </c>
      <c r="H2204" s="1">
        <v>42</v>
      </c>
    </row>
    <row r="2205" spans="1:8" x14ac:dyDescent="0.3">
      <c r="A2205" s="1" t="s">
        <v>610</v>
      </c>
      <c r="B2205" s="1" t="s">
        <v>611</v>
      </c>
      <c r="C2205" s="1">
        <v>2018</v>
      </c>
      <c r="D2205" s="1">
        <v>20893</v>
      </c>
      <c r="E2205" s="1">
        <v>95</v>
      </c>
      <c r="F2205" s="1">
        <v>216</v>
      </c>
      <c r="G2205" s="1">
        <v>2346173</v>
      </c>
      <c r="H2205" s="1">
        <v>14</v>
      </c>
    </row>
    <row r="2206" spans="1:8" x14ac:dyDescent="0.3">
      <c r="A2206" s="1" t="s">
        <v>612</v>
      </c>
      <c r="B2206" s="1" t="s">
        <v>613</v>
      </c>
      <c r="C2206" s="1">
        <v>2018</v>
      </c>
      <c r="D2206" s="1">
        <v>14409</v>
      </c>
      <c r="E2206" s="1">
        <v>45</v>
      </c>
      <c r="F2206" s="1">
        <v>189</v>
      </c>
      <c r="G2206" s="1">
        <v>1225198</v>
      </c>
      <c r="H2206" s="1">
        <v>10</v>
      </c>
    </row>
    <row r="2207" spans="1:8" x14ac:dyDescent="0.3">
      <c r="A2207" s="1" t="s">
        <v>614</v>
      </c>
      <c r="B2207" s="1" t="s">
        <v>615</v>
      </c>
      <c r="C2207" s="1">
        <v>2018</v>
      </c>
      <c r="D2207" s="1">
        <v>22007</v>
      </c>
      <c r="E2207" s="1">
        <v>238</v>
      </c>
      <c r="F2207" s="1">
        <v>273</v>
      </c>
      <c r="G2207" s="1">
        <v>948231</v>
      </c>
      <c r="H2207" s="1">
        <v>12</v>
      </c>
    </row>
    <row r="2208" spans="1:8" x14ac:dyDescent="0.3">
      <c r="A2208" s="1" t="s">
        <v>616</v>
      </c>
      <c r="B2208" s="1" t="s">
        <v>617</v>
      </c>
      <c r="C2208" s="1">
        <v>2018</v>
      </c>
      <c r="D2208" s="1">
        <v>18356</v>
      </c>
      <c r="E2208" s="1">
        <v>108</v>
      </c>
      <c r="F2208" s="1">
        <v>105</v>
      </c>
      <c r="G2208" s="1">
        <v>501478</v>
      </c>
      <c r="H2208" s="1">
        <v>10</v>
      </c>
    </row>
    <row r="2209" spans="1:8" x14ac:dyDescent="0.3">
      <c r="A2209" s="1" t="s">
        <v>618</v>
      </c>
      <c r="B2209" s="1" t="s">
        <v>619</v>
      </c>
      <c r="C2209" s="1">
        <v>2018</v>
      </c>
      <c r="D2209" s="1">
        <v>32906</v>
      </c>
      <c r="E2209" s="1">
        <v>319</v>
      </c>
      <c r="F2209" s="1">
        <v>519</v>
      </c>
      <c r="G2209" s="1">
        <v>1350284</v>
      </c>
      <c r="H2209" s="1">
        <v>21</v>
      </c>
    </row>
    <row r="2210" spans="1:8" x14ac:dyDescent="0.3">
      <c r="A2210" s="1" t="s">
        <v>620</v>
      </c>
      <c r="B2210" s="1" t="s">
        <v>621</v>
      </c>
      <c r="C2210" s="1">
        <v>2018</v>
      </c>
      <c r="D2210" s="1">
        <v>21044</v>
      </c>
      <c r="E2210" s="1">
        <v>135</v>
      </c>
      <c r="F2210" s="1">
        <v>432</v>
      </c>
      <c r="G2210" s="1">
        <v>1398455</v>
      </c>
      <c r="H2210" s="1">
        <v>13</v>
      </c>
    </row>
    <row r="2211" spans="1:8" x14ac:dyDescent="0.3">
      <c r="A2211" s="1" t="s">
        <v>622</v>
      </c>
      <c r="B2211" s="1" t="s">
        <v>623</v>
      </c>
      <c r="C2211" s="1">
        <v>2018</v>
      </c>
      <c r="D2211" s="1">
        <v>30830</v>
      </c>
      <c r="E2211" s="1">
        <v>812</v>
      </c>
      <c r="F2211" s="1">
        <v>766</v>
      </c>
      <c r="G2211" s="1">
        <v>789399</v>
      </c>
      <c r="H2211" s="1">
        <v>51</v>
      </c>
    </row>
    <row r="2212" spans="1:8" x14ac:dyDescent="0.3">
      <c r="A2212" s="1" t="s">
        <v>624</v>
      </c>
      <c r="B2212" s="1" t="s">
        <v>625</v>
      </c>
      <c r="C2212" s="1">
        <v>2018</v>
      </c>
      <c r="D2212" s="1">
        <v>23710</v>
      </c>
      <c r="E2212" s="1">
        <v>98</v>
      </c>
      <c r="F2212" s="1">
        <v>263</v>
      </c>
      <c r="G2212" s="1">
        <v>1608941</v>
      </c>
      <c r="H2212" s="1">
        <v>2</v>
      </c>
    </row>
    <row r="2213" spans="1:8" x14ac:dyDescent="0.3">
      <c r="A2213" s="1" t="s">
        <v>626</v>
      </c>
      <c r="B2213" s="1" t="s">
        <v>627</v>
      </c>
      <c r="C2213" s="1">
        <v>2018</v>
      </c>
      <c r="D2213" s="1">
        <v>15076</v>
      </c>
      <c r="E2213" s="1">
        <v>114</v>
      </c>
      <c r="F2213" s="1">
        <v>158</v>
      </c>
      <c r="G2213" s="1">
        <v>1089202</v>
      </c>
      <c r="H2213" s="1">
        <v>25</v>
      </c>
    </row>
    <row r="2214" spans="1:8" x14ac:dyDescent="0.3">
      <c r="A2214" s="1" t="s">
        <v>628</v>
      </c>
      <c r="B2214" s="1" t="s">
        <v>629</v>
      </c>
      <c r="C2214" s="1">
        <v>2018</v>
      </c>
      <c r="D2214" s="1">
        <v>18213</v>
      </c>
      <c r="E2214" s="1">
        <v>87</v>
      </c>
      <c r="F2214" s="1">
        <v>153</v>
      </c>
      <c r="G2214" s="1">
        <v>1437691</v>
      </c>
      <c r="H2214" s="1">
        <v>2</v>
      </c>
    </row>
    <row r="2215" spans="1:8" x14ac:dyDescent="0.3">
      <c r="A2215" s="1" t="s">
        <v>630</v>
      </c>
      <c r="B2215" s="1" t="s">
        <v>631</v>
      </c>
      <c r="C2215" s="1">
        <v>2018</v>
      </c>
      <c r="D2215" s="1">
        <v>10847</v>
      </c>
      <c r="E2215" s="1">
        <v>88</v>
      </c>
      <c r="F2215" s="1">
        <v>151</v>
      </c>
      <c r="G2215" s="1">
        <v>573101</v>
      </c>
      <c r="H2215" s="1">
        <v>5</v>
      </c>
    </row>
    <row r="2216" spans="1:8" x14ac:dyDescent="0.3">
      <c r="A2216" s="1" t="s">
        <v>632</v>
      </c>
      <c r="B2216" s="1" t="s">
        <v>633</v>
      </c>
      <c r="C2216" s="1">
        <v>2018</v>
      </c>
      <c r="D2216" s="1">
        <v>13737</v>
      </c>
      <c r="E2216" s="1">
        <v>184</v>
      </c>
      <c r="F2216" s="1">
        <v>98</v>
      </c>
      <c r="G2216" s="1">
        <v>340638</v>
      </c>
      <c r="H2216" s="1">
        <v>0</v>
      </c>
    </row>
    <row r="2217" spans="1:8" x14ac:dyDescent="0.3">
      <c r="A2217" s="1" t="s">
        <v>634</v>
      </c>
      <c r="B2217" s="1" t="s">
        <v>635</v>
      </c>
      <c r="C2217" s="1">
        <v>2018</v>
      </c>
      <c r="D2217" s="1">
        <v>11981</v>
      </c>
      <c r="E2217" s="1">
        <v>132</v>
      </c>
      <c r="F2217" s="1">
        <v>195</v>
      </c>
      <c r="G2217" s="1">
        <v>1124428</v>
      </c>
      <c r="H2217" s="1">
        <v>16</v>
      </c>
    </row>
    <row r="2218" spans="1:8" x14ac:dyDescent="0.3">
      <c r="A2218" s="1" t="s">
        <v>636</v>
      </c>
      <c r="B2218" s="1" t="s">
        <v>637</v>
      </c>
      <c r="C2218" s="1">
        <v>2018</v>
      </c>
      <c r="D2218" s="1">
        <v>43168</v>
      </c>
      <c r="E2218" s="1">
        <v>1172</v>
      </c>
      <c r="F2218" s="1">
        <v>984</v>
      </c>
      <c r="G2218" s="1">
        <v>1903240</v>
      </c>
      <c r="H2218" s="1">
        <v>20</v>
      </c>
    </row>
    <row r="2219" spans="1:8" x14ac:dyDescent="0.3">
      <c r="A2219" s="1" t="s">
        <v>638</v>
      </c>
      <c r="B2219" s="1" t="s">
        <v>639</v>
      </c>
      <c r="C2219" s="1">
        <v>2018</v>
      </c>
      <c r="D2219" s="1">
        <v>36713</v>
      </c>
      <c r="E2219" s="1">
        <v>285</v>
      </c>
      <c r="F2219" s="1">
        <v>505</v>
      </c>
      <c r="G2219" s="1">
        <v>1256793</v>
      </c>
      <c r="H2219" s="1">
        <v>11</v>
      </c>
    </row>
    <row r="2220" spans="1:8" x14ac:dyDescent="0.3">
      <c r="A2220" s="1" t="s">
        <v>640</v>
      </c>
      <c r="B2220" s="1" t="s">
        <v>641</v>
      </c>
      <c r="C2220" s="1">
        <v>2018</v>
      </c>
      <c r="D2220" s="1">
        <v>19306</v>
      </c>
      <c r="E2220" s="1">
        <v>112</v>
      </c>
      <c r="F2220" s="1">
        <v>220</v>
      </c>
      <c r="G2220" s="1">
        <v>1580578</v>
      </c>
      <c r="H2220" s="1">
        <v>40</v>
      </c>
    </row>
    <row r="2221" spans="1:8" x14ac:dyDescent="0.3">
      <c r="A2221" s="1" t="s">
        <v>642</v>
      </c>
      <c r="B2221" s="1" t="s">
        <v>643</v>
      </c>
      <c r="C2221" s="1">
        <v>2018</v>
      </c>
      <c r="D2221" s="1">
        <v>23278</v>
      </c>
      <c r="E2221" s="1">
        <v>267</v>
      </c>
      <c r="F2221" s="1">
        <v>217</v>
      </c>
      <c r="G2221" s="1">
        <v>675283</v>
      </c>
      <c r="H2221" s="1">
        <v>30</v>
      </c>
    </row>
    <row r="2222" spans="1:8" x14ac:dyDescent="0.3">
      <c r="A2222" s="1" t="s">
        <v>644</v>
      </c>
      <c r="B2222" s="1" t="s">
        <v>645</v>
      </c>
      <c r="C2222" s="1">
        <v>2018</v>
      </c>
      <c r="D2222" s="1">
        <v>9198</v>
      </c>
      <c r="E2222" s="1">
        <v>37</v>
      </c>
      <c r="F2222" s="1">
        <v>129</v>
      </c>
      <c r="G2222" s="1">
        <v>1579058</v>
      </c>
      <c r="H2222" s="1">
        <v>16</v>
      </c>
    </row>
    <row r="2223" spans="1:8" x14ac:dyDescent="0.3">
      <c r="A2223" s="1" t="s">
        <v>646</v>
      </c>
      <c r="B2223" s="1" t="s">
        <v>647</v>
      </c>
      <c r="C2223" s="1">
        <v>2018</v>
      </c>
      <c r="D2223" s="1">
        <v>8462</v>
      </c>
      <c r="E2223" s="1">
        <v>33</v>
      </c>
      <c r="F2223" s="1">
        <v>91</v>
      </c>
      <c r="G2223" s="1">
        <v>627672</v>
      </c>
      <c r="H2223" s="1">
        <v>0</v>
      </c>
    </row>
    <row r="2224" spans="1:8" x14ac:dyDescent="0.3">
      <c r="A2224" s="1" t="s">
        <v>648</v>
      </c>
      <c r="B2224" s="1" t="s">
        <v>649</v>
      </c>
      <c r="C2224" s="1">
        <v>2018</v>
      </c>
      <c r="D2224" s="1">
        <v>47039</v>
      </c>
      <c r="E2224" s="1">
        <v>178</v>
      </c>
      <c r="F2224" s="1">
        <v>965</v>
      </c>
      <c r="G2224" s="1">
        <v>5040760</v>
      </c>
      <c r="H2224" s="1">
        <v>6</v>
      </c>
    </row>
    <row r="2225" spans="1:8" x14ac:dyDescent="0.3">
      <c r="A2225" s="1" t="s">
        <v>650</v>
      </c>
      <c r="B2225" s="1" t="s">
        <v>651</v>
      </c>
      <c r="C2225" s="1">
        <v>2018</v>
      </c>
      <c r="D2225" s="1">
        <v>78184</v>
      </c>
      <c r="E2225" s="1">
        <v>663</v>
      </c>
      <c r="F2225" s="1">
        <v>1984</v>
      </c>
      <c r="G2225" s="1">
        <v>4992756</v>
      </c>
      <c r="H2225" s="1">
        <v>20</v>
      </c>
    </row>
    <row r="2226" spans="1:8" x14ac:dyDescent="0.3">
      <c r="A2226" s="1" t="s">
        <v>652</v>
      </c>
      <c r="B2226" s="1" t="s">
        <v>653</v>
      </c>
      <c r="C2226" s="1">
        <v>2018</v>
      </c>
      <c r="D2226" s="1">
        <v>14908</v>
      </c>
      <c r="E2226" s="1">
        <v>114</v>
      </c>
      <c r="F2226" s="1">
        <v>94</v>
      </c>
      <c r="G2226" s="1">
        <v>839547</v>
      </c>
      <c r="H2226" s="1">
        <v>48</v>
      </c>
    </row>
    <row r="2227" spans="1:8" x14ac:dyDescent="0.3">
      <c r="A2227" s="1" t="s">
        <v>654</v>
      </c>
      <c r="B2227" s="1" t="s">
        <v>655</v>
      </c>
      <c r="C2227" s="1">
        <v>2018</v>
      </c>
      <c r="D2227" s="1">
        <v>27535</v>
      </c>
      <c r="E2227" s="1">
        <v>224</v>
      </c>
      <c r="F2227" s="1">
        <v>95</v>
      </c>
      <c r="G2227" s="1">
        <v>1262920</v>
      </c>
      <c r="H2227" s="1">
        <v>24</v>
      </c>
    </row>
    <row r="2228" spans="1:8" x14ac:dyDescent="0.3">
      <c r="A2228" s="1" t="s">
        <v>656</v>
      </c>
      <c r="B2228" s="1" t="s">
        <v>657</v>
      </c>
      <c r="C2228" s="1">
        <v>2018</v>
      </c>
      <c r="D2228" s="1">
        <v>50260</v>
      </c>
      <c r="E2228" s="1">
        <v>772</v>
      </c>
      <c r="F2228" s="1">
        <v>351</v>
      </c>
      <c r="G2228" s="1">
        <v>6432169</v>
      </c>
      <c r="H2228" s="1">
        <v>15</v>
      </c>
    </row>
    <row r="2229" spans="1:8" x14ac:dyDescent="0.3">
      <c r="A2229" s="1" t="s">
        <v>658</v>
      </c>
      <c r="B2229" s="1" t="s">
        <v>659</v>
      </c>
      <c r="C2229" s="1">
        <v>2018</v>
      </c>
      <c r="D2229" s="1">
        <v>22098</v>
      </c>
      <c r="E2229" s="1">
        <v>274</v>
      </c>
      <c r="F2229" s="1">
        <v>178</v>
      </c>
      <c r="G2229" s="1">
        <v>928308</v>
      </c>
      <c r="H2229" s="1">
        <v>14</v>
      </c>
    </row>
    <row r="2230" spans="1:8" x14ac:dyDescent="0.3">
      <c r="A2230" s="1" t="s">
        <v>660</v>
      </c>
      <c r="B2230" s="1" t="s">
        <v>292</v>
      </c>
      <c r="C2230" s="1">
        <v>2018</v>
      </c>
      <c r="D2230" s="1">
        <v>14990</v>
      </c>
      <c r="E2230" s="1">
        <v>266</v>
      </c>
      <c r="F2230" s="1">
        <v>126</v>
      </c>
      <c r="G2230" s="1">
        <v>951214</v>
      </c>
      <c r="H2230" s="1">
        <v>0</v>
      </c>
    </row>
    <row r="2231" spans="1:8" x14ac:dyDescent="0.3">
      <c r="A2231" s="1" t="s">
        <v>661</v>
      </c>
      <c r="B2231" s="1" t="s">
        <v>662</v>
      </c>
      <c r="C2231" s="1">
        <v>2018</v>
      </c>
      <c r="D2231" s="1">
        <v>21775</v>
      </c>
      <c r="E2231" s="1">
        <v>504</v>
      </c>
      <c r="F2231" s="1">
        <v>165</v>
      </c>
      <c r="G2231" s="1">
        <v>857690</v>
      </c>
      <c r="H2231" s="1">
        <v>0</v>
      </c>
    </row>
    <row r="2232" spans="1:8" x14ac:dyDescent="0.3">
      <c r="A2232" s="1" t="s">
        <v>663</v>
      </c>
      <c r="B2232" s="1" t="s">
        <v>664</v>
      </c>
      <c r="C2232" s="1">
        <v>2018</v>
      </c>
      <c r="D2232" s="1">
        <v>23274</v>
      </c>
      <c r="E2232" s="1">
        <v>180</v>
      </c>
      <c r="F2232" s="1">
        <v>17</v>
      </c>
      <c r="G2232" s="1">
        <v>137764</v>
      </c>
      <c r="H2232" s="1">
        <v>4</v>
      </c>
    </row>
    <row r="2233" spans="1:8" x14ac:dyDescent="0.3">
      <c r="A2233" s="1" t="s">
        <v>665</v>
      </c>
      <c r="B2233" s="1" t="s">
        <v>666</v>
      </c>
      <c r="C2233" s="1">
        <v>2018</v>
      </c>
      <c r="D2233" s="1">
        <v>17513</v>
      </c>
      <c r="E2233" s="1">
        <v>289</v>
      </c>
      <c r="F2233" s="1">
        <v>79</v>
      </c>
      <c r="G2233" s="1">
        <v>527769</v>
      </c>
      <c r="H2233" s="1">
        <v>3</v>
      </c>
    </row>
    <row r="2234" spans="1:8" x14ac:dyDescent="0.3">
      <c r="A2234" s="1" t="s">
        <v>667</v>
      </c>
      <c r="B2234" s="1" t="s">
        <v>668</v>
      </c>
      <c r="C2234" s="1">
        <v>2018</v>
      </c>
      <c r="D2234" s="1">
        <v>29290</v>
      </c>
      <c r="E2234" s="1">
        <v>160</v>
      </c>
      <c r="F2234" s="1">
        <v>69</v>
      </c>
      <c r="G2234" s="1">
        <v>1400726</v>
      </c>
      <c r="H2234" s="1">
        <v>2</v>
      </c>
    </row>
    <row r="2235" spans="1:8" x14ac:dyDescent="0.3">
      <c r="A2235" s="1" t="s">
        <v>669</v>
      </c>
      <c r="B2235" s="1" t="s">
        <v>670</v>
      </c>
      <c r="C2235" s="1">
        <v>2018</v>
      </c>
      <c r="D2235" s="1">
        <v>37099</v>
      </c>
      <c r="E2235" s="1">
        <v>501</v>
      </c>
      <c r="F2235" s="1">
        <v>80</v>
      </c>
      <c r="G2235" s="1">
        <v>423998</v>
      </c>
      <c r="H2235" s="1">
        <v>14</v>
      </c>
    </row>
    <row r="2236" spans="1:8" x14ac:dyDescent="0.3">
      <c r="A2236" s="1" t="s">
        <v>671</v>
      </c>
      <c r="B2236" s="1" t="s">
        <v>672</v>
      </c>
      <c r="C2236" s="1">
        <v>2018</v>
      </c>
      <c r="D2236" s="1">
        <v>24971</v>
      </c>
      <c r="E2236" s="1">
        <v>323</v>
      </c>
      <c r="F2236" s="1">
        <v>244</v>
      </c>
      <c r="G2236" s="1">
        <v>1973118</v>
      </c>
      <c r="H2236" s="1">
        <v>14</v>
      </c>
    </row>
    <row r="2237" spans="1:8" x14ac:dyDescent="0.3">
      <c r="A2237" s="1" t="s">
        <v>673</v>
      </c>
      <c r="B2237" s="1" t="s">
        <v>674</v>
      </c>
      <c r="C2237" s="1">
        <v>2018</v>
      </c>
      <c r="D2237" s="1">
        <v>23783</v>
      </c>
      <c r="E2237" s="1">
        <v>311</v>
      </c>
      <c r="F2237" s="1">
        <v>156</v>
      </c>
      <c r="G2237" s="1">
        <v>1758668</v>
      </c>
      <c r="H2237" s="1">
        <v>5</v>
      </c>
    </row>
    <row r="2238" spans="1:8" x14ac:dyDescent="0.3">
      <c r="A2238" s="1" t="s">
        <v>675</v>
      </c>
      <c r="B2238" s="1" t="s">
        <v>676</v>
      </c>
      <c r="C2238" s="1">
        <v>2018</v>
      </c>
      <c r="D2238" s="1">
        <v>16159</v>
      </c>
      <c r="E2238" s="1">
        <v>470</v>
      </c>
      <c r="F2238" s="1">
        <v>168</v>
      </c>
      <c r="G2238" s="1">
        <v>124009</v>
      </c>
      <c r="H2238" s="1">
        <v>0</v>
      </c>
    </row>
    <row r="2239" spans="1:8" x14ac:dyDescent="0.3">
      <c r="A2239" s="1" t="s">
        <v>677</v>
      </c>
      <c r="B2239" s="1" t="s">
        <v>678</v>
      </c>
      <c r="C2239" s="1">
        <v>2018</v>
      </c>
      <c r="D2239" s="1">
        <v>12585</v>
      </c>
      <c r="E2239" s="1">
        <v>124</v>
      </c>
      <c r="F2239" s="1">
        <v>95</v>
      </c>
      <c r="G2239" s="1">
        <v>678037</v>
      </c>
      <c r="H2239" s="1">
        <v>12</v>
      </c>
    </row>
    <row r="2240" spans="1:8" x14ac:dyDescent="0.3">
      <c r="A2240" s="1" t="s">
        <v>679</v>
      </c>
      <c r="B2240" s="1" t="s">
        <v>680</v>
      </c>
      <c r="C2240" s="1">
        <v>2018</v>
      </c>
      <c r="D2240" s="1">
        <v>24201</v>
      </c>
      <c r="E2240" s="1">
        <v>392</v>
      </c>
      <c r="F2240" s="1">
        <v>192</v>
      </c>
      <c r="G2240" s="1">
        <v>378545</v>
      </c>
      <c r="H2240" s="1">
        <v>3</v>
      </c>
    </row>
    <row r="2241" spans="1:8" x14ac:dyDescent="0.3">
      <c r="A2241" s="1" t="s">
        <v>681</v>
      </c>
      <c r="B2241" s="1" t="s">
        <v>682</v>
      </c>
      <c r="C2241" s="1">
        <v>2018</v>
      </c>
      <c r="D2241" s="1">
        <v>19538</v>
      </c>
      <c r="E2241" s="1">
        <v>341</v>
      </c>
      <c r="F2241" s="1">
        <v>256</v>
      </c>
      <c r="G2241" s="1">
        <v>720836</v>
      </c>
      <c r="H2241" s="1">
        <v>6</v>
      </c>
    </row>
    <row r="2242" spans="1:8" x14ac:dyDescent="0.3">
      <c r="A2242" s="1" t="s">
        <v>683</v>
      </c>
      <c r="B2242" s="1" t="s">
        <v>314</v>
      </c>
      <c r="C2242" s="1">
        <v>2018</v>
      </c>
      <c r="D2242" s="1">
        <v>52411</v>
      </c>
      <c r="E2242" s="1">
        <v>767</v>
      </c>
      <c r="F2242" s="1">
        <v>571</v>
      </c>
      <c r="G2242" s="1">
        <v>3318275</v>
      </c>
      <c r="H2242" s="1">
        <v>78</v>
      </c>
    </row>
    <row r="2243" spans="1:8" x14ac:dyDescent="0.3">
      <c r="A2243" s="1" t="s">
        <v>684</v>
      </c>
      <c r="B2243" s="1" t="s">
        <v>685</v>
      </c>
      <c r="C2243" s="1">
        <v>2018</v>
      </c>
      <c r="D2243" s="1">
        <v>17065</v>
      </c>
      <c r="E2243" s="1">
        <v>215</v>
      </c>
      <c r="F2243" s="1">
        <v>98</v>
      </c>
      <c r="G2243" s="1">
        <v>642005</v>
      </c>
      <c r="H2243" s="1">
        <v>0</v>
      </c>
    </row>
    <row r="2244" spans="1:8" x14ac:dyDescent="0.3">
      <c r="A2244" s="1" t="s">
        <v>686</v>
      </c>
      <c r="B2244" s="1" t="s">
        <v>687</v>
      </c>
      <c r="C2244" s="1">
        <v>2018</v>
      </c>
      <c r="D2244" s="1">
        <v>46186</v>
      </c>
      <c r="E2244" s="1">
        <v>242</v>
      </c>
      <c r="F2244" s="1">
        <v>588</v>
      </c>
      <c r="G2244" s="1">
        <v>2865636</v>
      </c>
      <c r="H2244" s="1">
        <v>104</v>
      </c>
    </row>
    <row r="2245" spans="1:8" x14ac:dyDescent="0.3">
      <c r="A2245" s="1" t="s">
        <v>688</v>
      </c>
      <c r="B2245" s="1" t="s">
        <v>689</v>
      </c>
      <c r="C2245" s="1">
        <v>2018</v>
      </c>
      <c r="D2245" s="1">
        <v>18848</v>
      </c>
      <c r="E2245" s="1">
        <v>179</v>
      </c>
      <c r="F2245" s="1">
        <v>58</v>
      </c>
      <c r="G2245" s="1">
        <v>1202891</v>
      </c>
      <c r="H2245" s="1">
        <v>0</v>
      </c>
    </row>
    <row r="2246" spans="1:8" x14ac:dyDescent="0.3">
      <c r="A2246" s="1" t="s">
        <v>690</v>
      </c>
      <c r="B2246" s="1" t="s">
        <v>691</v>
      </c>
      <c r="C2246" s="1">
        <v>2018</v>
      </c>
      <c r="D2246" s="1">
        <v>133915</v>
      </c>
      <c r="E2246" s="1">
        <v>4949</v>
      </c>
      <c r="F2246" s="1">
        <v>3397</v>
      </c>
      <c r="G2246" s="1">
        <v>3102408</v>
      </c>
      <c r="H2246" s="1">
        <v>34</v>
      </c>
    </row>
    <row r="2247" spans="1:8" x14ac:dyDescent="0.3">
      <c r="A2247" s="1" t="s">
        <v>692</v>
      </c>
      <c r="B2247" s="1" t="s">
        <v>693</v>
      </c>
      <c r="C2247" s="1">
        <v>2018</v>
      </c>
      <c r="D2247" s="1">
        <v>19407</v>
      </c>
      <c r="E2247" s="1">
        <v>253</v>
      </c>
      <c r="F2247" s="1">
        <v>175</v>
      </c>
      <c r="G2247" s="1">
        <v>721511</v>
      </c>
      <c r="H2247" s="1">
        <v>0</v>
      </c>
    </row>
    <row r="2248" spans="1:8" x14ac:dyDescent="0.3">
      <c r="A2248" s="1" t="s">
        <v>694</v>
      </c>
      <c r="B2248" s="1" t="s">
        <v>695</v>
      </c>
      <c r="C2248" s="1">
        <v>2018</v>
      </c>
      <c r="D2248" s="1">
        <v>18664</v>
      </c>
      <c r="E2248" s="1">
        <v>157</v>
      </c>
      <c r="F2248" s="1">
        <v>49</v>
      </c>
      <c r="G2248" s="1">
        <v>770330</v>
      </c>
      <c r="H2248" s="1">
        <v>0</v>
      </c>
    </row>
    <row r="2249" spans="1:8" x14ac:dyDescent="0.3">
      <c r="A2249" s="1" t="s">
        <v>696</v>
      </c>
      <c r="B2249" s="1" t="s">
        <v>697</v>
      </c>
      <c r="C2249" s="1">
        <v>2018</v>
      </c>
      <c r="D2249" s="1">
        <v>29935</v>
      </c>
      <c r="E2249" s="1">
        <v>553</v>
      </c>
      <c r="F2249" s="1">
        <v>290</v>
      </c>
      <c r="G2249" s="1">
        <v>1283490</v>
      </c>
      <c r="H2249" s="1">
        <v>29</v>
      </c>
    </row>
    <row r="2250" spans="1:8" x14ac:dyDescent="0.3">
      <c r="A2250" s="1" t="s">
        <v>698</v>
      </c>
      <c r="B2250" s="1" t="s">
        <v>45</v>
      </c>
      <c r="C2250" s="1">
        <v>2018</v>
      </c>
      <c r="D2250" s="1">
        <v>19062</v>
      </c>
      <c r="E2250" s="1">
        <v>604</v>
      </c>
      <c r="F2250" s="1">
        <v>337</v>
      </c>
      <c r="G2250" s="1">
        <v>361630</v>
      </c>
      <c r="H2250" s="1">
        <v>6</v>
      </c>
    </row>
    <row r="2251" spans="1:8" x14ac:dyDescent="0.3">
      <c r="A2251" s="1" t="s">
        <v>699</v>
      </c>
      <c r="B2251" s="1" t="s">
        <v>700</v>
      </c>
      <c r="C2251" s="1">
        <v>2018</v>
      </c>
      <c r="D2251" s="1">
        <v>20044</v>
      </c>
      <c r="E2251" s="1">
        <v>352</v>
      </c>
      <c r="F2251" s="1">
        <v>328</v>
      </c>
      <c r="G2251" s="1">
        <v>1601229</v>
      </c>
      <c r="H2251" s="1">
        <v>0</v>
      </c>
    </row>
    <row r="2252" spans="1:8" x14ac:dyDescent="0.3">
      <c r="A2252" s="1" t="s">
        <v>701</v>
      </c>
      <c r="B2252" s="1" t="s">
        <v>702</v>
      </c>
      <c r="C2252" s="1">
        <v>2018</v>
      </c>
      <c r="D2252" s="1">
        <v>26480</v>
      </c>
      <c r="E2252" s="1">
        <v>169</v>
      </c>
      <c r="F2252" s="1">
        <v>132</v>
      </c>
      <c r="G2252" s="1">
        <v>771790</v>
      </c>
      <c r="H2252" s="1">
        <v>0</v>
      </c>
    </row>
    <row r="2253" spans="1:8" x14ac:dyDescent="0.3">
      <c r="A2253" s="1" t="s">
        <v>703</v>
      </c>
      <c r="B2253" s="1" t="s">
        <v>704</v>
      </c>
      <c r="C2253" s="1">
        <v>2018</v>
      </c>
      <c r="D2253" s="1">
        <v>22656</v>
      </c>
      <c r="E2253" s="1">
        <v>411</v>
      </c>
      <c r="F2253" s="1">
        <v>189</v>
      </c>
      <c r="G2253" s="1">
        <v>1369494</v>
      </c>
      <c r="H2253" s="1">
        <v>8</v>
      </c>
    </row>
    <row r="2254" spans="1:8" x14ac:dyDescent="0.3">
      <c r="A2254" s="1" t="s">
        <v>705</v>
      </c>
      <c r="B2254" s="1" t="s">
        <v>706</v>
      </c>
      <c r="C2254" s="1">
        <v>2018</v>
      </c>
      <c r="D2254" s="1">
        <v>16312</v>
      </c>
      <c r="E2254" s="1">
        <v>222</v>
      </c>
      <c r="F2254" s="1">
        <v>111</v>
      </c>
      <c r="G2254" s="1">
        <v>492448</v>
      </c>
      <c r="H2254" s="1">
        <v>16</v>
      </c>
    </row>
    <row r="2255" spans="1:8" x14ac:dyDescent="0.3">
      <c r="A2255" s="1" t="s">
        <v>707</v>
      </c>
      <c r="B2255" s="1" t="s">
        <v>708</v>
      </c>
      <c r="C2255" s="1">
        <v>2018</v>
      </c>
      <c r="D2255" s="1">
        <v>27084</v>
      </c>
      <c r="E2255" s="1">
        <v>594</v>
      </c>
      <c r="F2255" s="1">
        <v>656</v>
      </c>
      <c r="G2255" s="1">
        <v>1661452</v>
      </c>
      <c r="H2255" s="1">
        <v>0</v>
      </c>
    </row>
    <row r="2256" spans="1:8" x14ac:dyDescent="0.3">
      <c r="A2256" s="1" t="s">
        <v>709</v>
      </c>
      <c r="B2256" s="1" t="s">
        <v>710</v>
      </c>
      <c r="C2256" s="1">
        <v>2018</v>
      </c>
      <c r="D2256" s="1">
        <v>22205</v>
      </c>
      <c r="E2256" s="1">
        <v>202</v>
      </c>
      <c r="F2256" s="1">
        <v>181</v>
      </c>
      <c r="G2256" s="1">
        <v>2234851</v>
      </c>
      <c r="H2256" s="1">
        <v>0</v>
      </c>
    </row>
    <row r="2257" spans="1:8" x14ac:dyDescent="0.3">
      <c r="A2257" s="1" t="s">
        <v>711</v>
      </c>
      <c r="B2257" s="1" t="s">
        <v>712</v>
      </c>
      <c r="C2257" s="1">
        <v>2018</v>
      </c>
      <c r="D2257" s="1">
        <v>43993</v>
      </c>
      <c r="E2257" s="1">
        <v>360</v>
      </c>
      <c r="F2257" s="1">
        <v>653</v>
      </c>
      <c r="G2257" s="1">
        <v>4105275</v>
      </c>
      <c r="H2257" s="1">
        <v>180</v>
      </c>
    </row>
    <row r="2258" spans="1:8" x14ac:dyDescent="0.3">
      <c r="A2258" s="1" t="s">
        <v>713</v>
      </c>
      <c r="B2258" s="1" t="s">
        <v>714</v>
      </c>
      <c r="C2258" s="1">
        <v>2018</v>
      </c>
      <c r="D2258" s="1">
        <v>29681</v>
      </c>
      <c r="E2258" s="1">
        <v>77</v>
      </c>
      <c r="F2258" s="1">
        <v>432</v>
      </c>
      <c r="G2258" s="1">
        <v>2749965</v>
      </c>
      <c r="H2258" s="1">
        <v>0</v>
      </c>
    </row>
    <row r="2259" spans="1:8" x14ac:dyDescent="0.3">
      <c r="A2259" s="1" t="s">
        <v>715</v>
      </c>
      <c r="B2259" s="1" t="s">
        <v>716</v>
      </c>
      <c r="C2259" s="1">
        <v>2018</v>
      </c>
      <c r="D2259" s="1">
        <v>24740</v>
      </c>
      <c r="E2259" s="1">
        <v>326</v>
      </c>
      <c r="F2259" s="1">
        <v>346</v>
      </c>
      <c r="G2259" s="1">
        <v>1537002</v>
      </c>
      <c r="H2259" s="1">
        <v>84</v>
      </c>
    </row>
    <row r="2260" spans="1:8" x14ac:dyDescent="0.3">
      <c r="A2260" s="1" t="s">
        <v>717</v>
      </c>
      <c r="B2260" s="1" t="s">
        <v>718</v>
      </c>
      <c r="C2260" s="1">
        <v>2018</v>
      </c>
      <c r="D2260" s="1">
        <v>261845</v>
      </c>
      <c r="E2260" s="1">
        <v>4006</v>
      </c>
      <c r="F2260" s="1">
        <v>7538</v>
      </c>
      <c r="G2260" s="1">
        <v>14778205</v>
      </c>
      <c r="H2260" s="1">
        <v>569</v>
      </c>
    </row>
    <row r="2261" spans="1:8" x14ac:dyDescent="0.3">
      <c r="A2261" s="1" t="s">
        <v>719</v>
      </c>
      <c r="B2261" s="1" t="s">
        <v>720</v>
      </c>
      <c r="C2261" s="1">
        <v>2018</v>
      </c>
      <c r="D2261" s="1">
        <v>16923</v>
      </c>
      <c r="E2261" s="1">
        <v>118</v>
      </c>
      <c r="F2261" s="1">
        <v>229</v>
      </c>
      <c r="G2261" s="1">
        <v>1379498</v>
      </c>
      <c r="H2261" s="1">
        <v>0</v>
      </c>
    </row>
    <row r="2262" spans="1:8" x14ac:dyDescent="0.3">
      <c r="A2262" s="1" t="s">
        <v>721</v>
      </c>
      <c r="B2262" s="1" t="s">
        <v>722</v>
      </c>
      <c r="C2262" s="1">
        <v>2018</v>
      </c>
      <c r="D2262" s="1">
        <v>16693</v>
      </c>
      <c r="E2262" s="1">
        <v>85</v>
      </c>
      <c r="F2262" s="1">
        <v>193</v>
      </c>
      <c r="G2262" s="1">
        <v>971601</v>
      </c>
      <c r="H2262" s="1">
        <v>6</v>
      </c>
    </row>
    <row r="2263" spans="1:8" x14ac:dyDescent="0.3">
      <c r="A2263" s="1" t="s">
        <v>723</v>
      </c>
      <c r="B2263" s="1" t="s">
        <v>724</v>
      </c>
      <c r="C2263" s="1">
        <v>2018</v>
      </c>
      <c r="D2263" s="1">
        <v>20376</v>
      </c>
      <c r="E2263" s="1">
        <v>121</v>
      </c>
      <c r="F2263" s="1">
        <v>186</v>
      </c>
      <c r="G2263" s="1">
        <v>2824466</v>
      </c>
      <c r="H2263" s="1">
        <v>20</v>
      </c>
    </row>
    <row r="2264" spans="1:8" x14ac:dyDescent="0.3">
      <c r="A2264" s="1" t="s">
        <v>725</v>
      </c>
      <c r="B2264" s="1" t="s">
        <v>726</v>
      </c>
      <c r="C2264" s="1">
        <v>2018</v>
      </c>
      <c r="D2264" s="1">
        <v>27623</v>
      </c>
      <c r="E2264" s="1">
        <v>247</v>
      </c>
      <c r="F2264" s="1">
        <v>342</v>
      </c>
      <c r="G2264" s="1">
        <v>915115</v>
      </c>
      <c r="H2264" s="1">
        <v>5</v>
      </c>
    </row>
    <row r="2265" spans="1:8" x14ac:dyDescent="0.3">
      <c r="A2265" s="1" t="s">
        <v>727</v>
      </c>
      <c r="B2265" s="1" t="s">
        <v>728</v>
      </c>
      <c r="C2265" s="1">
        <v>2018</v>
      </c>
      <c r="D2265" s="1">
        <v>20921</v>
      </c>
      <c r="E2265" s="1">
        <v>92</v>
      </c>
      <c r="F2265" s="1">
        <v>248</v>
      </c>
      <c r="G2265" s="1">
        <v>1417815</v>
      </c>
      <c r="H2265" s="1">
        <v>24</v>
      </c>
    </row>
    <row r="2266" spans="1:8" x14ac:dyDescent="0.3">
      <c r="A2266" s="1" t="s">
        <v>729</v>
      </c>
      <c r="B2266" s="1" t="s">
        <v>730</v>
      </c>
      <c r="C2266" s="1">
        <v>2018</v>
      </c>
      <c r="D2266" s="1">
        <v>27358</v>
      </c>
      <c r="E2266" s="1">
        <v>156</v>
      </c>
      <c r="F2266" s="1">
        <v>278</v>
      </c>
      <c r="G2266" s="1">
        <v>884496</v>
      </c>
      <c r="H2266" s="1">
        <v>0</v>
      </c>
    </row>
    <row r="2267" spans="1:8" x14ac:dyDescent="0.3">
      <c r="A2267" s="1" t="s">
        <v>731</v>
      </c>
      <c r="B2267" s="1" t="s">
        <v>732</v>
      </c>
      <c r="C2267" s="1">
        <v>2018</v>
      </c>
      <c r="D2267" s="1">
        <v>21078</v>
      </c>
      <c r="E2267" s="1">
        <v>365</v>
      </c>
      <c r="F2267" s="1">
        <v>424</v>
      </c>
      <c r="G2267" s="1">
        <v>663501</v>
      </c>
      <c r="H2267" s="1">
        <v>0</v>
      </c>
    </row>
    <row r="2268" spans="1:8" x14ac:dyDescent="0.3">
      <c r="A2268" s="1" t="s">
        <v>733</v>
      </c>
      <c r="B2268" s="1" t="s">
        <v>734</v>
      </c>
      <c r="C2268" s="1">
        <v>2018</v>
      </c>
      <c r="D2268" s="1">
        <v>36064</v>
      </c>
      <c r="E2268" s="1">
        <v>1188</v>
      </c>
      <c r="F2268" s="1">
        <v>1200</v>
      </c>
      <c r="G2268" s="1">
        <v>1207724</v>
      </c>
      <c r="H2268" s="1">
        <v>42</v>
      </c>
    </row>
    <row r="2269" spans="1:8" x14ac:dyDescent="0.3">
      <c r="A2269" s="1" t="s">
        <v>735</v>
      </c>
      <c r="B2269" s="1" t="s">
        <v>736</v>
      </c>
      <c r="C2269" s="1">
        <v>2018</v>
      </c>
      <c r="D2269" s="1">
        <v>23361</v>
      </c>
      <c r="E2269" s="1">
        <v>642</v>
      </c>
      <c r="F2269" s="1">
        <v>461</v>
      </c>
      <c r="G2269" s="1">
        <v>613757</v>
      </c>
      <c r="H2269" s="1">
        <v>4</v>
      </c>
    </row>
    <row r="2270" spans="1:8" x14ac:dyDescent="0.3">
      <c r="A2270" s="1" t="s">
        <v>737</v>
      </c>
      <c r="B2270" s="1" t="s">
        <v>738</v>
      </c>
      <c r="C2270" s="1">
        <v>2018</v>
      </c>
      <c r="D2270" s="1">
        <v>22515</v>
      </c>
      <c r="E2270" s="1">
        <v>115</v>
      </c>
      <c r="F2270" s="1">
        <v>226</v>
      </c>
      <c r="G2270" s="1">
        <v>1434272</v>
      </c>
      <c r="H2270" s="1">
        <v>8</v>
      </c>
    </row>
    <row r="2271" spans="1:8" x14ac:dyDescent="0.3">
      <c r="A2271" s="1" t="s">
        <v>739</v>
      </c>
      <c r="B2271" s="1" t="s">
        <v>740</v>
      </c>
      <c r="C2271" s="1">
        <v>2018</v>
      </c>
      <c r="D2271" s="1">
        <v>28587</v>
      </c>
      <c r="E2271" s="1">
        <v>444</v>
      </c>
      <c r="F2271" s="1">
        <v>412</v>
      </c>
      <c r="G2271" s="1">
        <v>776391</v>
      </c>
      <c r="H2271" s="1">
        <v>65</v>
      </c>
    </row>
    <row r="2272" spans="1:8" x14ac:dyDescent="0.3">
      <c r="A2272" s="1" t="s">
        <v>741</v>
      </c>
      <c r="B2272" s="1" t="s">
        <v>742</v>
      </c>
      <c r="C2272" s="1">
        <v>2018</v>
      </c>
      <c r="D2272" s="1">
        <v>12804</v>
      </c>
      <c r="E2272" s="1">
        <v>51</v>
      </c>
      <c r="F2272" s="1">
        <v>114</v>
      </c>
      <c r="G2272" s="1">
        <v>737669</v>
      </c>
      <c r="H2272" s="1">
        <v>5</v>
      </c>
    </row>
    <row r="2273" spans="1:8" x14ac:dyDescent="0.3">
      <c r="A2273" s="1" t="s">
        <v>743</v>
      </c>
      <c r="B2273" s="1" t="s">
        <v>744</v>
      </c>
      <c r="C2273" s="1">
        <v>2018</v>
      </c>
      <c r="D2273" s="1">
        <v>19087</v>
      </c>
      <c r="E2273" s="1">
        <v>158</v>
      </c>
      <c r="F2273" s="1">
        <v>252</v>
      </c>
      <c r="G2273" s="1">
        <v>807940</v>
      </c>
      <c r="H2273" s="1">
        <v>17</v>
      </c>
    </row>
    <row r="2274" spans="1:8" x14ac:dyDescent="0.3">
      <c r="A2274" s="1" t="s">
        <v>745</v>
      </c>
      <c r="B2274" s="1" t="s">
        <v>746</v>
      </c>
      <c r="C2274" s="1">
        <v>2018</v>
      </c>
      <c r="D2274" s="1">
        <v>41849</v>
      </c>
      <c r="E2274" s="1">
        <v>443</v>
      </c>
      <c r="F2274" s="1">
        <v>889</v>
      </c>
      <c r="G2274" s="1">
        <v>3051302</v>
      </c>
      <c r="H2274" s="1">
        <v>334</v>
      </c>
    </row>
    <row r="2275" spans="1:8" x14ac:dyDescent="0.3">
      <c r="A2275" s="1" t="s">
        <v>747</v>
      </c>
      <c r="B2275" s="1" t="s">
        <v>748</v>
      </c>
      <c r="C2275" s="1">
        <v>2018</v>
      </c>
      <c r="D2275" s="1">
        <v>28367</v>
      </c>
      <c r="E2275" s="1">
        <v>177</v>
      </c>
      <c r="F2275" s="1">
        <v>477</v>
      </c>
      <c r="G2275" s="1">
        <v>2712200</v>
      </c>
      <c r="H2275" s="1">
        <v>62</v>
      </c>
    </row>
    <row r="2276" spans="1:8" x14ac:dyDescent="0.3">
      <c r="A2276" s="1" t="s">
        <v>749</v>
      </c>
      <c r="B2276" s="1" t="s">
        <v>750</v>
      </c>
      <c r="C2276" s="1">
        <v>2018</v>
      </c>
      <c r="D2276" s="1">
        <v>16740</v>
      </c>
      <c r="E2276" s="1">
        <v>105</v>
      </c>
      <c r="F2276" s="1">
        <v>206</v>
      </c>
      <c r="G2276" s="1">
        <v>1260884</v>
      </c>
      <c r="H2276" s="1">
        <v>0</v>
      </c>
    </row>
    <row r="2277" spans="1:8" x14ac:dyDescent="0.3">
      <c r="A2277" s="1" t="s">
        <v>751</v>
      </c>
      <c r="B2277" s="1" t="s">
        <v>752</v>
      </c>
      <c r="C2277" s="1">
        <v>2018</v>
      </c>
      <c r="D2277" s="1">
        <v>19038</v>
      </c>
      <c r="E2277" s="1">
        <v>104</v>
      </c>
      <c r="F2277" s="1">
        <v>191</v>
      </c>
      <c r="G2277" s="1">
        <v>1093620</v>
      </c>
      <c r="H2277" s="1">
        <v>0</v>
      </c>
    </row>
    <row r="2278" spans="1:8" x14ac:dyDescent="0.3">
      <c r="A2278" s="1" t="s">
        <v>753</v>
      </c>
      <c r="B2278" s="1" t="s">
        <v>754</v>
      </c>
      <c r="C2278" s="1">
        <v>2018</v>
      </c>
      <c r="D2278" s="1">
        <v>12867</v>
      </c>
      <c r="E2278" s="1">
        <v>34</v>
      </c>
      <c r="F2278" s="1">
        <v>114</v>
      </c>
      <c r="G2278" s="1">
        <v>672602</v>
      </c>
      <c r="H2278" s="1">
        <v>0</v>
      </c>
    </row>
    <row r="2279" spans="1:8" x14ac:dyDescent="0.3">
      <c r="A2279" s="1" t="s">
        <v>755</v>
      </c>
      <c r="B2279" s="1" t="s">
        <v>756</v>
      </c>
      <c r="C2279" s="1">
        <v>2018</v>
      </c>
      <c r="D2279" s="1">
        <v>46764</v>
      </c>
      <c r="E2279" s="1">
        <v>462</v>
      </c>
      <c r="F2279" s="1">
        <v>693</v>
      </c>
      <c r="G2279" s="1">
        <v>3447074</v>
      </c>
      <c r="H2279" s="1">
        <v>56</v>
      </c>
    </row>
    <row r="2280" spans="1:8" x14ac:dyDescent="0.3">
      <c r="A2280" s="1" t="s">
        <v>757</v>
      </c>
      <c r="B2280" s="1" t="s">
        <v>758</v>
      </c>
      <c r="C2280" s="1">
        <v>2018</v>
      </c>
      <c r="D2280" s="1">
        <v>180049</v>
      </c>
      <c r="E2280" s="1">
        <v>2299</v>
      </c>
      <c r="F2280" s="1">
        <v>4244</v>
      </c>
      <c r="G2280" s="1">
        <v>8864607</v>
      </c>
      <c r="H2280" s="1">
        <v>277</v>
      </c>
    </row>
    <row r="2281" spans="1:8" x14ac:dyDescent="0.3">
      <c r="A2281" s="1" t="s">
        <v>759</v>
      </c>
      <c r="B2281" s="1" t="s">
        <v>760</v>
      </c>
      <c r="C2281" s="1">
        <v>2018</v>
      </c>
      <c r="D2281" s="1">
        <v>20962</v>
      </c>
      <c r="E2281" s="1">
        <v>329</v>
      </c>
      <c r="F2281" s="1">
        <v>299</v>
      </c>
      <c r="G2281" s="1">
        <v>901857</v>
      </c>
      <c r="H2281" s="1">
        <v>0</v>
      </c>
    </row>
    <row r="2282" spans="1:8" x14ac:dyDescent="0.3">
      <c r="A2282" s="2" t="s">
        <v>10</v>
      </c>
      <c r="B2282" s="2" t="s">
        <v>11</v>
      </c>
      <c r="C2282" s="1">
        <v>2019</v>
      </c>
      <c r="D2282" s="2">
        <v>32616</v>
      </c>
      <c r="E2282" s="2">
        <v>492</v>
      </c>
      <c r="F2282" s="2">
        <v>560</v>
      </c>
      <c r="G2282" s="2">
        <v>891910</v>
      </c>
      <c r="H2282" s="1" t="s">
        <v>70</v>
      </c>
    </row>
    <row r="2283" spans="1:8" x14ac:dyDescent="0.3">
      <c r="A2283" s="1" t="s">
        <v>12</v>
      </c>
      <c r="B2283" s="1" t="s">
        <v>13</v>
      </c>
      <c r="C2283" s="1">
        <v>2019</v>
      </c>
      <c r="D2283" s="1">
        <v>39931</v>
      </c>
      <c r="E2283" s="1">
        <v>123</v>
      </c>
      <c r="F2283" s="1">
        <v>539</v>
      </c>
      <c r="G2283" s="1">
        <v>2128479</v>
      </c>
      <c r="H2283" s="1" t="s">
        <v>70</v>
      </c>
    </row>
    <row r="2284" spans="1:8" x14ac:dyDescent="0.3">
      <c r="A2284" s="1" t="s">
        <v>14</v>
      </c>
      <c r="B2284" s="1" t="s">
        <v>15</v>
      </c>
      <c r="C2284" s="1">
        <v>2019</v>
      </c>
      <c r="D2284" s="1">
        <v>33327</v>
      </c>
      <c r="E2284" s="1">
        <v>243</v>
      </c>
      <c r="F2284" s="1">
        <v>501</v>
      </c>
      <c r="G2284" s="1">
        <v>1417987</v>
      </c>
      <c r="H2284" s="1" t="s">
        <v>70</v>
      </c>
    </row>
    <row r="2285" spans="1:8" x14ac:dyDescent="0.3">
      <c r="A2285" s="1" t="s">
        <v>16</v>
      </c>
      <c r="B2285" s="1" t="s">
        <v>17</v>
      </c>
      <c r="C2285" s="1">
        <v>2019</v>
      </c>
      <c r="D2285" s="1">
        <v>12039</v>
      </c>
      <c r="E2285" s="1">
        <v>62</v>
      </c>
      <c r="F2285" s="1">
        <v>54</v>
      </c>
      <c r="G2285" s="1">
        <v>633436</v>
      </c>
      <c r="H2285" s="1" t="s">
        <v>70</v>
      </c>
    </row>
    <row r="2286" spans="1:8" x14ac:dyDescent="0.3">
      <c r="A2286" s="1" t="s">
        <v>18</v>
      </c>
      <c r="B2286" s="1" t="s">
        <v>19</v>
      </c>
      <c r="C2286" s="1">
        <v>2019</v>
      </c>
      <c r="D2286" s="1">
        <v>18144</v>
      </c>
      <c r="E2286" s="1">
        <v>101</v>
      </c>
      <c r="F2286" s="1">
        <v>126</v>
      </c>
      <c r="G2286" s="1">
        <v>489879</v>
      </c>
      <c r="H2286" s="1" t="s">
        <v>70</v>
      </c>
    </row>
    <row r="2287" spans="1:8" x14ac:dyDescent="0.3">
      <c r="A2287" s="1" t="s">
        <v>20</v>
      </c>
      <c r="B2287" s="1" t="s">
        <v>21</v>
      </c>
      <c r="C2287" s="1">
        <v>2019</v>
      </c>
      <c r="D2287" s="1">
        <v>26088</v>
      </c>
      <c r="E2287" s="1">
        <v>285</v>
      </c>
      <c r="F2287" s="1">
        <v>182</v>
      </c>
      <c r="G2287" s="1">
        <v>743580</v>
      </c>
      <c r="H2287" s="1" t="s">
        <v>70</v>
      </c>
    </row>
    <row r="2288" spans="1:8" x14ac:dyDescent="0.3">
      <c r="A2288" s="1" t="s">
        <v>22</v>
      </c>
      <c r="B2288" s="1" t="s">
        <v>23</v>
      </c>
      <c r="C2288" s="1">
        <v>2019</v>
      </c>
      <c r="D2288" s="1">
        <v>16859</v>
      </c>
      <c r="E2288" s="1">
        <v>41</v>
      </c>
      <c r="F2288" s="1">
        <v>161</v>
      </c>
      <c r="G2288" s="1">
        <v>689147</v>
      </c>
      <c r="H2288" s="1" t="s">
        <v>70</v>
      </c>
    </row>
    <row r="2289" spans="1:8" x14ac:dyDescent="0.3">
      <c r="A2289" s="1" t="s">
        <v>24</v>
      </c>
      <c r="B2289" s="1" t="s">
        <v>25</v>
      </c>
      <c r="C2289" s="1">
        <v>2019</v>
      </c>
      <c r="D2289" s="1">
        <v>64800</v>
      </c>
      <c r="E2289" s="1">
        <v>295</v>
      </c>
      <c r="F2289" s="1">
        <v>836</v>
      </c>
      <c r="G2289" s="1">
        <v>3112545</v>
      </c>
      <c r="H2289" s="1" t="s">
        <v>70</v>
      </c>
    </row>
    <row r="2290" spans="1:8" x14ac:dyDescent="0.3">
      <c r="A2290" s="1" t="s">
        <v>26</v>
      </c>
      <c r="B2290" s="1" t="s">
        <v>27</v>
      </c>
      <c r="C2290" s="1">
        <v>2019</v>
      </c>
      <c r="D2290" s="1">
        <v>18684</v>
      </c>
      <c r="E2290" s="1">
        <v>192</v>
      </c>
      <c r="F2290" s="1">
        <v>101</v>
      </c>
      <c r="G2290" s="1">
        <v>451072</v>
      </c>
      <c r="H2290" s="1" t="s">
        <v>70</v>
      </c>
    </row>
    <row r="2291" spans="1:8" x14ac:dyDescent="0.3">
      <c r="A2291" s="1" t="s">
        <v>28</v>
      </c>
      <c r="B2291" s="1" t="s">
        <v>29</v>
      </c>
      <c r="C2291" s="1">
        <v>2019</v>
      </c>
      <c r="D2291" s="1">
        <v>20556</v>
      </c>
      <c r="E2291" s="1">
        <v>99</v>
      </c>
      <c r="F2291" s="1">
        <v>294</v>
      </c>
      <c r="G2291" s="1">
        <v>698747</v>
      </c>
      <c r="H2291" s="1" t="s">
        <v>70</v>
      </c>
    </row>
    <row r="2292" spans="1:8" x14ac:dyDescent="0.3">
      <c r="A2292" s="1" t="s">
        <v>30</v>
      </c>
      <c r="B2292" s="1" t="s">
        <v>31</v>
      </c>
      <c r="C2292" s="1">
        <v>2019</v>
      </c>
      <c r="D2292" s="1">
        <v>41293</v>
      </c>
      <c r="E2292" s="1">
        <v>473</v>
      </c>
      <c r="F2292" s="1">
        <v>851</v>
      </c>
      <c r="G2292" s="1">
        <v>1277204</v>
      </c>
      <c r="H2292" s="1" t="s">
        <v>70</v>
      </c>
    </row>
    <row r="2293" spans="1:8" x14ac:dyDescent="0.3">
      <c r="A2293" s="1" t="s">
        <v>32</v>
      </c>
      <c r="B2293" s="1" t="s">
        <v>33</v>
      </c>
      <c r="C2293" s="1">
        <v>2019</v>
      </c>
      <c r="D2293" s="1">
        <v>16902</v>
      </c>
      <c r="E2293" s="1">
        <v>49</v>
      </c>
      <c r="F2293" s="1">
        <v>151</v>
      </c>
      <c r="G2293" s="1">
        <v>498522</v>
      </c>
      <c r="H2293" s="1" t="s">
        <v>70</v>
      </c>
    </row>
    <row r="2294" spans="1:8" x14ac:dyDescent="0.3">
      <c r="A2294" s="1" t="s">
        <v>34</v>
      </c>
      <c r="B2294" s="1" t="s">
        <v>35</v>
      </c>
      <c r="C2294" s="1">
        <v>2019</v>
      </c>
      <c r="D2294" s="1">
        <v>11794</v>
      </c>
      <c r="E2294" s="1">
        <v>106</v>
      </c>
      <c r="F2294" s="1">
        <v>94</v>
      </c>
      <c r="G2294" s="1">
        <v>160973</v>
      </c>
      <c r="H2294" s="1" t="s">
        <v>70</v>
      </c>
    </row>
    <row r="2295" spans="1:8" x14ac:dyDescent="0.3">
      <c r="A2295" s="1" t="s">
        <v>36</v>
      </c>
      <c r="B2295" s="1" t="s">
        <v>37</v>
      </c>
      <c r="C2295" s="1">
        <v>2019</v>
      </c>
      <c r="D2295" s="1">
        <v>37158</v>
      </c>
      <c r="E2295" s="1">
        <v>606</v>
      </c>
      <c r="F2295" s="1">
        <v>504</v>
      </c>
      <c r="G2295" s="1">
        <v>1510061</v>
      </c>
      <c r="H2295" s="1" t="s">
        <v>70</v>
      </c>
    </row>
    <row r="2296" spans="1:8" x14ac:dyDescent="0.3">
      <c r="A2296" s="1" t="s">
        <v>38</v>
      </c>
      <c r="B2296" s="1" t="s">
        <v>39</v>
      </c>
      <c r="C2296" s="1">
        <v>2019</v>
      </c>
      <c r="D2296" s="1">
        <v>28957</v>
      </c>
      <c r="E2296" s="1">
        <v>534</v>
      </c>
      <c r="F2296" s="1">
        <v>231</v>
      </c>
      <c r="G2296" s="1">
        <v>1089351</v>
      </c>
      <c r="H2296" s="1" t="s">
        <v>70</v>
      </c>
    </row>
    <row r="2297" spans="1:8" x14ac:dyDescent="0.3">
      <c r="A2297" s="1" t="s">
        <v>40</v>
      </c>
      <c r="B2297" s="1" t="s">
        <v>41</v>
      </c>
      <c r="C2297" s="1">
        <v>2019</v>
      </c>
      <c r="D2297" s="1">
        <v>22192</v>
      </c>
      <c r="E2297" s="1">
        <v>401</v>
      </c>
      <c r="F2297" s="1">
        <v>339</v>
      </c>
      <c r="G2297" s="1">
        <v>984919</v>
      </c>
      <c r="H2297" s="1" t="s">
        <v>70</v>
      </c>
    </row>
    <row r="2298" spans="1:8" x14ac:dyDescent="0.3">
      <c r="A2298" s="1" t="s">
        <v>42</v>
      </c>
      <c r="B2298" s="1" t="s">
        <v>43</v>
      </c>
      <c r="C2298" s="1">
        <v>2019</v>
      </c>
      <c r="D2298" s="1">
        <v>15556</v>
      </c>
      <c r="E2298" s="1">
        <v>150</v>
      </c>
      <c r="F2298" s="1">
        <v>171</v>
      </c>
      <c r="G2298" s="1">
        <v>579557</v>
      </c>
      <c r="H2298" s="1" t="s">
        <v>70</v>
      </c>
    </row>
    <row r="2299" spans="1:8" x14ac:dyDescent="0.3">
      <c r="A2299" s="1" t="s">
        <v>44</v>
      </c>
      <c r="B2299" s="1" t="s">
        <v>45</v>
      </c>
      <c r="C2299" s="1">
        <v>2019</v>
      </c>
      <c r="D2299" s="1">
        <v>18941</v>
      </c>
      <c r="E2299" s="1">
        <v>502</v>
      </c>
      <c r="F2299" s="1">
        <v>278</v>
      </c>
      <c r="G2299" s="1">
        <v>136387</v>
      </c>
      <c r="H2299" s="1" t="s">
        <v>70</v>
      </c>
    </row>
    <row r="2300" spans="1:8" x14ac:dyDescent="0.3">
      <c r="A2300" s="1" t="s">
        <v>46</v>
      </c>
      <c r="B2300" s="1" t="s">
        <v>47</v>
      </c>
      <c r="C2300" s="1">
        <v>2019</v>
      </c>
      <c r="D2300" s="1">
        <v>61212</v>
      </c>
      <c r="E2300" s="1">
        <v>468</v>
      </c>
      <c r="F2300" s="1">
        <v>1148</v>
      </c>
      <c r="G2300" s="1">
        <v>852588</v>
      </c>
      <c r="H2300" s="1" t="s">
        <v>70</v>
      </c>
    </row>
    <row r="2301" spans="1:8" x14ac:dyDescent="0.3">
      <c r="A2301" s="1" t="s">
        <v>48</v>
      </c>
      <c r="B2301" s="1" t="s">
        <v>49</v>
      </c>
      <c r="C2301" s="1">
        <v>2019</v>
      </c>
      <c r="D2301" s="1">
        <v>28216</v>
      </c>
      <c r="E2301" s="1">
        <v>574</v>
      </c>
      <c r="F2301" s="1">
        <v>287</v>
      </c>
      <c r="G2301" s="1">
        <v>739933</v>
      </c>
      <c r="H2301" s="1" t="s">
        <v>70</v>
      </c>
    </row>
    <row r="2302" spans="1:8" x14ac:dyDescent="0.3">
      <c r="A2302" s="1" t="s">
        <v>50</v>
      </c>
      <c r="B2302" s="1" t="s">
        <v>51</v>
      </c>
      <c r="C2302" s="1">
        <v>2019</v>
      </c>
      <c r="D2302" s="1">
        <v>22335</v>
      </c>
      <c r="E2302" s="1">
        <v>50</v>
      </c>
      <c r="F2302" s="1">
        <v>411</v>
      </c>
      <c r="G2302" s="1">
        <v>982459</v>
      </c>
      <c r="H2302" s="1" t="s">
        <v>70</v>
      </c>
    </row>
    <row r="2303" spans="1:8" x14ac:dyDescent="0.3">
      <c r="A2303" s="1" t="s">
        <v>52</v>
      </c>
      <c r="B2303" s="1" t="s">
        <v>53</v>
      </c>
      <c r="C2303" s="1">
        <v>2019</v>
      </c>
      <c r="D2303" s="1">
        <v>17433</v>
      </c>
      <c r="E2303" s="1">
        <v>185</v>
      </c>
      <c r="F2303" s="1">
        <v>282</v>
      </c>
      <c r="G2303" s="1">
        <v>527451</v>
      </c>
      <c r="H2303" s="1" t="s">
        <v>70</v>
      </c>
    </row>
    <row r="2304" spans="1:8" x14ac:dyDescent="0.3">
      <c r="A2304" s="1" t="s">
        <v>54</v>
      </c>
      <c r="B2304" s="1" t="s">
        <v>55</v>
      </c>
      <c r="C2304" s="1">
        <v>2019</v>
      </c>
      <c r="D2304" s="1">
        <v>58451</v>
      </c>
      <c r="E2304" s="1">
        <v>3281</v>
      </c>
      <c r="F2304" s="1">
        <v>1832</v>
      </c>
      <c r="G2304" s="1">
        <v>422529</v>
      </c>
      <c r="H2304" s="1" t="s">
        <v>70</v>
      </c>
    </row>
    <row r="2305" spans="1:8" x14ac:dyDescent="0.3">
      <c r="A2305" s="1" t="s">
        <v>56</v>
      </c>
      <c r="B2305" s="1" t="s">
        <v>57</v>
      </c>
      <c r="C2305" s="1">
        <v>2019</v>
      </c>
      <c r="D2305" s="1">
        <v>24216</v>
      </c>
      <c r="E2305" s="1">
        <v>84</v>
      </c>
      <c r="F2305" s="1">
        <v>232</v>
      </c>
      <c r="G2305" s="1">
        <v>580675</v>
      </c>
      <c r="H2305" s="1" t="s">
        <v>70</v>
      </c>
    </row>
    <row r="2306" spans="1:8" x14ac:dyDescent="0.3">
      <c r="A2306" s="1" t="s">
        <v>58</v>
      </c>
      <c r="B2306" s="1" t="s">
        <v>59</v>
      </c>
      <c r="C2306" s="1">
        <v>2019</v>
      </c>
      <c r="D2306" s="1">
        <v>34428</v>
      </c>
      <c r="E2306" s="1">
        <v>160</v>
      </c>
      <c r="F2306" s="1">
        <v>455</v>
      </c>
      <c r="G2306" s="1">
        <v>790459</v>
      </c>
      <c r="H2306" s="1" t="s">
        <v>70</v>
      </c>
    </row>
    <row r="2307" spans="1:8" x14ac:dyDescent="0.3">
      <c r="A2307" s="1" t="s">
        <v>60</v>
      </c>
      <c r="B2307" s="1" t="s">
        <v>61</v>
      </c>
      <c r="C2307" s="1">
        <v>2019</v>
      </c>
      <c r="D2307" s="1">
        <v>15782</v>
      </c>
      <c r="E2307" s="1">
        <v>59</v>
      </c>
      <c r="F2307" s="1">
        <v>167</v>
      </c>
      <c r="G2307" s="1">
        <v>748326</v>
      </c>
      <c r="H2307" s="1" t="s">
        <v>70</v>
      </c>
    </row>
    <row r="2308" spans="1:8" x14ac:dyDescent="0.3">
      <c r="A2308" s="1" t="s">
        <v>62</v>
      </c>
      <c r="B2308" s="1" t="s">
        <v>63</v>
      </c>
      <c r="C2308" s="1">
        <v>2019</v>
      </c>
      <c r="D2308" s="1">
        <v>35866</v>
      </c>
      <c r="E2308" s="1">
        <v>308</v>
      </c>
      <c r="F2308" s="1">
        <v>932</v>
      </c>
      <c r="G2308" s="1">
        <v>1078780</v>
      </c>
      <c r="H2308" s="1" t="s">
        <v>70</v>
      </c>
    </row>
    <row r="2309" spans="1:8" x14ac:dyDescent="0.3">
      <c r="A2309" s="1" t="s">
        <v>64</v>
      </c>
      <c r="B2309" s="1" t="s">
        <v>65</v>
      </c>
      <c r="C2309" s="1">
        <v>2019</v>
      </c>
      <c r="D2309" s="1">
        <v>43252</v>
      </c>
      <c r="E2309" s="1">
        <v>573</v>
      </c>
      <c r="F2309" s="1">
        <v>963</v>
      </c>
      <c r="G2309" s="1">
        <v>2414533</v>
      </c>
      <c r="H2309" s="1" t="s">
        <v>70</v>
      </c>
    </row>
    <row r="2310" spans="1:8" x14ac:dyDescent="0.3">
      <c r="A2310" s="1" t="s">
        <v>66</v>
      </c>
      <c r="B2310" s="1" t="s">
        <v>67</v>
      </c>
      <c r="C2310" s="1">
        <v>2019</v>
      </c>
      <c r="D2310" s="1">
        <v>340384</v>
      </c>
      <c r="E2310" s="1">
        <v>11400</v>
      </c>
      <c r="F2310" s="1">
        <v>12250</v>
      </c>
      <c r="G2310" s="1">
        <v>7161491</v>
      </c>
      <c r="H2310" s="1" t="s">
        <v>70</v>
      </c>
    </row>
    <row r="2311" spans="1:8" x14ac:dyDescent="0.3">
      <c r="A2311" s="1" t="s">
        <v>68</v>
      </c>
      <c r="B2311" s="1" t="s">
        <v>69</v>
      </c>
      <c r="C2311" s="1">
        <v>2019</v>
      </c>
      <c r="D2311" s="1">
        <v>50803</v>
      </c>
      <c r="E2311" s="1">
        <v>170</v>
      </c>
      <c r="F2311" s="1">
        <v>842</v>
      </c>
      <c r="G2311" s="1">
        <v>3302381</v>
      </c>
      <c r="H2311" s="1" t="s">
        <v>70</v>
      </c>
    </row>
    <row r="2312" spans="1:8" x14ac:dyDescent="0.3">
      <c r="A2312" s="1" t="s">
        <v>71</v>
      </c>
      <c r="B2312" s="1" t="s">
        <v>72</v>
      </c>
      <c r="C2312" s="1">
        <v>2019</v>
      </c>
      <c r="D2312" s="1">
        <v>20108</v>
      </c>
      <c r="E2312" s="1">
        <v>139</v>
      </c>
      <c r="F2312" s="1">
        <v>214</v>
      </c>
      <c r="G2312" s="1">
        <v>717213</v>
      </c>
      <c r="H2312" s="1" t="s">
        <v>70</v>
      </c>
    </row>
    <row r="2313" spans="1:8" x14ac:dyDescent="0.3">
      <c r="A2313" s="1" t="s">
        <v>73</v>
      </c>
      <c r="B2313" s="1" t="s">
        <v>74</v>
      </c>
      <c r="C2313" s="1">
        <v>2019</v>
      </c>
      <c r="D2313" s="1">
        <v>26963</v>
      </c>
      <c r="E2313" s="1">
        <v>485</v>
      </c>
      <c r="F2313" s="1">
        <v>376</v>
      </c>
      <c r="G2313" s="1">
        <v>1188465</v>
      </c>
      <c r="H2313" s="1" t="s">
        <v>70</v>
      </c>
    </row>
    <row r="2314" spans="1:8" x14ac:dyDescent="0.3">
      <c r="A2314" s="1" t="s">
        <v>75</v>
      </c>
      <c r="B2314" s="1" t="s">
        <v>76</v>
      </c>
      <c r="C2314" s="1">
        <v>2019</v>
      </c>
      <c r="D2314" s="1">
        <v>38375</v>
      </c>
      <c r="E2314" s="1">
        <v>942</v>
      </c>
      <c r="F2314" s="1">
        <v>260</v>
      </c>
      <c r="G2314" s="1">
        <v>1730900</v>
      </c>
      <c r="H2314" s="1" t="s">
        <v>70</v>
      </c>
    </row>
    <row r="2315" spans="1:8" x14ac:dyDescent="0.3">
      <c r="A2315" s="1" t="s">
        <v>77</v>
      </c>
      <c r="B2315" s="1" t="s">
        <v>78</v>
      </c>
      <c r="C2315" s="1">
        <v>2019</v>
      </c>
      <c r="D2315" s="1">
        <v>16767</v>
      </c>
      <c r="E2315" s="1">
        <v>126</v>
      </c>
      <c r="F2315" s="1">
        <v>141</v>
      </c>
      <c r="G2315" s="1">
        <v>916531</v>
      </c>
      <c r="H2315" s="1" t="s">
        <v>70</v>
      </c>
    </row>
    <row r="2316" spans="1:8" x14ac:dyDescent="0.3">
      <c r="A2316" s="1" t="s">
        <v>79</v>
      </c>
      <c r="B2316" s="1" t="s">
        <v>80</v>
      </c>
      <c r="C2316" s="1">
        <v>2019</v>
      </c>
      <c r="D2316" s="1">
        <v>14526</v>
      </c>
      <c r="E2316" s="1">
        <v>128</v>
      </c>
      <c r="F2316" s="1">
        <v>82</v>
      </c>
      <c r="G2316" s="1">
        <v>1227598</v>
      </c>
      <c r="H2316" s="1" t="s">
        <v>70</v>
      </c>
    </row>
    <row r="2317" spans="1:8" x14ac:dyDescent="0.3">
      <c r="A2317" s="1" t="s">
        <v>81</v>
      </c>
      <c r="B2317" s="1" t="s">
        <v>82</v>
      </c>
      <c r="C2317" s="1">
        <v>2019</v>
      </c>
      <c r="D2317" s="1">
        <v>12392</v>
      </c>
      <c r="E2317" s="1">
        <v>139</v>
      </c>
      <c r="F2317" s="1">
        <v>59</v>
      </c>
      <c r="G2317" s="1">
        <v>621528</v>
      </c>
      <c r="H2317" s="1" t="s">
        <v>70</v>
      </c>
    </row>
    <row r="2318" spans="1:8" x14ac:dyDescent="0.3">
      <c r="A2318" s="1" t="s">
        <v>83</v>
      </c>
      <c r="B2318" s="1" t="s">
        <v>84</v>
      </c>
      <c r="C2318" s="1">
        <v>2019</v>
      </c>
      <c r="D2318" s="1">
        <v>58501</v>
      </c>
      <c r="E2318" s="1">
        <v>332</v>
      </c>
      <c r="F2318" s="1">
        <v>689</v>
      </c>
      <c r="G2318" s="1">
        <v>5054514</v>
      </c>
      <c r="H2318" s="1" t="s">
        <v>70</v>
      </c>
    </row>
    <row r="2319" spans="1:8" x14ac:dyDescent="0.3">
      <c r="A2319" s="1" t="s">
        <v>85</v>
      </c>
      <c r="B2319" s="1" t="s">
        <v>86</v>
      </c>
      <c r="C2319" s="1">
        <v>2019</v>
      </c>
      <c r="D2319" s="1">
        <v>20312</v>
      </c>
      <c r="E2319" s="1">
        <v>209</v>
      </c>
      <c r="F2319" s="1">
        <v>83</v>
      </c>
      <c r="G2319" s="1">
        <v>689130</v>
      </c>
      <c r="H2319" s="1" t="s">
        <v>70</v>
      </c>
    </row>
    <row r="2320" spans="1:8" x14ac:dyDescent="0.3">
      <c r="A2320" s="1" t="s">
        <v>87</v>
      </c>
      <c r="B2320" s="1" t="s">
        <v>88</v>
      </c>
      <c r="C2320" s="1">
        <v>2019</v>
      </c>
      <c r="D2320" s="1">
        <v>14617</v>
      </c>
      <c r="E2320" s="1">
        <v>129</v>
      </c>
      <c r="F2320" s="1">
        <v>86</v>
      </c>
      <c r="G2320" s="1">
        <v>874065</v>
      </c>
      <c r="H2320" s="1" t="s">
        <v>70</v>
      </c>
    </row>
    <row r="2321" spans="1:8" x14ac:dyDescent="0.3">
      <c r="A2321" s="1" t="s">
        <v>89</v>
      </c>
      <c r="B2321" s="1" t="s">
        <v>90</v>
      </c>
      <c r="C2321" s="1">
        <v>2019</v>
      </c>
      <c r="D2321" s="1">
        <v>26704</v>
      </c>
      <c r="E2321" s="1">
        <v>223</v>
      </c>
      <c r="F2321" s="1">
        <v>235</v>
      </c>
      <c r="G2321" s="1">
        <v>2404718</v>
      </c>
      <c r="H2321" s="1" t="s">
        <v>70</v>
      </c>
    </row>
    <row r="2322" spans="1:8" x14ac:dyDescent="0.3">
      <c r="A2322" s="1" t="s">
        <v>91</v>
      </c>
      <c r="B2322" s="1" t="s">
        <v>92</v>
      </c>
      <c r="C2322" s="1">
        <v>2019</v>
      </c>
      <c r="D2322" s="1">
        <v>12458</v>
      </c>
      <c r="E2322" s="1">
        <v>62</v>
      </c>
      <c r="F2322" s="1">
        <v>54</v>
      </c>
      <c r="G2322" s="1">
        <v>371158</v>
      </c>
      <c r="H2322" s="1" t="s">
        <v>70</v>
      </c>
    </row>
    <row r="2323" spans="1:8" x14ac:dyDescent="0.3">
      <c r="A2323" s="1" t="s">
        <v>93</v>
      </c>
      <c r="B2323" s="1" t="s">
        <v>94</v>
      </c>
      <c r="C2323" s="1">
        <v>2019</v>
      </c>
      <c r="D2323" s="1">
        <v>14169</v>
      </c>
      <c r="E2323" s="1">
        <v>125</v>
      </c>
      <c r="F2323" s="1">
        <v>63</v>
      </c>
      <c r="G2323" s="1">
        <v>938163</v>
      </c>
      <c r="H2323" s="1" t="s">
        <v>70</v>
      </c>
    </row>
    <row r="2324" spans="1:8" x14ac:dyDescent="0.3">
      <c r="A2324" s="1" t="s">
        <v>95</v>
      </c>
      <c r="B2324" s="1" t="s">
        <v>96</v>
      </c>
      <c r="C2324" s="1">
        <v>2019</v>
      </c>
      <c r="D2324" s="1">
        <v>12473</v>
      </c>
      <c r="E2324" s="1">
        <v>132</v>
      </c>
      <c r="F2324" s="1">
        <v>66</v>
      </c>
      <c r="G2324" s="1">
        <v>825336</v>
      </c>
      <c r="H2324" s="1" t="s">
        <v>70</v>
      </c>
    </row>
    <row r="2325" spans="1:8" x14ac:dyDescent="0.3">
      <c r="A2325" s="1" t="s">
        <v>97</v>
      </c>
      <c r="B2325" s="1" t="s">
        <v>98</v>
      </c>
      <c r="C2325" s="1">
        <v>2019</v>
      </c>
      <c r="D2325" s="1">
        <v>31837</v>
      </c>
      <c r="E2325" s="1">
        <v>255</v>
      </c>
      <c r="F2325" s="1">
        <v>183</v>
      </c>
      <c r="G2325" s="1">
        <v>1448214</v>
      </c>
      <c r="H2325" s="1" t="s">
        <v>70</v>
      </c>
    </row>
    <row r="2326" spans="1:8" x14ac:dyDescent="0.3">
      <c r="A2326" s="1" t="s">
        <v>99</v>
      </c>
      <c r="B2326" s="1" t="s">
        <v>100</v>
      </c>
      <c r="C2326" s="1">
        <v>2019</v>
      </c>
      <c r="D2326" s="1">
        <v>32966</v>
      </c>
      <c r="E2326" s="1">
        <v>752</v>
      </c>
      <c r="F2326" s="1">
        <v>253</v>
      </c>
      <c r="G2326" s="1">
        <v>1429490</v>
      </c>
      <c r="H2326" s="1" t="s">
        <v>70</v>
      </c>
    </row>
    <row r="2327" spans="1:8" x14ac:dyDescent="0.3">
      <c r="A2327" s="1" t="s">
        <v>101</v>
      </c>
      <c r="B2327" s="1" t="s">
        <v>102</v>
      </c>
      <c r="C2327" s="1">
        <v>2019</v>
      </c>
      <c r="D2327" s="1">
        <v>14865</v>
      </c>
      <c r="E2327" s="1">
        <v>165</v>
      </c>
      <c r="F2327" s="1">
        <v>51</v>
      </c>
      <c r="G2327" s="1">
        <v>832066</v>
      </c>
      <c r="H2327" s="1" t="s">
        <v>70</v>
      </c>
    </row>
    <row r="2328" spans="1:8" x14ac:dyDescent="0.3">
      <c r="A2328" s="1" t="s">
        <v>103</v>
      </c>
      <c r="B2328" s="1" t="s">
        <v>104</v>
      </c>
      <c r="C2328" s="1">
        <v>2019</v>
      </c>
      <c r="D2328" s="1">
        <v>11461</v>
      </c>
      <c r="E2328" s="1">
        <v>49</v>
      </c>
      <c r="F2328" s="1">
        <v>50</v>
      </c>
      <c r="G2328" s="1">
        <v>1049621</v>
      </c>
      <c r="H2328" s="1" t="s">
        <v>70</v>
      </c>
    </row>
    <row r="2329" spans="1:8" x14ac:dyDescent="0.3">
      <c r="A2329" s="1" t="s">
        <v>105</v>
      </c>
      <c r="B2329" s="1" t="s">
        <v>106</v>
      </c>
      <c r="C2329" s="1">
        <v>2019</v>
      </c>
      <c r="D2329" s="1">
        <v>27402</v>
      </c>
      <c r="E2329" s="1">
        <v>231</v>
      </c>
      <c r="F2329" s="1">
        <v>61</v>
      </c>
      <c r="G2329" s="1">
        <v>468614</v>
      </c>
      <c r="H2329" s="1" t="s">
        <v>70</v>
      </c>
    </row>
    <row r="2330" spans="1:8" x14ac:dyDescent="0.3">
      <c r="A2330" s="1" t="s">
        <v>107</v>
      </c>
      <c r="B2330" s="1" t="s">
        <v>108</v>
      </c>
      <c r="C2330" s="1">
        <v>2019</v>
      </c>
      <c r="D2330" s="1">
        <v>22178</v>
      </c>
      <c r="E2330" s="1">
        <v>312</v>
      </c>
      <c r="F2330" s="1">
        <v>128</v>
      </c>
      <c r="G2330" s="1">
        <v>1517620</v>
      </c>
      <c r="H2330" s="1" t="s">
        <v>70</v>
      </c>
    </row>
    <row r="2331" spans="1:8" x14ac:dyDescent="0.3">
      <c r="A2331" s="1" t="s">
        <v>109</v>
      </c>
      <c r="B2331" s="1" t="s">
        <v>110</v>
      </c>
      <c r="C2331" s="1">
        <v>2019</v>
      </c>
      <c r="D2331" s="1">
        <v>152586</v>
      </c>
      <c r="E2331" s="1">
        <v>1340</v>
      </c>
      <c r="F2331" s="1">
        <v>3251</v>
      </c>
      <c r="G2331" s="1">
        <v>17708727</v>
      </c>
      <c r="H2331" s="1" t="s">
        <v>70</v>
      </c>
    </row>
    <row r="2332" spans="1:8" x14ac:dyDescent="0.3">
      <c r="A2332" s="1" t="s">
        <v>111</v>
      </c>
      <c r="B2332" s="1" t="s">
        <v>112</v>
      </c>
      <c r="C2332" s="1">
        <v>2019</v>
      </c>
      <c r="D2332" s="1">
        <v>39343</v>
      </c>
      <c r="E2332" s="1">
        <v>244</v>
      </c>
      <c r="F2332" s="1">
        <v>626</v>
      </c>
      <c r="G2332" s="1">
        <v>5806634</v>
      </c>
      <c r="H2332" s="1" t="s">
        <v>70</v>
      </c>
    </row>
    <row r="2333" spans="1:8" x14ac:dyDescent="0.3">
      <c r="A2333" s="1" t="s">
        <v>113</v>
      </c>
      <c r="B2333" s="1" t="s">
        <v>114</v>
      </c>
      <c r="C2333" s="1">
        <v>2019</v>
      </c>
      <c r="D2333" s="1">
        <v>92168</v>
      </c>
      <c r="E2333" s="1">
        <v>1410</v>
      </c>
      <c r="F2333" s="1">
        <v>1651</v>
      </c>
      <c r="G2333" s="1">
        <v>4414171</v>
      </c>
      <c r="H2333" s="1" t="s">
        <v>70</v>
      </c>
    </row>
    <row r="2334" spans="1:8" x14ac:dyDescent="0.3">
      <c r="A2334" s="1" t="s">
        <v>115</v>
      </c>
      <c r="B2334" s="1" t="s">
        <v>116</v>
      </c>
      <c r="C2334" s="1">
        <v>2019</v>
      </c>
      <c r="D2334" s="1">
        <v>46595</v>
      </c>
      <c r="E2334" s="1">
        <v>161</v>
      </c>
      <c r="F2334" s="1">
        <v>700</v>
      </c>
      <c r="G2334" s="1">
        <v>2195535</v>
      </c>
      <c r="H2334" s="1" t="s">
        <v>70</v>
      </c>
    </row>
    <row r="2335" spans="1:8" x14ac:dyDescent="0.3">
      <c r="A2335" s="1" t="s">
        <v>117</v>
      </c>
      <c r="B2335" s="1" t="s">
        <v>118</v>
      </c>
      <c r="C2335" s="1">
        <v>2019</v>
      </c>
      <c r="D2335" s="1">
        <v>40088</v>
      </c>
      <c r="E2335" s="1">
        <v>406</v>
      </c>
      <c r="F2335" s="1">
        <v>94</v>
      </c>
      <c r="G2335" s="1">
        <v>693097</v>
      </c>
      <c r="H2335" s="1" t="s">
        <v>70</v>
      </c>
    </row>
    <row r="2336" spans="1:8" x14ac:dyDescent="0.3">
      <c r="A2336" s="1" t="s">
        <v>119</v>
      </c>
      <c r="B2336" s="1" t="s">
        <v>120</v>
      </c>
      <c r="C2336" s="1">
        <v>2019</v>
      </c>
      <c r="D2336" s="1">
        <v>32184</v>
      </c>
      <c r="E2336" s="1">
        <v>319</v>
      </c>
      <c r="F2336" s="1">
        <v>128</v>
      </c>
      <c r="G2336" s="1">
        <v>561916</v>
      </c>
      <c r="H2336" s="1" t="s">
        <v>70</v>
      </c>
    </row>
    <row r="2337" spans="1:8" x14ac:dyDescent="0.3">
      <c r="A2337" s="1" t="s">
        <v>121</v>
      </c>
      <c r="B2337" s="1" t="s">
        <v>122</v>
      </c>
      <c r="C2337" s="1">
        <v>2019</v>
      </c>
      <c r="D2337" s="1">
        <v>28932</v>
      </c>
      <c r="E2337" s="1">
        <v>215</v>
      </c>
      <c r="F2337" s="1">
        <v>29</v>
      </c>
      <c r="G2337" s="1">
        <v>188612</v>
      </c>
      <c r="H2337" s="1" t="s">
        <v>70</v>
      </c>
    </row>
    <row r="2338" spans="1:8" x14ac:dyDescent="0.3">
      <c r="A2338" s="1" t="s">
        <v>123</v>
      </c>
      <c r="B2338" s="1" t="s">
        <v>124</v>
      </c>
      <c r="C2338" s="1">
        <v>2019</v>
      </c>
      <c r="D2338" s="1">
        <v>23023</v>
      </c>
      <c r="E2338" s="1">
        <v>55</v>
      </c>
      <c r="F2338" s="1">
        <v>87</v>
      </c>
      <c r="G2338" s="1">
        <v>592343</v>
      </c>
      <c r="H2338" s="1" t="s">
        <v>70</v>
      </c>
    </row>
    <row r="2339" spans="1:8" x14ac:dyDescent="0.3">
      <c r="A2339" s="1" t="s">
        <v>125</v>
      </c>
      <c r="B2339" s="1" t="s">
        <v>126</v>
      </c>
      <c r="C2339" s="1">
        <v>2019</v>
      </c>
      <c r="D2339" s="1">
        <v>13691</v>
      </c>
      <c r="E2339" s="1">
        <v>88</v>
      </c>
      <c r="F2339" s="1">
        <v>41</v>
      </c>
      <c r="G2339" s="1">
        <v>91320</v>
      </c>
      <c r="H2339" s="1" t="s">
        <v>70</v>
      </c>
    </row>
    <row r="2340" spans="1:8" x14ac:dyDescent="0.3">
      <c r="A2340" s="1" t="s">
        <v>127</v>
      </c>
      <c r="B2340" s="1" t="s">
        <v>128</v>
      </c>
      <c r="C2340" s="1">
        <v>2019</v>
      </c>
      <c r="D2340" s="1">
        <v>24855</v>
      </c>
      <c r="E2340" s="1">
        <v>86</v>
      </c>
      <c r="F2340" s="1">
        <v>33</v>
      </c>
      <c r="G2340" s="1">
        <v>364256</v>
      </c>
      <c r="H2340" s="1" t="s">
        <v>70</v>
      </c>
    </row>
    <row r="2341" spans="1:8" x14ac:dyDescent="0.3">
      <c r="A2341" s="1" t="s">
        <v>129</v>
      </c>
      <c r="B2341" s="1" t="s">
        <v>130</v>
      </c>
      <c r="C2341" s="1">
        <v>2019</v>
      </c>
      <c r="D2341" s="1">
        <v>32193</v>
      </c>
      <c r="E2341" s="1">
        <v>138</v>
      </c>
      <c r="F2341" s="1">
        <v>70</v>
      </c>
      <c r="G2341" s="1">
        <v>529585</v>
      </c>
      <c r="H2341" s="1" t="s">
        <v>70</v>
      </c>
    </row>
    <row r="2342" spans="1:8" x14ac:dyDescent="0.3">
      <c r="A2342" s="1" t="s">
        <v>131</v>
      </c>
      <c r="B2342" s="1" t="s">
        <v>132</v>
      </c>
      <c r="C2342" s="1">
        <v>2019</v>
      </c>
      <c r="D2342" s="1">
        <v>30986</v>
      </c>
      <c r="E2342" s="1">
        <v>242</v>
      </c>
      <c r="F2342" s="1">
        <v>115</v>
      </c>
      <c r="G2342" s="1">
        <v>384675</v>
      </c>
      <c r="H2342" s="1" t="s">
        <v>70</v>
      </c>
    </row>
    <row r="2343" spans="1:8" x14ac:dyDescent="0.3">
      <c r="A2343" s="1" t="s">
        <v>133</v>
      </c>
      <c r="B2343" s="1" t="s">
        <v>134</v>
      </c>
      <c r="C2343" s="1">
        <v>2019</v>
      </c>
      <c r="D2343" s="1">
        <v>52127</v>
      </c>
      <c r="E2343" s="1">
        <v>939</v>
      </c>
      <c r="F2343" s="1">
        <v>178</v>
      </c>
      <c r="G2343" s="1">
        <v>369382</v>
      </c>
      <c r="H2343" s="1" t="s">
        <v>70</v>
      </c>
    </row>
    <row r="2344" spans="1:8" x14ac:dyDescent="0.3">
      <c r="A2344" s="1" t="s">
        <v>135</v>
      </c>
      <c r="B2344" s="1" t="s">
        <v>136</v>
      </c>
      <c r="C2344" s="1">
        <v>2019</v>
      </c>
      <c r="D2344" s="1">
        <v>19153</v>
      </c>
      <c r="E2344" s="1">
        <v>223</v>
      </c>
      <c r="F2344" s="1">
        <v>96</v>
      </c>
      <c r="G2344" s="1">
        <v>254023</v>
      </c>
      <c r="H2344" s="1" t="s">
        <v>70</v>
      </c>
    </row>
    <row r="2345" spans="1:8" x14ac:dyDescent="0.3">
      <c r="A2345" s="1" t="s">
        <v>137</v>
      </c>
      <c r="B2345" s="1" t="s">
        <v>138</v>
      </c>
      <c r="C2345" s="1">
        <v>2019</v>
      </c>
      <c r="D2345" s="1">
        <v>34040</v>
      </c>
      <c r="E2345" s="1">
        <v>307</v>
      </c>
      <c r="F2345" s="1">
        <v>105</v>
      </c>
      <c r="G2345" s="1">
        <v>570765</v>
      </c>
      <c r="H2345" s="1" t="s">
        <v>70</v>
      </c>
    </row>
    <row r="2346" spans="1:8" x14ac:dyDescent="0.3">
      <c r="A2346" s="1" t="s">
        <v>139</v>
      </c>
      <c r="B2346" s="1" t="s">
        <v>140</v>
      </c>
      <c r="C2346" s="1">
        <v>2019</v>
      </c>
      <c r="D2346" s="1">
        <v>20994</v>
      </c>
      <c r="E2346" s="1">
        <v>115</v>
      </c>
      <c r="F2346" s="1">
        <v>62</v>
      </c>
      <c r="G2346" s="1">
        <v>1013381</v>
      </c>
      <c r="H2346" s="1" t="s">
        <v>70</v>
      </c>
    </row>
    <row r="2347" spans="1:8" x14ac:dyDescent="0.3">
      <c r="A2347" s="1" t="s">
        <v>141</v>
      </c>
      <c r="B2347" s="1" t="s">
        <v>142</v>
      </c>
      <c r="C2347" s="1">
        <v>2019</v>
      </c>
      <c r="D2347" s="1">
        <v>13196</v>
      </c>
      <c r="E2347" s="1">
        <v>44</v>
      </c>
      <c r="F2347" s="1">
        <v>19</v>
      </c>
      <c r="G2347" s="1">
        <v>234843</v>
      </c>
      <c r="H2347" s="1" t="s">
        <v>70</v>
      </c>
    </row>
    <row r="2348" spans="1:8" x14ac:dyDescent="0.3">
      <c r="A2348" s="1" t="s">
        <v>143</v>
      </c>
      <c r="B2348" s="1" t="s">
        <v>144</v>
      </c>
      <c r="C2348" s="1">
        <v>2019</v>
      </c>
      <c r="D2348" s="1">
        <v>43566</v>
      </c>
      <c r="E2348" s="1">
        <v>317</v>
      </c>
      <c r="F2348" s="1">
        <v>438</v>
      </c>
      <c r="G2348" s="1">
        <v>1001833</v>
      </c>
      <c r="H2348" s="1" t="s">
        <v>70</v>
      </c>
    </row>
    <row r="2349" spans="1:8" x14ac:dyDescent="0.3">
      <c r="A2349" s="1" t="s">
        <v>145</v>
      </c>
      <c r="B2349" s="1" t="s">
        <v>146</v>
      </c>
      <c r="C2349" s="1">
        <v>2019</v>
      </c>
      <c r="D2349" s="1">
        <v>20104</v>
      </c>
      <c r="E2349" s="1">
        <v>99</v>
      </c>
      <c r="F2349" s="1">
        <v>98</v>
      </c>
      <c r="G2349" s="1">
        <v>442631</v>
      </c>
      <c r="H2349" s="1" t="s">
        <v>70</v>
      </c>
    </row>
    <row r="2350" spans="1:8" x14ac:dyDescent="0.3">
      <c r="A2350" s="1" t="s">
        <v>147</v>
      </c>
      <c r="B2350" s="1" t="s">
        <v>148</v>
      </c>
      <c r="C2350" s="1">
        <v>2019</v>
      </c>
      <c r="D2350" s="1">
        <v>20349</v>
      </c>
      <c r="E2350" s="1">
        <v>87</v>
      </c>
      <c r="F2350" s="1">
        <v>72</v>
      </c>
      <c r="G2350" s="1">
        <v>369697</v>
      </c>
      <c r="H2350" s="1" t="s">
        <v>70</v>
      </c>
    </row>
    <row r="2351" spans="1:8" x14ac:dyDescent="0.3">
      <c r="A2351" s="1" t="s">
        <v>149</v>
      </c>
      <c r="B2351" s="1" t="s">
        <v>47</v>
      </c>
      <c r="C2351" s="1">
        <v>2019</v>
      </c>
      <c r="D2351" s="1">
        <v>27405</v>
      </c>
      <c r="E2351" s="1">
        <v>211</v>
      </c>
      <c r="F2351" s="1">
        <v>253</v>
      </c>
      <c r="G2351" s="1">
        <v>584045</v>
      </c>
      <c r="H2351" s="1" t="s">
        <v>70</v>
      </c>
    </row>
    <row r="2352" spans="1:8" x14ac:dyDescent="0.3">
      <c r="A2352" s="1" t="s">
        <v>150</v>
      </c>
      <c r="B2352" s="1" t="s">
        <v>151</v>
      </c>
      <c r="C2352" s="1">
        <v>2019</v>
      </c>
      <c r="D2352" s="1">
        <v>28279</v>
      </c>
      <c r="E2352" s="1">
        <v>92</v>
      </c>
      <c r="F2352" s="1">
        <v>76</v>
      </c>
      <c r="G2352" s="1">
        <v>465999</v>
      </c>
      <c r="H2352" s="1" t="s">
        <v>70</v>
      </c>
    </row>
    <row r="2353" spans="1:8" x14ac:dyDescent="0.3">
      <c r="A2353" s="1" t="s">
        <v>152</v>
      </c>
      <c r="B2353" s="1" t="s">
        <v>153</v>
      </c>
      <c r="C2353" s="1">
        <v>2019</v>
      </c>
      <c r="D2353" s="1">
        <v>14531</v>
      </c>
      <c r="E2353" s="1">
        <v>104</v>
      </c>
      <c r="F2353" s="1">
        <v>72</v>
      </c>
      <c r="G2353" s="1">
        <v>621446</v>
      </c>
      <c r="H2353" s="1" t="s">
        <v>70</v>
      </c>
    </row>
    <row r="2354" spans="1:8" x14ac:dyDescent="0.3">
      <c r="A2354" s="1" t="s">
        <v>154</v>
      </c>
      <c r="B2354" s="1" t="s">
        <v>155</v>
      </c>
      <c r="C2354" s="1">
        <v>2019</v>
      </c>
      <c r="D2354" s="1">
        <v>37182</v>
      </c>
      <c r="E2354" s="1">
        <v>218</v>
      </c>
      <c r="F2354" s="1">
        <v>10</v>
      </c>
      <c r="G2354" s="1">
        <v>125418</v>
      </c>
      <c r="H2354" s="1" t="s">
        <v>70</v>
      </c>
    </row>
    <row r="2355" spans="1:8" x14ac:dyDescent="0.3">
      <c r="A2355" s="1" t="s">
        <v>156</v>
      </c>
      <c r="B2355" s="1" t="s">
        <v>157</v>
      </c>
      <c r="C2355" s="1">
        <v>2019</v>
      </c>
      <c r="D2355" s="1">
        <v>23104</v>
      </c>
      <c r="E2355" s="1">
        <v>274</v>
      </c>
      <c r="F2355" s="1">
        <v>278</v>
      </c>
      <c r="G2355" s="1">
        <v>1279278</v>
      </c>
      <c r="H2355" s="1" t="s">
        <v>70</v>
      </c>
    </row>
    <row r="2356" spans="1:8" x14ac:dyDescent="0.3">
      <c r="A2356" s="1" t="s">
        <v>158</v>
      </c>
      <c r="B2356" s="1" t="s">
        <v>159</v>
      </c>
      <c r="C2356" s="1">
        <v>2019</v>
      </c>
      <c r="D2356" s="1">
        <v>25896</v>
      </c>
      <c r="E2356" s="1">
        <v>144</v>
      </c>
      <c r="F2356" s="1">
        <v>388</v>
      </c>
      <c r="G2356" s="1">
        <v>1075818</v>
      </c>
      <c r="H2356" s="1" t="s">
        <v>70</v>
      </c>
    </row>
    <row r="2357" spans="1:8" x14ac:dyDescent="0.3">
      <c r="A2357" s="1" t="s">
        <v>160</v>
      </c>
      <c r="B2357" s="1" t="s">
        <v>161</v>
      </c>
      <c r="C2357" s="1">
        <v>2019</v>
      </c>
      <c r="D2357" s="1">
        <v>157147</v>
      </c>
      <c r="E2357" s="1">
        <v>2328</v>
      </c>
      <c r="F2357" s="1">
        <v>4343</v>
      </c>
      <c r="G2357" s="1">
        <v>6794947</v>
      </c>
      <c r="H2357" s="1" t="s">
        <v>70</v>
      </c>
    </row>
    <row r="2358" spans="1:8" x14ac:dyDescent="0.3">
      <c r="A2358" s="1" t="s">
        <v>162</v>
      </c>
      <c r="B2358" s="1" t="s">
        <v>163</v>
      </c>
      <c r="C2358" s="1">
        <v>2019</v>
      </c>
      <c r="D2358" s="1">
        <v>24642</v>
      </c>
      <c r="E2358" s="1">
        <v>258</v>
      </c>
      <c r="F2358" s="1">
        <v>325</v>
      </c>
      <c r="G2358" s="1">
        <v>1994574</v>
      </c>
      <c r="H2358" s="1" t="s">
        <v>70</v>
      </c>
    </row>
    <row r="2359" spans="1:8" x14ac:dyDescent="0.3">
      <c r="A2359" s="1" t="s">
        <v>164</v>
      </c>
      <c r="B2359" s="1" t="s">
        <v>165</v>
      </c>
      <c r="C2359" s="1">
        <v>2019</v>
      </c>
      <c r="D2359" s="1">
        <v>23458</v>
      </c>
      <c r="E2359" s="1">
        <v>525</v>
      </c>
      <c r="F2359" s="1">
        <v>481</v>
      </c>
      <c r="G2359" s="1">
        <v>536746</v>
      </c>
      <c r="H2359" s="1" t="s">
        <v>70</v>
      </c>
    </row>
    <row r="2360" spans="1:8" x14ac:dyDescent="0.3">
      <c r="A2360" s="1" t="s">
        <v>166</v>
      </c>
      <c r="B2360" s="1" t="s">
        <v>167</v>
      </c>
      <c r="C2360" s="1">
        <v>2019</v>
      </c>
      <c r="D2360" s="1">
        <v>19693</v>
      </c>
      <c r="E2360" s="1">
        <v>104</v>
      </c>
      <c r="F2360" s="1">
        <v>234</v>
      </c>
      <c r="G2360" s="1">
        <v>862010</v>
      </c>
      <c r="H2360" s="1" t="s">
        <v>70</v>
      </c>
    </row>
    <row r="2361" spans="1:8" x14ac:dyDescent="0.3">
      <c r="A2361" s="1" t="s">
        <v>168</v>
      </c>
      <c r="B2361" s="1" t="s">
        <v>169</v>
      </c>
      <c r="C2361" s="1">
        <v>2019</v>
      </c>
      <c r="D2361" s="1">
        <v>20772</v>
      </c>
      <c r="E2361" s="1">
        <v>184</v>
      </c>
      <c r="F2361" s="1">
        <v>198</v>
      </c>
      <c r="G2361" s="1">
        <v>1068770</v>
      </c>
      <c r="H2361" s="1" t="s">
        <v>70</v>
      </c>
    </row>
    <row r="2362" spans="1:8" x14ac:dyDescent="0.3">
      <c r="A2362" s="1" t="s">
        <v>170</v>
      </c>
      <c r="B2362" s="1" t="s">
        <v>171</v>
      </c>
      <c r="C2362" s="1">
        <v>2019</v>
      </c>
      <c r="D2362" s="1">
        <v>31287</v>
      </c>
      <c r="E2362" s="1">
        <v>315</v>
      </c>
      <c r="F2362" s="1">
        <v>372</v>
      </c>
      <c r="G2362" s="1">
        <v>1353943</v>
      </c>
      <c r="H2362" s="1" t="s">
        <v>70</v>
      </c>
    </row>
    <row r="2363" spans="1:8" x14ac:dyDescent="0.3">
      <c r="A2363" s="1" t="s">
        <v>172</v>
      </c>
      <c r="B2363" s="1" t="s">
        <v>173</v>
      </c>
      <c r="C2363" s="1">
        <v>2019</v>
      </c>
      <c r="D2363" s="1">
        <v>17051</v>
      </c>
      <c r="E2363" s="1">
        <v>251</v>
      </c>
      <c r="F2363" s="1">
        <v>362</v>
      </c>
      <c r="G2363" s="1">
        <v>470194</v>
      </c>
      <c r="H2363" s="1" t="s">
        <v>70</v>
      </c>
    </row>
    <row r="2364" spans="1:8" x14ac:dyDescent="0.3">
      <c r="A2364" s="1" t="s">
        <v>174</v>
      </c>
      <c r="B2364" s="1" t="s">
        <v>175</v>
      </c>
      <c r="C2364" s="1">
        <v>2019</v>
      </c>
      <c r="D2364" s="1">
        <v>17129</v>
      </c>
      <c r="E2364" s="1">
        <v>159</v>
      </c>
      <c r="F2364" s="1">
        <v>124</v>
      </c>
      <c r="G2364" s="1">
        <v>669819</v>
      </c>
      <c r="H2364" s="1" t="s">
        <v>70</v>
      </c>
    </row>
    <row r="2365" spans="1:8" x14ac:dyDescent="0.3">
      <c r="A2365" s="1" t="s">
        <v>176</v>
      </c>
      <c r="B2365" s="1" t="s">
        <v>177</v>
      </c>
      <c r="C2365" s="1">
        <v>2019</v>
      </c>
      <c r="D2365" s="1">
        <v>12525</v>
      </c>
      <c r="E2365" s="1">
        <v>119</v>
      </c>
      <c r="F2365" s="1">
        <v>116</v>
      </c>
      <c r="G2365" s="1">
        <v>846563</v>
      </c>
      <c r="H2365" s="1" t="s">
        <v>70</v>
      </c>
    </row>
    <row r="2366" spans="1:8" x14ac:dyDescent="0.3">
      <c r="A2366" s="1" t="s">
        <v>178</v>
      </c>
      <c r="B2366" s="1" t="s">
        <v>179</v>
      </c>
      <c r="C2366" s="1">
        <v>2019</v>
      </c>
      <c r="D2366" s="1">
        <v>20084</v>
      </c>
      <c r="E2366" s="1">
        <v>232</v>
      </c>
      <c r="F2366" s="1">
        <v>349</v>
      </c>
      <c r="G2366" s="1">
        <v>352767</v>
      </c>
      <c r="H2366" s="1" t="s">
        <v>70</v>
      </c>
    </row>
    <row r="2367" spans="1:8" x14ac:dyDescent="0.3">
      <c r="A2367" s="1" t="s">
        <v>180</v>
      </c>
      <c r="B2367" s="1" t="s">
        <v>181</v>
      </c>
      <c r="C2367" s="1">
        <v>2019</v>
      </c>
      <c r="D2367" s="1">
        <v>25579</v>
      </c>
      <c r="E2367" s="1">
        <v>388</v>
      </c>
      <c r="F2367" s="1">
        <v>244</v>
      </c>
      <c r="G2367" s="1">
        <v>679534</v>
      </c>
      <c r="H2367" s="1" t="s">
        <v>70</v>
      </c>
    </row>
    <row r="2368" spans="1:8" x14ac:dyDescent="0.3">
      <c r="A2368" s="1" t="s">
        <v>182</v>
      </c>
      <c r="B2368" s="1" t="s">
        <v>183</v>
      </c>
      <c r="C2368" s="1">
        <v>2019</v>
      </c>
      <c r="D2368" s="1">
        <v>29711</v>
      </c>
      <c r="E2368" s="1">
        <v>106</v>
      </c>
      <c r="F2368" s="1">
        <v>395</v>
      </c>
      <c r="G2368" s="1">
        <v>1894517</v>
      </c>
      <c r="H2368" s="1" t="s">
        <v>70</v>
      </c>
    </row>
    <row r="2369" spans="1:8" x14ac:dyDescent="0.3">
      <c r="A2369" s="1" t="s">
        <v>184</v>
      </c>
      <c r="B2369" s="1" t="s">
        <v>185</v>
      </c>
      <c r="C2369" s="1">
        <v>2019</v>
      </c>
      <c r="D2369" s="1">
        <v>34792</v>
      </c>
      <c r="E2369" s="1">
        <v>162</v>
      </c>
      <c r="F2369" s="1">
        <v>416</v>
      </c>
      <c r="G2369" s="1">
        <v>1437741</v>
      </c>
      <c r="H2369" s="1" t="s">
        <v>70</v>
      </c>
    </row>
    <row r="2370" spans="1:8" x14ac:dyDescent="0.3">
      <c r="A2370" s="1" t="s">
        <v>186</v>
      </c>
      <c r="B2370" s="1" t="s">
        <v>187</v>
      </c>
      <c r="C2370" s="1">
        <v>2019</v>
      </c>
      <c r="D2370" s="1">
        <v>12899</v>
      </c>
      <c r="E2370" s="1">
        <v>140</v>
      </c>
      <c r="F2370" s="1">
        <v>80</v>
      </c>
      <c r="G2370" s="1">
        <v>164253</v>
      </c>
      <c r="H2370" s="1" t="s">
        <v>70</v>
      </c>
    </row>
    <row r="2371" spans="1:8" x14ac:dyDescent="0.3">
      <c r="A2371" s="1" t="s">
        <v>188</v>
      </c>
      <c r="B2371" s="1" t="s">
        <v>189</v>
      </c>
      <c r="C2371" s="1">
        <v>2019</v>
      </c>
      <c r="D2371" s="1">
        <v>53588</v>
      </c>
      <c r="E2371" s="1">
        <v>387</v>
      </c>
      <c r="F2371" s="1">
        <v>1346</v>
      </c>
      <c r="G2371" s="1">
        <v>3056517</v>
      </c>
      <c r="H2371" s="1" t="s">
        <v>70</v>
      </c>
    </row>
    <row r="2372" spans="1:8" x14ac:dyDescent="0.3">
      <c r="A2372" s="1" t="s">
        <v>190</v>
      </c>
      <c r="B2372" s="1" t="s">
        <v>191</v>
      </c>
      <c r="C2372" s="1">
        <v>2019</v>
      </c>
      <c r="D2372" s="1">
        <v>62422</v>
      </c>
      <c r="E2372" s="1">
        <v>1062</v>
      </c>
      <c r="F2372" s="1">
        <v>1691</v>
      </c>
      <c r="G2372" s="1">
        <v>3755709</v>
      </c>
      <c r="H2372" s="1" t="s">
        <v>70</v>
      </c>
    </row>
    <row r="2373" spans="1:8" x14ac:dyDescent="0.3">
      <c r="A2373" s="1" t="s">
        <v>192</v>
      </c>
      <c r="B2373" s="1" t="s">
        <v>193</v>
      </c>
      <c r="C2373" s="1">
        <v>2019</v>
      </c>
      <c r="D2373" s="1">
        <v>41331</v>
      </c>
      <c r="E2373" s="1">
        <v>268</v>
      </c>
      <c r="F2373" s="1">
        <v>320</v>
      </c>
      <c r="G2373" s="1">
        <v>1436161</v>
      </c>
      <c r="H2373" s="1" t="s">
        <v>70</v>
      </c>
    </row>
    <row r="2374" spans="1:8" x14ac:dyDescent="0.3">
      <c r="A2374" s="1" t="s">
        <v>194</v>
      </c>
      <c r="B2374" s="1" t="s">
        <v>195</v>
      </c>
      <c r="C2374" s="1">
        <v>2019</v>
      </c>
      <c r="D2374" s="1">
        <v>38558</v>
      </c>
      <c r="E2374" s="1">
        <v>209</v>
      </c>
      <c r="F2374" s="1">
        <v>211</v>
      </c>
      <c r="G2374" s="1">
        <v>2797500</v>
      </c>
      <c r="H2374" s="1" t="s">
        <v>70</v>
      </c>
    </row>
    <row r="2375" spans="1:8" x14ac:dyDescent="0.3">
      <c r="A2375" s="1" t="s">
        <v>196</v>
      </c>
      <c r="B2375" s="1" t="s">
        <v>197</v>
      </c>
      <c r="C2375" s="1">
        <v>2019</v>
      </c>
      <c r="D2375" s="1">
        <v>19683</v>
      </c>
      <c r="E2375" s="1">
        <v>186</v>
      </c>
      <c r="F2375" s="1">
        <v>110</v>
      </c>
      <c r="G2375" s="1">
        <v>738627</v>
      </c>
      <c r="H2375" s="1" t="s">
        <v>70</v>
      </c>
    </row>
    <row r="2376" spans="1:8" x14ac:dyDescent="0.3">
      <c r="A2376" s="1" t="s">
        <v>198</v>
      </c>
      <c r="B2376" s="1" t="s">
        <v>199</v>
      </c>
      <c r="C2376" s="1">
        <v>2019</v>
      </c>
      <c r="D2376" s="1">
        <v>17417</v>
      </c>
      <c r="E2376" s="1">
        <v>53</v>
      </c>
      <c r="F2376" s="1">
        <v>62</v>
      </c>
      <c r="G2376" s="1">
        <v>372922</v>
      </c>
      <c r="H2376" s="1" t="s">
        <v>70</v>
      </c>
    </row>
    <row r="2377" spans="1:8" x14ac:dyDescent="0.3">
      <c r="A2377" s="1" t="s">
        <v>200</v>
      </c>
      <c r="B2377" s="1" t="s">
        <v>201</v>
      </c>
      <c r="C2377" s="1">
        <v>2019</v>
      </c>
      <c r="D2377" s="1">
        <v>28028</v>
      </c>
      <c r="E2377" s="1">
        <v>135</v>
      </c>
      <c r="F2377" s="1">
        <v>80</v>
      </c>
      <c r="G2377" s="1">
        <v>683061</v>
      </c>
      <c r="H2377" s="1" t="s">
        <v>70</v>
      </c>
    </row>
    <row r="2378" spans="1:8" x14ac:dyDescent="0.3">
      <c r="A2378" s="1" t="s">
        <v>202</v>
      </c>
      <c r="B2378" s="1" t="s">
        <v>203</v>
      </c>
      <c r="C2378" s="1">
        <v>2019</v>
      </c>
      <c r="D2378" s="1">
        <v>25056</v>
      </c>
      <c r="E2378" s="1">
        <v>400</v>
      </c>
      <c r="F2378" s="1">
        <v>67</v>
      </c>
      <c r="G2378" s="1">
        <v>325611</v>
      </c>
      <c r="H2378" s="1" t="s">
        <v>70</v>
      </c>
    </row>
    <row r="2379" spans="1:8" x14ac:dyDescent="0.3">
      <c r="A2379" s="1" t="s">
        <v>204</v>
      </c>
      <c r="B2379" s="1" t="s">
        <v>205</v>
      </c>
      <c r="C2379" s="1">
        <v>2019</v>
      </c>
      <c r="D2379" s="1">
        <v>26629</v>
      </c>
      <c r="E2379" s="1">
        <v>133</v>
      </c>
      <c r="F2379" s="1">
        <v>82</v>
      </c>
      <c r="G2379" s="1">
        <v>251351</v>
      </c>
      <c r="H2379" s="1" t="s">
        <v>70</v>
      </c>
    </row>
    <row r="2380" spans="1:8" x14ac:dyDescent="0.3">
      <c r="A2380" s="1" t="s">
        <v>206</v>
      </c>
      <c r="B2380" s="1" t="s">
        <v>207</v>
      </c>
      <c r="C2380" s="1">
        <v>2019</v>
      </c>
      <c r="D2380" s="1">
        <v>52030</v>
      </c>
      <c r="E2380" s="1">
        <v>523</v>
      </c>
      <c r="F2380" s="1">
        <v>277</v>
      </c>
      <c r="G2380" s="1">
        <v>913351</v>
      </c>
      <c r="H2380" s="1" t="s">
        <v>70</v>
      </c>
    </row>
    <row r="2381" spans="1:8" x14ac:dyDescent="0.3">
      <c r="A2381" s="1" t="s">
        <v>208</v>
      </c>
      <c r="B2381" s="1" t="s">
        <v>209</v>
      </c>
      <c r="C2381" s="1">
        <v>2019</v>
      </c>
      <c r="D2381" s="1">
        <v>17220</v>
      </c>
      <c r="E2381" s="1">
        <v>130</v>
      </c>
      <c r="F2381" s="1">
        <v>19</v>
      </c>
      <c r="G2381" s="1">
        <v>171781</v>
      </c>
      <c r="H2381" s="1" t="s">
        <v>70</v>
      </c>
    </row>
    <row r="2382" spans="1:8" x14ac:dyDescent="0.3">
      <c r="A2382" s="1" t="s">
        <v>210</v>
      </c>
      <c r="B2382" s="1" t="s">
        <v>211</v>
      </c>
      <c r="C2382" s="1">
        <v>2019</v>
      </c>
      <c r="D2382" s="1">
        <v>30981</v>
      </c>
      <c r="E2382" s="1">
        <v>296</v>
      </c>
      <c r="F2382" s="1">
        <v>17</v>
      </c>
      <c r="G2382" s="1">
        <v>302774</v>
      </c>
      <c r="H2382" s="1" t="s">
        <v>70</v>
      </c>
    </row>
    <row r="2383" spans="1:8" x14ac:dyDescent="0.3">
      <c r="A2383" s="1" t="s">
        <v>212</v>
      </c>
      <c r="B2383" s="1" t="s">
        <v>213</v>
      </c>
      <c r="C2383" s="1">
        <v>2019</v>
      </c>
      <c r="D2383" s="1">
        <v>15826</v>
      </c>
      <c r="E2383" s="1">
        <v>137</v>
      </c>
      <c r="F2383" s="1">
        <v>35</v>
      </c>
      <c r="G2383" s="1">
        <v>212242</v>
      </c>
      <c r="H2383" s="1" t="s">
        <v>70</v>
      </c>
    </row>
    <row r="2384" spans="1:8" x14ac:dyDescent="0.3">
      <c r="A2384" s="1" t="s">
        <v>214</v>
      </c>
      <c r="B2384" s="1" t="s">
        <v>215</v>
      </c>
      <c r="C2384" s="1">
        <v>2019</v>
      </c>
      <c r="D2384" s="1">
        <v>44048</v>
      </c>
      <c r="E2384" s="1">
        <v>374</v>
      </c>
      <c r="F2384" s="1">
        <v>121</v>
      </c>
      <c r="G2384" s="1">
        <v>899602</v>
      </c>
      <c r="H2384" s="1" t="s">
        <v>70</v>
      </c>
    </row>
    <row r="2385" spans="1:8" x14ac:dyDescent="0.3">
      <c r="A2385" s="1" t="s">
        <v>216</v>
      </c>
      <c r="B2385" s="1" t="s">
        <v>217</v>
      </c>
      <c r="C2385" s="1">
        <v>2019</v>
      </c>
      <c r="D2385" s="1">
        <v>16788</v>
      </c>
      <c r="E2385" s="1">
        <v>91</v>
      </c>
      <c r="F2385" s="1">
        <v>63</v>
      </c>
      <c r="G2385" s="1">
        <v>391397</v>
      </c>
      <c r="H2385" s="1" t="s">
        <v>70</v>
      </c>
    </row>
    <row r="2386" spans="1:8" x14ac:dyDescent="0.3">
      <c r="A2386" s="1" t="s">
        <v>218</v>
      </c>
      <c r="B2386" s="1" t="s">
        <v>219</v>
      </c>
      <c r="C2386" s="1">
        <v>2019</v>
      </c>
      <c r="D2386" s="1">
        <v>40072</v>
      </c>
      <c r="E2386" s="1">
        <v>273</v>
      </c>
      <c r="F2386" s="1">
        <v>235</v>
      </c>
      <c r="G2386" s="1">
        <v>1055967</v>
      </c>
      <c r="H2386" s="1" t="s">
        <v>70</v>
      </c>
    </row>
    <row r="2387" spans="1:8" x14ac:dyDescent="0.3">
      <c r="A2387" s="1" t="s">
        <v>220</v>
      </c>
      <c r="B2387" s="1" t="s">
        <v>221</v>
      </c>
      <c r="C2387" s="1">
        <v>2019</v>
      </c>
      <c r="D2387" s="1">
        <v>12597</v>
      </c>
      <c r="E2387" s="1">
        <v>122</v>
      </c>
      <c r="F2387" s="1">
        <v>11</v>
      </c>
      <c r="G2387" s="1">
        <v>8342</v>
      </c>
      <c r="H2387" s="1" t="s">
        <v>70</v>
      </c>
    </row>
    <row r="2388" spans="1:8" x14ac:dyDescent="0.3">
      <c r="A2388" s="1" t="s">
        <v>222</v>
      </c>
      <c r="B2388" s="1" t="s">
        <v>151</v>
      </c>
      <c r="C2388" s="1">
        <v>2019</v>
      </c>
      <c r="D2388" s="1">
        <v>46406</v>
      </c>
      <c r="E2388" s="1">
        <v>272</v>
      </c>
      <c r="F2388" s="1">
        <v>272</v>
      </c>
      <c r="G2388" s="1">
        <v>2380838</v>
      </c>
      <c r="H2388" s="1" t="s">
        <v>70</v>
      </c>
    </row>
    <row r="2389" spans="1:8" x14ac:dyDescent="0.3">
      <c r="A2389" s="1" t="s">
        <v>223</v>
      </c>
      <c r="B2389" s="1" t="s">
        <v>224</v>
      </c>
      <c r="C2389" s="1">
        <v>2019</v>
      </c>
      <c r="D2389" s="1">
        <v>25874</v>
      </c>
      <c r="E2389" s="1">
        <v>162</v>
      </c>
      <c r="F2389" s="1">
        <v>86</v>
      </c>
      <c r="G2389" s="1">
        <v>624130</v>
      </c>
      <c r="H2389" s="1" t="s">
        <v>70</v>
      </c>
    </row>
    <row r="2390" spans="1:8" x14ac:dyDescent="0.3">
      <c r="A2390" s="1" t="s">
        <v>225</v>
      </c>
      <c r="B2390" s="1" t="s">
        <v>226</v>
      </c>
      <c r="C2390" s="1">
        <v>2019</v>
      </c>
      <c r="D2390" s="1">
        <v>13833</v>
      </c>
      <c r="E2390" s="1">
        <v>167</v>
      </c>
      <c r="F2390" s="1">
        <v>59</v>
      </c>
      <c r="G2390" s="1">
        <v>195731</v>
      </c>
      <c r="H2390" s="1" t="s">
        <v>70</v>
      </c>
    </row>
    <row r="2391" spans="1:8" x14ac:dyDescent="0.3">
      <c r="A2391" s="1" t="s">
        <v>227</v>
      </c>
      <c r="B2391" s="1" t="s">
        <v>228</v>
      </c>
      <c r="C2391" s="1">
        <v>2019</v>
      </c>
      <c r="D2391" s="1">
        <v>24871</v>
      </c>
      <c r="E2391" s="1">
        <v>182</v>
      </c>
      <c r="F2391" s="1">
        <v>178</v>
      </c>
      <c r="G2391" s="1">
        <v>968224</v>
      </c>
      <c r="H2391" s="1" t="s">
        <v>70</v>
      </c>
    </row>
    <row r="2392" spans="1:8" x14ac:dyDescent="0.3">
      <c r="A2392" s="1" t="s">
        <v>229</v>
      </c>
      <c r="B2392" s="1" t="s">
        <v>230</v>
      </c>
      <c r="C2392" s="1">
        <v>2019</v>
      </c>
      <c r="D2392" s="1">
        <v>67878</v>
      </c>
      <c r="E2392" s="1">
        <v>635</v>
      </c>
      <c r="F2392" s="1">
        <v>452</v>
      </c>
      <c r="G2392" s="1">
        <v>1665212</v>
      </c>
      <c r="H2392" s="1" t="s">
        <v>70</v>
      </c>
    </row>
    <row r="2393" spans="1:8" x14ac:dyDescent="0.3">
      <c r="A2393" s="1" t="s">
        <v>231</v>
      </c>
      <c r="B2393" s="1" t="s">
        <v>232</v>
      </c>
      <c r="C2393" s="1">
        <v>2019</v>
      </c>
      <c r="D2393" s="1">
        <v>11795</v>
      </c>
      <c r="E2393" s="1">
        <v>194</v>
      </c>
      <c r="F2393" s="1">
        <v>64</v>
      </c>
      <c r="G2393" s="1">
        <v>224462</v>
      </c>
      <c r="H2393" s="1" t="s">
        <v>70</v>
      </c>
    </row>
    <row r="2394" spans="1:8" x14ac:dyDescent="0.3">
      <c r="A2394" s="1" t="s">
        <v>233</v>
      </c>
      <c r="B2394" s="1" t="s">
        <v>234</v>
      </c>
      <c r="C2394" s="1">
        <v>2019</v>
      </c>
      <c r="D2394" s="1">
        <v>363171</v>
      </c>
      <c r="E2394" s="1">
        <v>4202</v>
      </c>
      <c r="F2394" s="1">
        <v>7313</v>
      </c>
      <c r="G2394" s="1">
        <v>21804215</v>
      </c>
      <c r="H2394" s="1" t="s">
        <v>70</v>
      </c>
    </row>
    <row r="2395" spans="1:8" x14ac:dyDescent="0.3">
      <c r="A2395" s="1" t="s">
        <v>235</v>
      </c>
      <c r="B2395" s="1" t="s">
        <v>236</v>
      </c>
      <c r="C2395" s="1">
        <v>2019</v>
      </c>
      <c r="D2395" s="1">
        <v>32056</v>
      </c>
      <c r="E2395" s="1">
        <v>303</v>
      </c>
      <c r="F2395" s="1">
        <v>360</v>
      </c>
      <c r="G2395" s="1">
        <v>3527685</v>
      </c>
      <c r="H2395" s="1" t="s">
        <v>70</v>
      </c>
    </row>
    <row r="2396" spans="1:8" x14ac:dyDescent="0.3">
      <c r="A2396" s="1" t="s">
        <v>237</v>
      </c>
      <c r="B2396" s="1" t="s">
        <v>238</v>
      </c>
      <c r="C2396" s="1">
        <v>2019</v>
      </c>
      <c r="D2396" s="1">
        <v>20092</v>
      </c>
      <c r="E2396" s="1">
        <v>283</v>
      </c>
      <c r="F2396" s="1">
        <v>315</v>
      </c>
      <c r="G2396" s="1">
        <v>457127</v>
      </c>
      <c r="H2396" s="1" t="s">
        <v>70</v>
      </c>
    </row>
    <row r="2397" spans="1:8" x14ac:dyDescent="0.3">
      <c r="A2397" s="1" t="s">
        <v>239</v>
      </c>
      <c r="B2397" s="1" t="s">
        <v>240</v>
      </c>
      <c r="C2397" s="1">
        <v>2019</v>
      </c>
      <c r="D2397" s="1">
        <v>32928</v>
      </c>
      <c r="E2397" s="1">
        <v>428</v>
      </c>
      <c r="F2397" s="1">
        <v>119</v>
      </c>
      <c r="G2397" s="1">
        <v>374458</v>
      </c>
      <c r="H2397" s="1" t="s">
        <v>70</v>
      </c>
    </row>
    <row r="2398" spans="1:8" x14ac:dyDescent="0.3">
      <c r="A2398" s="1" t="s">
        <v>241</v>
      </c>
      <c r="B2398" s="1" t="s">
        <v>242</v>
      </c>
      <c r="C2398" s="1">
        <v>2019</v>
      </c>
      <c r="D2398" s="1">
        <v>28272</v>
      </c>
      <c r="E2398" s="1">
        <v>238</v>
      </c>
      <c r="F2398" s="1">
        <v>46</v>
      </c>
      <c r="G2398" s="1">
        <v>194773</v>
      </c>
      <c r="H2398" s="1" t="s">
        <v>70</v>
      </c>
    </row>
    <row r="2399" spans="1:8" x14ac:dyDescent="0.3">
      <c r="A2399" s="1" t="s">
        <v>243</v>
      </c>
      <c r="B2399" s="1" t="s">
        <v>244</v>
      </c>
      <c r="C2399" s="1">
        <v>2019</v>
      </c>
      <c r="D2399" s="1">
        <v>44746</v>
      </c>
      <c r="E2399" s="1">
        <v>219</v>
      </c>
      <c r="F2399" s="1">
        <v>274</v>
      </c>
      <c r="G2399" s="1">
        <v>3563518</v>
      </c>
      <c r="H2399" s="1" t="s">
        <v>70</v>
      </c>
    </row>
    <row r="2400" spans="1:8" x14ac:dyDescent="0.3">
      <c r="A2400" s="1" t="s">
        <v>245</v>
      </c>
      <c r="B2400" s="1" t="s">
        <v>246</v>
      </c>
      <c r="C2400" s="1">
        <v>2019</v>
      </c>
      <c r="D2400" s="1">
        <v>17069</v>
      </c>
      <c r="E2400" s="1">
        <v>143</v>
      </c>
      <c r="F2400" s="1">
        <v>19</v>
      </c>
      <c r="G2400" s="1">
        <v>168058</v>
      </c>
      <c r="H2400" s="1" t="s">
        <v>70</v>
      </c>
    </row>
    <row r="2401" spans="1:8" x14ac:dyDescent="0.3">
      <c r="A2401" s="1" t="s">
        <v>247</v>
      </c>
      <c r="B2401" s="1" t="s">
        <v>248</v>
      </c>
      <c r="C2401" s="1">
        <v>2019</v>
      </c>
      <c r="D2401" s="1">
        <v>32982</v>
      </c>
      <c r="E2401" s="1">
        <v>416</v>
      </c>
      <c r="F2401" s="1">
        <v>104</v>
      </c>
      <c r="G2401" s="1">
        <v>841670</v>
      </c>
      <c r="H2401" s="1" t="s">
        <v>70</v>
      </c>
    </row>
    <row r="2402" spans="1:8" x14ac:dyDescent="0.3">
      <c r="A2402" s="1" t="s">
        <v>249</v>
      </c>
      <c r="B2402" s="1" t="s">
        <v>250</v>
      </c>
      <c r="C2402" s="1">
        <v>2019</v>
      </c>
      <c r="D2402" s="1">
        <v>89115</v>
      </c>
      <c r="E2402" s="1">
        <v>1306</v>
      </c>
      <c r="F2402" s="1">
        <v>738</v>
      </c>
      <c r="G2402" s="1">
        <v>818873</v>
      </c>
      <c r="H2402" s="1" t="s">
        <v>70</v>
      </c>
    </row>
    <row r="2403" spans="1:8" x14ac:dyDescent="0.3">
      <c r="A2403" s="1" t="s">
        <v>251</v>
      </c>
      <c r="B2403" s="1" t="s">
        <v>252</v>
      </c>
      <c r="C2403" s="1">
        <v>2019</v>
      </c>
      <c r="D2403" s="1">
        <v>35282</v>
      </c>
      <c r="E2403" s="1">
        <v>404</v>
      </c>
      <c r="F2403" s="1">
        <v>46</v>
      </c>
      <c r="G2403" s="1">
        <v>234536</v>
      </c>
      <c r="H2403" s="1" t="s">
        <v>70</v>
      </c>
    </row>
    <row r="2404" spans="1:8" x14ac:dyDescent="0.3">
      <c r="A2404" s="1" t="s">
        <v>253</v>
      </c>
      <c r="B2404" s="1" t="s">
        <v>254</v>
      </c>
      <c r="C2404" s="1">
        <v>2019</v>
      </c>
      <c r="D2404" s="1">
        <v>17351</v>
      </c>
      <c r="E2404" s="1">
        <v>76</v>
      </c>
      <c r="F2404" s="1">
        <v>18</v>
      </c>
      <c r="G2404" s="1">
        <v>184183</v>
      </c>
      <c r="H2404" s="1" t="s">
        <v>70</v>
      </c>
    </row>
    <row r="2405" spans="1:8" x14ac:dyDescent="0.3">
      <c r="A2405" s="1" t="s">
        <v>255</v>
      </c>
      <c r="B2405" s="1" t="s">
        <v>256</v>
      </c>
      <c r="C2405" s="1">
        <v>2019</v>
      </c>
      <c r="D2405" s="1">
        <v>35424</v>
      </c>
      <c r="E2405" s="1">
        <v>501</v>
      </c>
      <c r="F2405" s="1">
        <v>56</v>
      </c>
      <c r="G2405" s="1">
        <v>129599</v>
      </c>
      <c r="H2405" s="1" t="s">
        <v>70</v>
      </c>
    </row>
    <row r="2406" spans="1:8" x14ac:dyDescent="0.3">
      <c r="A2406" s="1" t="s">
        <v>257</v>
      </c>
      <c r="B2406" s="1" t="s">
        <v>258</v>
      </c>
      <c r="C2406" s="1">
        <v>2019</v>
      </c>
      <c r="D2406" s="1">
        <v>53947</v>
      </c>
      <c r="E2406" s="1">
        <v>274</v>
      </c>
      <c r="F2406" s="1">
        <v>145</v>
      </c>
      <c r="G2406" s="1">
        <v>571221</v>
      </c>
      <c r="H2406" s="1" t="s">
        <v>70</v>
      </c>
    </row>
    <row r="2407" spans="1:8" x14ac:dyDescent="0.3">
      <c r="A2407" s="1" t="s">
        <v>259</v>
      </c>
      <c r="B2407" s="1" t="s">
        <v>260</v>
      </c>
      <c r="C2407" s="1">
        <v>2019</v>
      </c>
      <c r="D2407" s="1">
        <v>54861</v>
      </c>
      <c r="E2407" s="1">
        <v>651</v>
      </c>
      <c r="F2407" s="1">
        <v>230</v>
      </c>
      <c r="G2407" s="1">
        <v>634967</v>
      </c>
      <c r="H2407" s="1" t="s">
        <v>70</v>
      </c>
    </row>
    <row r="2408" spans="1:8" x14ac:dyDescent="0.3">
      <c r="A2408" s="1" t="s">
        <v>261</v>
      </c>
      <c r="B2408" s="1" t="s">
        <v>262</v>
      </c>
      <c r="C2408" s="1">
        <v>2019</v>
      </c>
      <c r="D2408" s="1">
        <v>38548</v>
      </c>
      <c r="E2408" s="1">
        <v>232</v>
      </c>
      <c r="F2408" s="1">
        <v>160</v>
      </c>
      <c r="G2408" s="1">
        <v>840530</v>
      </c>
      <c r="H2408" s="1" t="s">
        <v>70</v>
      </c>
    </row>
    <row r="2409" spans="1:8" x14ac:dyDescent="0.3">
      <c r="A2409" s="1" t="s">
        <v>263</v>
      </c>
      <c r="B2409" s="1" t="s">
        <v>264</v>
      </c>
      <c r="C2409" s="1">
        <v>2019</v>
      </c>
      <c r="D2409" s="1">
        <v>52528</v>
      </c>
      <c r="E2409" s="1">
        <v>430</v>
      </c>
      <c r="F2409" s="1">
        <v>434</v>
      </c>
      <c r="G2409" s="1">
        <v>2083321</v>
      </c>
      <c r="H2409" s="1" t="s">
        <v>70</v>
      </c>
    </row>
    <row r="2410" spans="1:8" x14ac:dyDescent="0.3">
      <c r="A2410" s="1" t="s">
        <v>265</v>
      </c>
      <c r="B2410" s="1" t="s">
        <v>266</v>
      </c>
      <c r="C2410" s="1">
        <v>2019</v>
      </c>
      <c r="D2410" s="1">
        <v>13300</v>
      </c>
      <c r="E2410" s="1">
        <v>105</v>
      </c>
      <c r="F2410" s="1">
        <v>11</v>
      </c>
      <c r="G2410" s="1">
        <v>435328</v>
      </c>
      <c r="H2410" s="1" t="s">
        <v>70</v>
      </c>
    </row>
    <row r="2411" spans="1:8" x14ac:dyDescent="0.3">
      <c r="A2411" s="1" t="s">
        <v>267</v>
      </c>
      <c r="B2411" s="1" t="s">
        <v>268</v>
      </c>
      <c r="C2411" s="1">
        <v>2019</v>
      </c>
      <c r="D2411" s="1">
        <v>25998</v>
      </c>
      <c r="E2411" s="1">
        <v>336</v>
      </c>
      <c r="F2411" s="1">
        <v>24</v>
      </c>
      <c r="G2411" s="1">
        <v>129376</v>
      </c>
      <c r="H2411" s="1" t="s">
        <v>70</v>
      </c>
    </row>
    <row r="2412" spans="1:8" x14ac:dyDescent="0.3">
      <c r="A2412" s="1" t="s">
        <v>269</v>
      </c>
      <c r="B2412" s="1" t="s">
        <v>270</v>
      </c>
      <c r="C2412" s="1">
        <v>2019</v>
      </c>
      <c r="D2412" s="1">
        <v>56235</v>
      </c>
      <c r="E2412" s="1">
        <v>597</v>
      </c>
      <c r="F2412" s="1">
        <v>12</v>
      </c>
      <c r="G2412" s="1">
        <v>256092</v>
      </c>
      <c r="H2412" s="1" t="s">
        <v>70</v>
      </c>
    </row>
    <row r="2413" spans="1:8" x14ac:dyDescent="0.3">
      <c r="A2413" s="1" t="s">
        <v>271</v>
      </c>
      <c r="B2413" s="1" t="s">
        <v>272</v>
      </c>
      <c r="C2413" s="1">
        <v>2019</v>
      </c>
      <c r="D2413" s="1">
        <v>25436</v>
      </c>
      <c r="E2413" s="1">
        <v>297</v>
      </c>
      <c r="F2413" s="1">
        <v>293</v>
      </c>
      <c r="G2413" s="1">
        <v>248696</v>
      </c>
      <c r="H2413" s="1" t="s">
        <v>70</v>
      </c>
    </row>
    <row r="2414" spans="1:8" x14ac:dyDescent="0.3">
      <c r="A2414" s="1" t="s">
        <v>273</v>
      </c>
      <c r="B2414" s="1" t="s">
        <v>274</v>
      </c>
      <c r="C2414" s="1">
        <v>2019</v>
      </c>
      <c r="D2414" s="1">
        <v>48626</v>
      </c>
      <c r="E2414" s="1">
        <v>550</v>
      </c>
      <c r="F2414" s="1">
        <v>175</v>
      </c>
      <c r="G2414" s="1">
        <v>885667</v>
      </c>
      <c r="H2414" s="1" t="s">
        <v>70</v>
      </c>
    </row>
    <row r="2415" spans="1:8" x14ac:dyDescent="0.3">
      <c r="A2415" s="1" t="s">
        <v>275</v>
      </c>
      <c r="B2415" s="1" t="s">
        <v>276</v>
      </c>
      <c r="C2415" s="1">
        <v>2019</v>
      </c>
      <c r="D2415" s="1">
        <v>40799</v>
      </c>
      <c r="E2415" s="1">
        <v>1094</v>
      </c>
      <c r="F2415" s="1">
        <v>685</v>
      </c>
      <c r="G2415" s="1">
        <v>170790</v>
      </c>
      <c r="H2415" s="1" t="s">
        <v>70</v>
      </c>
    </row>
    <row r="2416" spans="1:8" x14ac:dyDescent="0.3">
      <c r="A2416" s="1" t="s">
        <v>277</v>
      </c>
      <c r="B2416" s="1" t="s">
        <v>278</v>
      </c>
      <c r="C2416" s="1">
        <v>2019</v>
      </c>
      <c r="D2416" s="1">
        <v>402538</v>
      </c>
      <c r="E2416" s="1">
        <v>13039</v>
      </c>
      <c r="F2416" s="1">
        <v>13163</v>
      </c>
      <c r="G2416" s="1">
        <v>12595532</v>
      </c>
      <c r="H2416" s="1" t="s">
        <v>70</v>
      </c>
    </row>
    <row r="2417" spans="1:8" x14ac:dyDescent="0.3">
      <c r="A2417" s="1" t="s">
        <v>279</v>
      </c>
      <c r="B2417" s="1" t="s">
        <v>280</v>
      </c>
      <c r="C2417" s="1">
        <v>2019</v>
      </c>
      <c r="D2417" s="1">
        <v>30602</v>
      </c>
      <c r="E2417" s="1">
        <v>179</v>
      </c>
      <c r="F2417" s="1">
        <v>364</v>
      </c>
      <c r="G2417" s="1">
        <v>1680795</v>
      </c>
      <c r="H2417" s="1" t="s">
        <v>70</v>
      </c>
    </row>
    <row r="2418" spans="1:8" x14ac:dyDescent="0.3">
      <c r="A2418" s="1" t="s">
        <v>281</v>
      </c>
      <c r="B2418" s="1" t="s">
        <v>282</v>
      </c>
      <c r="C2418" s="1">
        <v>2019</v>
      </c>
      <c r="D2418" s="1">
        <v>44045</v>
      </c>
      <c r="E2418" s="1">
        <v>236</v>
      </c>
      <c r="F2418" s="1">
        <v>531</v>
      </c>
      <c r="G2418" s="1">
        <v>4860035</v>
      </c>
      <c r="H2418" s="1" t="s">
        <v>70</v>
      </c>
    </row>
    <row r="2419" spans="1:8" x14ac:dyDescent="0.3">
      <c r="A2419" s="1" t="s">
        <v>283</v>
      </c>
      <c r="B2419" s="1" t="s">
        <v>284</v>
      </c>
      <c r="C2419" s="1">
        <v>2019</v>
      </c>
      <c r="D2419" s="1">
        <v>12128</v>
      </c>
      <c r="E2419" s="1">
        <v>107</v>
      </c>
      <c r="F2419" s="1">
        <v>18</v>
      </c>
      <c r="G2419" s="1">
        <v>71523</v>
      </c>
      <c r="H2419" s="1" t="s">
        <v>70</v>
      </c>
    </row>
    <row r="2420" spans="1:8" x14ac:dyDescent="0.3">
      <c r="A2420" s="1" t="s">
        <v>285</v>
      </c>
      <c r="B2420" s="1" t="s">
        <v>286</v>
      </c>
      <c r="C2420" s="1">
        <v>2019</v>
      </c>
      <c r="D2420" s="1">
        <v>32339</v>
      </c>
      <c r="E2420" s="1">
        <v>534</v>
      </c>
      <c r="F2420" s="1">
        <v>396</v>
      </c>
      <c r="G2420" s="1">
        <v>2024948</v>
      </c>
      <c r="H2420" s="1" t="s">
        <v>70</v>
      </c>
    </row>
    <row r="2421" spans="1:8" x14ac:dyDescent="0.3">
      <c r="A2421" s="1" t="s">
        <v>287</v>
      </c>
      <c r="B2421" s="1" t="s">
        <v>288</v>
      </c>
      <c r="C2421" s="1">
        <v>2019</v>
      </c>
      <c r="D2421" s="1">
        <v>36128</v>
      </c>
      <c r="E2421" s="1">
        <v>488</v>
      </c>
      <c r="F2421" s="1">
        <v>109</v>
      </c>
      <c r="G2421" s="1">
        <v>351741</v>
      </c>
      <c r="H2421" s="1" t="s">
        <v>70</v>
      </c>
    </row>
    <row r="2422" spans="1:8" x14ac:dyDescent="0.3">
      <c r="A2422" s="1" t="s">
        <v>289</v>
      </c>
      <c r="B2422" s="1" t="s">
        <v>290</v>
      </c>
      <c r="C2422" s="1">
        <v>2019</v>
      </c>
      <c r="D2422" s="1">
        <v>16552</v>
      </c>
      <c r="E2422" s="1">
        <v>90</v>
      </c>
      <c r="F2422" s="1">
        <v>86</v>
      </c>
      <c r="G2422" s="1">
        <v>605837</v>
      </c>
      <c r="H2422" s="1" t="s">
        <v>70</v>
      </c>
    </row>
    <row r="2423" spans="1:8" x14ac:dyDescent="0.3">
      <c r="A2423" s="1" t="s">
        <v>291</v>
      </c>
      <c r="B2423" s="1" t="s">
        <v>292</v>
      </c>
      <c r="C2423" s="1">
        <v>2019</v>
      </c>
      <c r="D2423" s="1">
        <v>37707</v>
      </c>
      <c r="E2423" s="1">
        <v>837</v>
      </c>
      <c r="F2423" s="1">
        <v>390</v>
      </c>
      <c r="G2423" s="1">
        <v>801470</v>
      </c>
      <c r="H2423" s="1" t="s">
        <v>70</v>
      </c>
    </row>
    <row r="2424" spans="1:8" x14ac:dyDescent="0.3">
      <c r="A2424" s="1" t="s">
        <v>293</v>
      </c>
      <c r="B2424" s="1" t="s">
        <v>294</v>
      </c>
      <c r="C2424" s="1">
        <v>2019</v>
      </c>
      <c r="D2424" s="1">
        <v>37915</v>
      </c>
      <c r="E2424" s="1">
        <v>553</v>
      </c>
      <c r="F2424" s="1">
        <v>171</v>
      </c>
      <c r="G2424" s="1">
        <v>627810</v>
      </c>
      <c r="H2424" s="1" t="s">
        <v>70</v>
      </c>
    </row>
    <row r="2425" spans="1:8" x14ac:dyDescent="0.3">
      <c r="A2425" s="1" t="s">
        <v>295</v>
      </c>
      <c r="B2425" s="1" t="s">
        <v>296</v>
      </c>
      <c r="C2425" s="1">
        <v>2019</v>
      </c>
      <c r="D2425" s="1">
        <v>22641</v>
      </c>
      <c r="E2425" s="1">
        <v>242</v>
      </c>
      <c r="F2425" s="1">
        <v>106</v>
      </c>
      <c r="G2425" s="1">
        <v>350180</v>
      </c>
      <c r="H2425" s="1" t="s">
        <v>70</v>
      </c>
    </row>
    <row r="2426" spans="1:8" x14ac:dyDescent="0.3">
      <c r="A2426" s="1" t="s">
        <v>297</v>
      </c>
      <c r="B2426" s="1" t="s">
        <v>298</v>
      </c>
      <c r="C2426" s="1">
        <v>2019</v>
      </c>
      <c r="D2426" s="1">
        <v>47882</v>
      </c>
      <c r="E2426" s="1">
        <v>1558</v>
      </c>
      <c r="F2426" s="1">
        <v>943</v>
      </c>
      <c r="G2426" s="1">
        <v>987923</v>
      </c>
      <c r="H2426" s="1" t="s">
        <v>70</v>
      </c>
    </row>
    <row r="2427" spans="1:8" x14ac:dyDescent="0.3">
      <c r="A2427" s="1" t="s">
        <v>299</v>
      </c>
      <c r="B2427" s="1" t="s">
        <v>300</v>
      </c>
      <c r="C2427" s="1">
        <v>2019</v>
      </c>
      <c r="D2427" s="1">
        <v>13429</v>
      </c>
      <c r="E2427" s="1">
        <v>66</v>
      </c>
      <c r="F2427" s="1">
        <v>8</v>
      </c>
      <c r="G2427" s="1">
        <v>84214</v>
      </c>
      <c r="H2427" s="1" t="s">
        <v>70</v>
      </c>
    </row>
    <row r="2428" spans="1:8" x14ac:dyDescent="0.3">
      <c r="A2428" s="1" t="s">
        <v>301</v>
      </c>
      <c r="B2428" s="1" t="s">
        <v>302</v>
      </c>
      <c r="C2428" s="1">
        <v>2019</v>
      </c>
      <c r="D2428" s="1">
        <v>11715</v>
      </c>
      <c r="E2428" s="1">
        <v>134</v>
      </c>
      <c r="F2428" s="1">
        <v>82</v>
      </c>
      <c r="G2428" s="1">
        <v>179001</v>
      </c>
      <c r="H2428" s="1" t="s">
        <v>70</v>
      </c>
    </row>
    <row r="2429" spans="1:8" x14ac:dyDescent="0.3">
      <c r="A2429" s="1" t="s">
        <v>303</v>
      </c>
      <c r="B2429" s="1" t="s">
        <v>304</v>
      </c>
      <c r="C2429" s="1">
        <v>2019</v>
      </c>
      <c r="D2429" s="1">
        <v>15490</v>
      </c>
      <c r="E2429" s="1">
        <v>147</v>
      </c>
      <c r="F2429" s="1">
        <v>59</v>
      </c>
      <c r="G2429" s="1">
        <v>598306</v>
      </c>
      <c r="H2429" s="1" t="s">
        <v>70</v>
      </c>
    </row>
    <row r="2430" spans="1:8" x14ac:dyDescent="0.3">
      <c r="A2430" s="1" t="s">
        <v>305</v>
      </c>
      <c r="B2430" s="1" t="s">
        <v>306</v>
      </c>
      <c r="C2430" s="1">
        <v>2019</v>
      </c>
      <c r="D2430" s="1">
        <v>57532</v>
      </c>
      <c r="E2430" s="1">
        <v>890</v>
      </c>
      <c r="F2430" s="1">
        <v>530</v>
      </c>
      <c r="G2430" s="1">
        <v>681121</v>
      </c>
      <c r="H2430" s="1" t="s">
        <v>70</v>
      </c>
    </row>
    <row r="2431" spans="1:8" x14ac:dyDescent="0.3">
      <c r="A2431" s="1" t="s">
        <v>307</v>
      </c>
      <c r="B2431" s="1" t="s">
        <v>308</v>
      </c>
      <c r="C2431" s="1">
        <v>2019</v>
      </c>
      <c r="D2431" s="1">
        <v>25897</v>
      </c>
      <c r="E2431" s="1">
        <v>397</v>
      </c>
      <c r="F2431" s="1">
        <v>351</v>
      </c>
      <c r="G2431" s="1">
        <v>959817</v>
      </c>
      <c r="H2431" s="1" t="s">
        <v>70</v>
      </c>
    </row>
    <row r="2432" spans="1:8" x14ac:dyDescent="0.3">
      <c r="A2432" s="1" t="s">
        <v>309</v>
      </c>
      <c r="B2432" s="1" t="s">
        <v>310</v>
      </c>
      <c r="C2432" s="1">
        <v>2019</v>
      </c>
      <c r="D2432" s="1">
        <v>30886</v>
      </c>
      <c r="E2432" s="1">
        <v>480</v>
      </c>
      <c r="F2432" s="1">
        <v>492</v>
      </c>
      <c r="G2432" s="1">
        <v>634830</v>
      </c>
      <c r="H2432" s="1" t="s">
        <v>70</v>
      </c>
    </row>
    <row r="2433" spans="1:8" x14ac:dyDescent="0.3">
      <c r="A2433" s="1" t="s">
        <v>311</v>
      </c>
      <c r="B2433" s="1" t="s">
        <v>312</v>
      </c>
      <c r="C2433" s="1">
        <v>2019</v>
      </c>
      <c r="D2433" s="1">
        <v>25251</v>
      </c>
      <c r="E2433" s="1">
        <v>362</v>
      </c>
      <c r="F2433" s="1">
        <v>0</v>
      </c>
      <c r="G2433" s="1">
        <v>79090</v>
      </c>
      <c r="H2433" s="1" t="s">
        <v>70</v>
      </c>
    </row>
    <row r="2434" spans="1:8" x14ac:dyDescent="0.3">
      <c r="A2434" s="1" t="s">
        <v>313</v>
      </c>
      <c r="B2434" s="1" t="s">
        <v>314</v>
      </c>
      <c r="C2434" s="1">
        <v>2019</v>
      </c>
      <c r="D2434" s="1">
        <v>24972</v>
      </c>
      <c r="E2434" s="1">
        <v>197</v>
      </c>
      <c r="F2434" s="1">
        <v>80</v>
      </c>
      <c r="G2434" s="1">
        <v>497648</v>
      </c>
      <c r="H2434" s="1" t="s">
        <v>70</v>
      </c>
    </row>
    <row r="2435" spans="1:8" x14ac:dyDescent="0.3">
      <c r="A2435" s="1" t="s">
        <v>315</v>
      </c>
      <c r="B2435" s="1" t="s">
        <v>316</v>
      </c>
      <c r="C2435" s="1">
        <v>2019</v>
      </c>
      <c r="D2435" s="1">
        <v>47788</v>
      </c>
      <c r="E2435" s="1">
        <v>362</v>
      </c>
      <c r="F2435" s="1">
        <v>305</v>
      </c>
      <c r="G2435" s="1">
        <v>930907</v>
      </c>
      <c r="H2435" s="1" t="s">
        <v>70</v>
      </c>
    </row>
    <row r="2436" spans="1:8" x14ac:dyDescent="0.3">
      <c r="A2436" s="1" t="s">
        <v>317</v>
      </c>
      <c r="B2436" s="1" t="s">
        <v>318</v>
      </c>
      <c r="C2436" s="1">
        <v>2019</v>
      </c>
      <c r="D2436" s="1">
        <v>80069</v>
      </c>
      <c r="E2436" s="1">
        <v>2191</v>
      </c>
      <c r="F2436" s="1">
        <v>1447</v>
      </c>
      <c r="G2436" s="1">
        <v>1491366</v>
      </c>
      <c r="H2436" s="1" t="s">
        <v>70</v>
      </c>
    </row>
    <row r="2437" spans="1:8" x14ac:dyDescent="0.3">
      <c r="A2437" s="1" t="s">
        <v>319</v>
      </c>
      <c r="B2437" s="1" t="s">
        <v>320</v>
      </c>
      <c r="C2437" s="1">
        <v>2019</v>
      </c>
      <c r="D2437" s="1">
        <v>35885</v>
      </c>
      <c r="E2437" s="1">
        <v>363</v>
      </c>
      <c r="F2437" s="1">
        <v>44</v>
      </c>
      <c r="G2437" s="1">
        <v>310786</v>
      </c>
      <c r="H2437" s="1" t="s">
        <v>70</v>
      </c>
    </row>
    <row r="2438" spans="1:8" x14ac:dyDescent="0.3">
      <c r="A2438" s="1" t="s">
        <v>321</v>
      </c>
      <c r="B2438" s="1" t="s">
        <v>322</v>
      </c>
      <c r="C2438" s="1">
        <v>2019</v>
      </c>
      <c r="D2438" s="1">
        <v>30997</v>
      </c>
      <c r="E2438" s="1">
        <v>322</v>
      </c>
      <c r="F2438" s="1">
        <v>113</v>
      </c>
      <c r="G2438" s="1">
        <v>825735</v>
      </c>
      <c r="H2438" s="1" t="s">
        <v>70</v>
      </c>
    </row>
    <row r="2439" spans="1:8" x14ac:dyDescent="0.3">
      <c r="A2439" s="1" t="s">
        <v>323</v>
      </c>
      <c r="B2439" s="1" t="s">
        <v>324</v>
      </c>
      <c r="C2439" s="1">
        <v>2019</v>
      </c>
      <c r="D2439" s="1">
        <v>64928</v>
      </c>
      <c r="E2439" s="1">
        <v>1453</v>
      </c>
      <c r="F2439" s="1">
        <v>712</v>
      </c>
      <c r="G2439" s="1">
        <v>1490384</v>
      </c>
      <c r="H2439" s="1" t="s">
        <v>70</v>
      </c>
    </row>
    <row r="2440" spans="1:8" x14ac:dyDescent="0.3">
      <c r="A2440" s="1" t="s">
        <v>325</v>
      </c>
      <c r="B2440" s="1" t="s">
        <v>326</v>
      </c>
      <c r="C2440" s="1">
        <v>2019</v>
      </c>
      <c r="D2440" s="1">
        <v>16433</v>
      </c>
      <c r="E2440" s="1">
        <v>139</v>
      </c>
      <c r="F2440" s="1">
        <v>146</v>
      </c>
      <c r="G2440" s="1">
        <v>302114</v>
      </c>
      <c r="H2440" s="1" t="s">
        <v>70</v>
      </c>
    </row>
    <row r="2441" spans="1:8" x14ac:dyDescent="0.3">
      <c r="A2441" s="1" t="s">
        <v>327</v>
      </c>
      <c r="B2441" s="1" t="s">
        <v>328</v>
      </c>
      <c r="C2441" s="1">
        <v>2019</v>
      </c>
      <c r="D2441" s="1">
        <v>14973</v>
      </c>
      <c r="E2441" s="1">
        <v>96</v>
      </c>
      <c r="F2441" s="1">
        <v>19</v>
      </c>
      <c r="G2441" s="1">
        <v>36155</v>
      </c>
      <c r="H2441" s="1" t="s">
        <v>70</v>
      </c>
    </row>
    <row r="2442" spans="1:8" x14ac:dyDescent="0.3">
      <c r="A2442" s="1" t="s">
        <v>329</v>
      </c>
      <c r="B2442" s="1" t="s">
        <v>330</v>
      </c>
      <c r="C2442" s="1">
        <v>2019</v>
      </c>
      <c r="D2442" s="1">
        <v>18956</v>
      </c>
      <c r="E2442" s="1">
        <v>228</v>
      </c>
      <c r="F2442" s="1">
        <v>195</v>
      </c>
      <c r="G2442" s="1">
        <v>1127858</v>
      </c>
      <c r="H2442" s="1" t="s">
        <v>70</v>
      </c>
    </row>
    <row r="2443" spans="1:8" x14ac:dyDescent="0.3">
      <c r="A2443" s="1" t="s">
        <v>331</v>
      </c>
      <c r="B2443" s="1" t="s">
        <v>332</v>
      </c>
      <c r="C2443" s="1">
        <v>2019</v>
      </c>
      <c r="D2443" s="1">
        <v>47031</v>
      </c>
      <c r="E2443" s="1">
        <v>590</v>
      </c>
      <c r="F2443" s="1">
        <v>78</v>
      </c>
      <c r="G2443" s="1">
        <v>576067</v>
      </c>
      <c r="H2443" s="1" t="s">
        <v>70</v>
      </c>
    </row>
    <row r="2444" spans="1:8" x14ac:dyDescent="0.3">
      <c r="A2444" s="1" t="s">
        <v>333</v>
      </c>
      <c r="B2444" s="1" t="s">
        <v>334</v>
      </c>
      <c r="C2444" s="1">
        <v>2019</v>
      </c>
      <c r="D2444" s="1">
        <v>26739</v>
      </c>
      <c r="E2444" s="1">
        <v>220</v>
      </c>
      <c r="F2444" s="1">
        <v>12</v>
      </c>
      <c r="G2444" s="1">
        <v>44664</v>
      </c>
      <c r="H2444" s="1" t="s">
        <v>70</v>
      </c>
    </row>
    <row r="2445" spans="1:8" x14ac:dyDescent="0.3">
      <c r="A2445" s="1" t="s">
        <v>335</v>
      </c>
      <c r="B2445" s="1" t="s">
        <v>336</v>
      </c>
      <c r="C2445" s="1">
        <v>2019</v>
      </c>
      <c r="D2445" s="1">
        <v>17238</v>
      </c>
      <c r="E2445" s="1">
        <v>121</v>
      </c>
      <c r="F2445" s="1">
        <v>76</v>
      </c>
      <c r="G2445" s="1">
        <v>932503</v>
      </c>
      <c r="H2445" s="1" t="s">
        <v>70</v>
      </c>
    </row>
    <row r="2446" spans="1:8" x14ac:dyDescent="0.3">
      <c r="A2446" s="1" t="s">
        <v>337</v>
      </c>
      <c r="B2446" s="1" t="s">
        <v>338</v>
      </c>
      <c r="C2446" s="1">
        <v>2019</v>
      </c>
      <c r="D2446" s="1">
        <v>29973</v>
      </c>
      <c r="E2446" s="1">
        <v>272</v>
      </c>
      <c r="F2446" s="1">
        <v>169</v>
      </c>
      <c r="G2446" s="1">
        <v>1043665</v>
      </c>
      <c r="H2446" s="1" t="s">
        <v>70</v>
      </c>
    </row>
    <row r="2447" spans="1:8" x14ac:dyDescent="0.3">
      <c r="A2447" s="1" t="s">
        <v>339</v>
      </c>
      <c r="B2447" s="1" t="s">
        <v>340</v>
      </c>
      <c r="C2447" s="1">
        <v>2019</v>
      </c>
      <c r="D2447" s="1">
        <v>21518</v>
      </c>
      <c r="E2447" s="1">
        <v>152</v>
      </c>
      <c r="F2447" s="1">
        <v>225</v>
      </c>
      <c r="G2447" s="1">
        <v>172937</v>
      </c>
      <c r="H2447" s="1" t="s">
        <v>70</v>
      </c>
    </row>
    <row r="2448" spans="1:8" x14ac:dyDescent="0.3">
      <c r="A2448" s="1" t="s">
        <v>341</v>
      </c>
      <c r="B2448" s="1" t="s">
        <v>342</v>
      </c>
      <c r="C2448" s="1">
        <v>2019</v>
      </c>
      <c r="D2448" s="1">
        <v>13600</v>
      </c>
      <c r="E2448" s="1">
        <v>113</v>
      </c>
      <c r="F2448" s="1">
        <v>27</v>
      </c>
      <c r="G2448" s="1">
        <v>127157</v>
      </c>
      <c r="H2448" s="1" t="s">
        <v>70</v>
      </c>
    </row>
    <row r="2449" spans="1:8" x14ac:dyDescent="0.3">
      <c r="A2449" s="1" t="s">
        <v>343</v>
      </c>
      <c r="B2449" s="1" t="s">
        <v>344</v>
      </c>
      <c r="C2449" s="1">
        <v>2019</v>
      </c>
      <c r="D2449" s="1">
        <v>47499</v>
      </c>
      <c r="E2449" s="1">
        <v>1431</v>
      </c>
      <c r="F2449" s="1">
        <v>797</v>
      </c>
      <c r="G2449" s="1">
        <v>207820</v>
      </c>
      <c r="H2449" s="1" t="s">
        <v>70</v>
      </c>
    </row>
    <row r="2450" spans="1:8" x14ac:dyDescent="0.3">
      <c r="A2450" s="1" t="s">
        <v>345</v>
      </c>
      <c r="B2450" s="1" t="s">
        <v>346</v>
      </c>
      <c r="C2450" s="1">
        <v>2019</v>
      </c>
      <c r="D2450" s="1">
        <v>24885</v>
      </c>
      <c r="E2450" s="1">
        <v>157</v>
      </c>
      <c r="F2450" s="1">
        <v>27</v>
      </c>
      <c r="G2450" s="1">
        <v>721549</v>
      </c>
      <c r="H2450" s="1" t="s">
        <v>70</v>
      </c>
    </row>
    <row r="2451" spans="1:8" x14ac:dyDescent="0.3">
      <c r="A2451" s="1" t="s">
        <v>347</v>
      </c>
      <c r="B2451" s="1" t="s">
        <v>348</v>
      </c>
      <c r="C2451" s="1">
        <v>2019</v>
      </c>
      <c r="D2451" s="1">
        <v>88740</v>
      </c>
      <c r="E2451" s="1">
        <v>2593</v>
      </c>
      <c r="F2451" s="1">
        <v>1732</v>
      </c>
      <c r="G2451" s="1">
        <v>1965242</v>
      </c>
      <c r="H2451" s="1" t="s">
        <v>70</v>
      </c>
    </row>
    <row r="2452" spans="1:8" x14ac:dyDescent="0.3">
      <c r="A2452" s="1" t="s">
        <v>349</v>
      </c>
      <c r="B2452" s="1" t="s">
        <v>350</v>
      </c>
      <c r="C2452" s="1">
        <v>2019</v>
      </c>
      <c r="D2452" s="1">
        <v>24114</v>
      </c>
      <c r="E2452" s="1">
        <v>498</v>
      </c>
      <c r="F2452" s="1">
        <v>226</v>
      </c>
      <c r="G2452" s="1">
        <v>297700</v>
      </c>
      <c r="H2452" s="1" t="s">
        <v>70</v>
      </c>
    </row>
    <row r="2453" spans="1:8" x14ac:dyDescent="0.3">
      <c r="A2453" s="1" t="s">
        <v>351</v>
      </c>
      <c r="B2453" s="1" t="s">
        <v>352</v>
      </c>
      <c r="C2453" s="1">
        <v>2019</v>
      </c>
      <c r="D2453" s="1">
        <v>12520</v>
      </c>
      <c r="E2453" s="1">
        <v>118</v>
      </c>
      <c r="F2453" s="1">
        <v>15</v>
      </c>
      <c r="G2453" s="1">
        <v>122262</v>
      </c>
      <c r="H2453" s="1" t="s">
        <v>70</v>
      </c>
    </row>
    <row r="2454" spans="1:8" x14ac:dyDescent="0.3">
      <c r="A2454" s="1" t="s">
        <v>353</v>
      </c>
      <c r="B2454" s="1" t="s">
        <v>354</v>
      </c>
      <c r="C2454" s="1">
        <v>2019</v>
      </c>
      <c r="D2454" s="1">
        <v>12271</v>
      </c>
      <c r="E2454" s="1">
        <v>39</v>
      </c>
      <c r="F2454" s="1">
        <v>39</v>
      </c>
      <c r="G2454" s="1">
        <v>316218</v>
      </c>
      <c r="H2454" s="1" t="s">
        <v>70</v>
      </c>
    </row>
    <row r="2455" spans="1:8" x14ac:dyDescent="0.3">
      <c r="A2455" s="1" t="s">
        <v>355</v>
      </c>
      <c r="B2455" s="1" t="s">
        <v>356</v>
      </c>
      <c r="C2455" s="1">
        <v>2019</v>
      </c>
      <c r="D2455" s="1">
        <v>31746</v>
      </c>
      <c r="E2455" s="1">
        <v>459</v>
      </c>
      <c r="F2455" s="1">
        <v>355</v>
      </c>
      <c r="G2455" s="1">
        <v>1523385</v>
      </c>
      <c r="H2455" s="1" t="s">
        <v>70</v>
      </c>
    </row>
    <row r="2456" spans="1:8" x14ac:dyDescent="0.3">
      <c r="A2456" s="1" t="s">
        <v>357</v>
      </c>
      <c r="B2456" s="1" t="s">
        <v>358</v>
      </c>
      <c r="C2456" s="1">
        <v>2019</v>
      </c>
      <c r="D2456" s="1">
        <v>19814</v>
      </c>
      <c r="E2456" s="1">
        <v>379</v>
      </c>
      <c r="F2456" s="1">
        <v>383</v>
      </c>
      <c r="G2456" s="1">
        <v>1307949</v>
      </c>
      <c r="H2456" s="1" t="s">
        <v>70</v>
      </c>
    </row>
    <row r="2457" spans="1:8" x14ac:dyDescent="0.3">
      <c r="A2457" s="1" t="s">
        <v>359</v>
      </c>
      <c r="B2457" s="1" t="s">
        <v>360</v>
      </c>
      <c r="C2457" s="1">
        <v>2019</v>
      </c>
      <c r="D2457" s="1">
        <v>52209</v>
      </c>
      <c r="E2457" s="1">
        <v>600</v>
      </c>
      <c r="F2457" s="1">
        <v>1042</v>
      </c>
      <c r="G2457" s="1">
        <v>5191692</v>
      </c>
      <c r="H2457" s="1" t="s">
        <v>70</v>
      </c>
    </row>
    <row r="2458" spans="1:8" x14ac:dyDescent="0.3">
      <c r="A2458" s="1" t="s">
        <v>361</v>
      </c>
      <c r="B2458" s="1" t="s">
        <v>362</v>
      </c>
      <c r="C2458" s="1">
        <v>2019</v>
      </c>
      <c r="D2458" s="1">
        <v>84990</v>
      </c>
      <c r="E2458" s="1">
        <v>697</v>
      </c>
      <c r="F2458" s="1">
        <v>1051</v>
      </c>
      <c r="G2458" s="1">
        <v>6205970</v>
      </c>
      <c r="H2458" s="1" t="s">
        <v>70</v>
      </c>
    </row>
    <row r="2459" spans="1:8" x14ac:dyDescent="0.3">
      <c r="A2459" s="1" t="s">
        <v>363</v>
      </c>
      <c r="B2459" s="1" t="s">
        <v>364</v>
      </c>
      <c r="C2459" s="1">
        <v>2019</v>
      </c>
      <c r="D2459" s="1">
        <v>34010</v>
      </c>
      <c r="E2459" s="1">
        <v>885</v>
      </c>
      <c r="F2459" s="1">
        <v>825</v>
      </c>
      <c r="G2459" s="1">
        <v>2144763</v>
      </c>
      <c r="H2459" s="1" t="s">
        <v>70</v>
      </c>
    </row>
    <row r="2460" spans="1:8" x14ac:dyDescent="0.3">
      <c r="A2460" s="1" t="s">
        <v>365</v>
      </c>
      <c r="B2460" s="1" t="s">
        <v>366</v>
      </c>
      <c r="C2460" s="1">
        <v>2019</v>
      </c>
      <c r="D2460" s="1">
        <v>997054</v>
      </c>
      <c r="E2460" s="1">
        <v>21599</v>
      </c>
      <c r="F2460" s="1">
        <v>22916</v>
      </c>
      <c r="G2460" s="1">
        <v>21127802</v>
      </c>
      <c r="H2460" s="1" t="s">
        <v>70</v>
      </c>
    </row>
    <row r="2461" spans="1:8" x14ac:dyDescent="0.3">
      <c r="A2461" s="1" t="s">
        <v>367</v>
      </c>
      <c r="B2461" s="1" t="s">
        <v>242</v>
      </c>
      <c r="C2461" s="1">
        <v>2019</v>
      </c>
      <c r="D2461" s="1">
        <v>33140</v>
      </c>
      <c r="E2461" s="1">
        <v>231</v>
      </c>
      <c r="F2461" s="1">
        <v>503</v>
      </c>
      <c r="G2461" s="1">
        <v>1465891</v>
      </c>
      <c r="H2461" s="1" t="s">
        <v>70</v>
      </c>
    </row>
    <row r="2462" spans="1:8" x14ac:dyDescent="0.3">
      <c r="A2462" s="1" t="s">
        <v>368</v>
      </c>
      <c r="B2462" s="1" t="s">
        <v>369</v>
      </c>
      <c r="C2462" s="1">
        <v>2019</v>
      </c>
      <c r="D2462" s="1">
        <v>17254</v>
      </c>
      <c r="E2462" s="1">
        <v>32</v>
      </c>
      <c r="F2462" s="1">
        <v>105</v>
      </c>
      <c r="G2462" s="1">
        <v>444549</v>
      </c>
      <c r="H2462" s="1" t="s">
        <v>70</v>
      </c>
    </row>
    <row r="2463" spans="1:8" x14ac:dyDescent="0.3">
      <c r="A2463" s="1" t="s">
        <v>370</v>
      </c>
      <c r="B2463" s="1" t="s">
        <v>371</v>
      </c>
      <c r="C2463" s="1">
        <v>2019</v>
      </c>
      <c r="D2463" s="1">
        <v>36291</v>
      </c>
      <c r="E2463" s="1">
        <v>121</v>
      </c>
      <c r="F2463" s="1">
        <v>322</v>
      </c>
      <c r="G2463" s="1">
        <v>1693146</v>
      </c>
      <c r="H2463" s="1" t="s">
        <v>70</v>
      </c>
    </row>
    <row r="2464" spans="1:8" x14ac:dyDescent="0.3">
      <c r="A2464" s="1" t="s">
        <v>372</v>
      </c>
      <c r="B2464" s="1" t="s">
        <v>373</v>
      </c>
      <c r="C2464" s="1">
        <v>2019</v>
      </c>
      <c r="D2464" s="1">
        <v>23163</v>
      </c>
      <c r="E2464" s="1">
        <v>149</v>
      </c>
      <c r="F2464" s="1">
        <v>232</v>
      </c>
      <c r="G2464" s="1">
        <v>814084</v>
      </c>
      <c r="H2464" s="1" t="s">
        <v>70</v>
      </c>
    </row>
    <row r="2465" spans="1:8" x14ac:dyDescent="0.3">
      <c r="A2465" s="1" t="s">
        <v>374</v>
      </c>
      <c r="B2465" s="1" t="s">
        <v>375</v>
      </c>
      <c r="C2465" s="1">
        <v>2019</v>
      </c>
      <c r="D2465" s="1">
        <v>21313</v>
      </c>
      <c r="E2465" s="1">
        <v>130</v>
      </c>
      <c r="F2465" s="1">
        <v>79</v>
      </c>
      <c r="G2465" s="1">
        <v>475344</v>
      </c>
      <c r="H2465" s="1" t="s">
        <v>70</v>
      </c>
    </row>
    <row r="2466" spans="1:8" x14ac:dyDescent="0.3">
      <c r="A2466" s="1" t="s">
        <v>376</v>
      </c>
      <c r="B2466" s="1" t="s">
        <v>377</v>
      </c>
      <c r="C2466" s="1">
        <v>2019</v>
      </c>
      <c r="D2466" s="1">
        <v>15853</v>
      </c>
      <c r="E2466" s="1">
        <v>218</v>
      </c>
      <c r="F2466" s="1">
        <v>196</v>
      </c>
      <c r="G2466" s="1">
        <v>546378</v>
      </c>
      <c r="H2466" s="1" t="s">
        <v>70</v>
      </c>
    </row>
    <row r="2467" spans="1:8" x14ac:dyDescent="0.3">
      <c r="A2467" s="1" t="s">
        <v>378</v>
      </c>
      <c r="B2467" s="1" t="s">
        <v>379</v>
      </c>
      <c r="C2467" s="1">
        <v>2019</v>
      </c>
      <c r="D2467" s="1">
        <v>49238</v>
      </c>
      <c r="E2467" s="1">
        <v>162</v>
      </c>
      <c r="F2467" s="1">
        <v>499</v>
      </c>
      <c r="G2467" s="1">
        <v>1067116</v>
      </c>
      <c r="H2467" s="1" t="s">
        <v>70</v>
      </c>
    </row>
    <row r="2468" spans="1:8" x14ac:dyDescent="0.3">
      <c r="A2468" s="1" t="s">
        <v>380</v>
      </c>
      <c r="B2468" s="1" t="s">
        <v>381</v>
      </c>
      <c r="C2468" s="1">
        <v>2019</v>
      </c>
      <c r="D2468" s="1">
        <v>21187</v>
      </c>
      <c r="E2468" s="1">
        <v>82</v>
      </c>
      <c r="F2468" s="1">
        <v>51</v>
      </c>
      <c r="G2468" s="1">
        <v>373280</v>
      </c>
      <c r="H2468" s="1" t="s">
        <v>70</v>
      </c>
    </row>
    <row r="2469" spans="1:8" x14ac:dyDescent="0.3">
      <c r="A2469" s="1" t="s">
        <v>382</v>
      </c>
      <c r="B2469" s="1" t="s">
        <v>140</v>
      </c>
      <c r="C2469" s="1">
        <v>2019</v>
      </c>
      <c r="D2469" s="1">
        <v>39834</v>
      </c>
      <c r="E2469" s="1">
        <v>266</v>
      </c>
      <c r="F2469" s="1">
        <v>194</v>
      </c>
      <c r="G2469" s="1">
        <v>528552</v>
      </c>
      <c r="H2469" s="1" t="s">
        <v>70</v>
      </c>
    </row>
    <row r="2470" spans="1:8" x14ac:dyDescent="0.3">
      <c r="A2470" s="1" t="s">
        <v>383</v>
      </c>
      <c r="B2470" s="1" t="s">
        <v>384</v>
      </c>
      <c r="C2470" s="1">
        <v>2019</v>
      </c>
      <c r="D2470" s="1">
        <v>20340</v>
      </c>
      <c r="E2470" s="1">
        <v>34</v>
      </c>
      <c r="F2470" s="1">
        <v>147</v>
      </c>
      <c r="G2470" s="1">
        <v>1191362</v>
      </c>
      <c r="H2470" s="1" t="s">
        <v>70</v>
      </c>
    </row>
    <row r="2471" spans="1:8" x14ac:dyDescent="0.3">
      <c r="A2471" s="1" t="s">
        <v>385</v>
      </c>
      <c r="B2471" s="1" t="s">
        <v>386</v>
      </c>
      <c r="C2471" s="1">
        <v>2019</v>
      </c>
      <c r="D2471" s="1">
        <v>24504</v>
      </c>
      <c r="E2471" s="1">
        <v>122</v>
      </c>
      <c r="F2471" s="1">
        <v>137</v>
      </c>
      <c r="G2471" s="1">
        <v>944439</v>
      </c>
      <c r="H2471" s="1" t="s">
        <v>70</v>
      </c>
    </row>
    <row r="2472" spans="1:8" x14ac:dyDescent="0.3">
      <c r="A2472" s="1" t="s">
        <v>387</v>
      </c>
      <c r="B2472" s="1" t="s">
        <v>388</v>
      </c>
      <c r="C2472" s="1">
        <v>2019</v>
      </c>
      <c r="D2472" s="1">
        <v>57864</v>
      </c>
      <c r="E2472" s="1">
        <v>1179</v>
      </c>
      <c r="F2472" s="1">
        <v>1360</v>
      </c>
      <c r="G2472" s="1">
        <v>1579945</v>
      </c>
      <c r="H2472" s="1" t="s">
        <v>70</v>
      </c>
    </row>
    <row r="2473" spans="1:8" x14ac:dyDescent="0.3">
      <c r="A2473" s="1" t="s">
        <v>389</v>
      </c>
      <c r="B2473" s="1" t="s">
        <v>390</v>
      </c>
      <c r="C2473" s="1">
        <v>2019</v>
      </c>
      <c r="D2473" s="1">
        <v>6929</v>
      </c>
      <c r="E2473" s="1">
        <v>38</v>
      </c>
      <c r="F2473" s="1">
        <v>59</v>
      </c>
      <c r="G2473" s="1">
        <v>709634</v>
      </c>
      <c r="H2473" s="1" t="s">
        <v>70</v>
      </c>
    </row>
    <row r="2474" spans="1:8" x14ac:dyDescent="0.3">
      <c r="A2474" s="1" t="s">
        <v>391</v>
      </c>
      <c r="B2474" s="1" t="s">
        <v>392</v>
      </c>
      <c r="C2474" s="1">
        <v>2019</v>
      </c>
      <c r="D2474" s="1">
        <v>18944</v>
      </c>
      <c r="E2474" s="1">
        <v>193</v>
      </c>
      <c r="F2474" s="1">
        <v>49</v>
      </c>
      <c r="G2474" s="1">
        <v>89113</v>
      </c>
      <c r="H2474" s="1" t="s">
        <v>70</v>
      </c>
    </row>
    <row r="2475" spans="1:8" x14ac:dyDescent="0.3">
      <c r="A2475" s="1" t="s">
        <v>393</v>
      </c>
      <c r="B2475" s="1" t="s">
        <v>394</v>
      </c>
      <c r="C2475" s="1">
        <v>2019</v>
      </c>
      <c r="D2475" s="1">
        <v>38856</v>
      </c>
      <c r="E2475" s="1">
        <v>462</v>
      </c>
      <c r="F2475" s="1">
        <v>176</v>
      </c>
      <c r="G2475" s="1">
        <v>960114</v>
      </c>
      <c r="H2475" s="1" t="s">
        <v>70</v>
      </c>
    </row>
    <row r="2476" spans="1:8" x14ac:dyDescent="0.3">
      <c r="A2476" s="1" t="s">
        <v>395</v>
      </c>
      <c r="B2476" s="1" t="s">
        <v>396</v>
      </c>
      <c r="C2476" s="1">
        <v>2019</v>
      </c>
      <c r="D2476" s="1">
        <v>36435</v>
      </c>
      <c r="E2476" s="1">
        <v>330</v>
      </c>
      <c r="F2476" s="1">
        <v>219</v>
      </c>
      <c r="G2476" s="1">
        <v>1471876</v>
      </c>
      <c r="H2476" s="1" t="s">
        <v>70</v>
      </c>
    </row>
    <row r="2477" spans="1:8" x14ac:dyDescent="0.3">
      <c r="A2477" s="1" t="s">
        <v>397</v>
      </c>
      <c r="B2477" s="1" t="s">
        <v>398</v>
      </c>
      <c r="C2477" s="1">
        <v>2019</v>
      </c>
      <c r="D2477" s="1">
        <v>33743</v>
      </c>
      <c r="E2477" s="1">
        <v>180</v>
      </c>
      <c r="F2477" s="1">
        <v>81</v>
      </c>
      <c r="G2477" s="1">
        <v>1252338</v>
      </c>
      <c r="H2477" s="1" t="s">
        <v>70</v>
      </c>
    </row>
    <row r="2478" spans="1:8" x14ac:dyDescent="0.3">
      <c r="A2478" s="1" t="s">
        <v>399</v>
      </c>
      <c r="B2478" s="1" t="s">
        <v>400</v>
      </c>
      <c r="C2478" s="1">
        <v>2019</v>
      </c>
      <c r="D2478" s="1">
        <v>17209</v>
      </c>
      <c r="E2478" s="1">
        <v>146</v>
      </c>
      <c r="F2478" s="1">
        <v>26</v>
      </c>
      <c r="G2478" s="1">
        <v>148026</v>
      </c>
      <c r="H2478" s="1" t="s">
        <v>70</v>
      </c>
    </row>
    <row r="2479" spans="1:8" x14ac:dyDescent="0.3">
      <c r="A2479" s="1" t="s">
        <v>401</v>
      </c>
      <c r="B2479" s="1" t="s">
        <v>167</v>
      </c>
      <c r="C2479" s="1">
        <v>2019</v>
      </c>
      <c r="D2479" s="1">
        <v>32251</v>
      </c>
      <c r="E2479" s="1">
        <v>295</v>
      </c>
      <c r="F2479" s="1">
        <v>29</v>
      </c>
      <c r="G2479" s="1">
        <v>163363</v>
      </c>
      <c r="H2479" s="1" t="s">
        <v>70</v>
      </c>
    </row>
    <row r="2480" spans="1:8" x14ac:dyDescent="0.3">
      <c r="A2480" s="1" t="s">
        <v>402</v>
      </c>
      <c r="B2480" s="1" t="s">
        <v>403</v>
      </c>
      <c r="C2480" s="1">
        <v>2019</v>
      </c>
      <c r="D2480" s="1">
        <v>20079</v>
      </c>
      <c r="E2480" s="1">
        <v>171</v>
      </c>
      <c r="F2480" s="1">
        <v>68</v>
      </c>
      <c r="G2480" s="1">
        <v>515026</v>
      </c>
      <c r="H2480" s="1" t="s">
        <v>70</v>
      </c>
    </row>
    <row r="2481" spans="1:8" x14ac:dyDescent="0.3">
      <c r="A2481" s="1" t="s">
        <v>404</v>
      </c>
      <c r="B2481" s="1" t="s">
        <v>405</v>
      </c>
      <c r="C2481" s="1">
        <v>2019</v>
      </c>
      <c r="D2481" s="1">
        <v>17008</v>
      </c>
      <c r="E2481" s="1">
        <v>102</v>
      </c>
      <c r="F2481" s="1">
        <v>39</v>
      </c>
      <c r="G2481" s="1">
        <v>245876</v>
      </c>
      <c r="H2481" s="1" t="s">
        <v>70</v>
      </c>
    </row>
    <row r="2482" spans="1:8" x14ac:dyDescent="0.3">
      <c r="A2482" s="1" t="s">
        <v>406</v>
      </c>
      <c r="B2482" s="1" t="s">
        <v>407</v>
      </c>
      <c r="C2482" s="1">
        <v>2019</v>
      </c>
      <c r="D2482" s="1">
        <v>24097</v>
      </c>
      <c r="E2482" s="1">
        <v>321</v>
      </c>
      <c r="F2482" s="1">
        <v>101</v>
      </c>
      <c r="G2482" s="1">
        <v>235513</v>
      </c>
      <c r="H2482" s="1" t="s">
        <v>70</v>
      </c>
    </row>
    <row r="2483" spans="1:8" x14ac:dyDescent="0.3">
      <c r="A2483" s="1" t="s">
        <v>408</v>
      </c>
      <c r="B2483" s="1" t="s">
        <v>409</v>
      </c>
      <c r="C2483" s="1">
        <v>2019</v>
      </c>
      <c r="D2483" s="1">
        <v>42307</v>
      </c>
      <c r="E2483" s="1">
        <v>457</v>
      </c>
      <c r="F2483" s="1">
        <v>184</v>
      </c>
      <c r="G2483" s="1">
        <v>692967</v>
      </c>
      <c r="H2483" s="1" t="s">
        <v>70</v>
      </c>
    </row>
    <row r="2484" spans="1:8" x14ac:dyDescent="0.3">
      <c r="A2484" s="1" t="s">
        <v>410</v>
      </c>
      <c r="B2484" s="1" t="s">
        <v>411</v>
      </c>
      <c r="C2484" s="1">
        <v>2019</v>
      </c>
      <c r="D2484" s="1">
        <v>20147</v>
      </c>
      <c r="E2484" s="1">
        <v>187</v>
      </c>
      <c r="F2484" s="1">
        <v>20</v>
      </c>
      <c r="G2484" s="1">
        <v>264904</v>
      </c>
      <c r="H2484" s="1" t="s">
        <v>70</v>
      </c>
    </row>
    <row r="2485" spans="1:8" x14ac:dyDescent="0.3">
      <c r="A2485" s="1" t="s">
        <v>412</v>
      </c>
      <c r="B2485" s="1" t="s">
        <v>413</v>
      </c>
      <c r="C2485" s="1">
        <v>2019</v>
      </c>
      <c r="D2485" s="1">
        <v>20899</v>
      </c>
      <c r="E2485" s="1">
        <v>223</v>
      </c>
      <c r="F2485" s="1">
        <v>57</v>
      </c>
      <c r="G2485" s="1">
        <v>98022</v>
      </c>
      <c r="H2485" s="1" t="s">
        <v>70</v>
      </c>
    </row>
    <row r="2486" spans="1:8" x14ac:dyDescent="0.3">
      <c r="A2486" s="1" t="s">
        <v>414</v>
      </c>
      <c r="B2486" s="1" t="s">
        <v>415</v>
      </c>
      <c r="C2486" s="1">
        <v>2019</v>
      </c>
      <c r="D2486" s="1">
        <v>24061</v>
      </c>
      <c r="E2486" s="1">
        <v>197</v>
      </c>
      <c r="F2486" s="1">
        <v>42</v>
      </c>
      <c r="G2486" s="1">
        <v>230096</v>
      </c>
      <c r="H2486" s="1" t="s">
        <v>70</v>
      </c>
    </row>
    <row r="2487" spans="1:8" x14ac:dyDescent="0.3">
      <c r="A2487" s="1" t="s">
        <v>416</v>
      </c>
      <c r="B2487" s="1" t="s">
        <v>417</v>
      </c>
      <c r="C2487" s="1">
        <v>2019</v>
      </c>
      <c r="D2487" s="1">
        <v>21038</v>
      </c>
      <c r="E2487" s="1">
        <v>272</v>
      </c>
      <c r="F2487" s="1">
        <v>65</v>
      </c>
      <c r="G2487" s="1">
        <v>82037</v>
      </c>
      <c r="H2487" s="1" t="s">
        <v>70</v>
      </c>
    </row>
    <row r="2488" spans="1:8" x14ac:dyDescent="0.3">
      <c r="A2488" s="1" t="s">
        <v>418</v>
      </c>
      <c r="B2488" s="1" t="s">
        <v>419</v>
      </c>
      <c r="C2488" s="1">
        <v>2019</v>
      </c>
      <c r="D2488" s="1">
        <v>50003</v>
      </c>
      <c r="E2488" s="1">
        <v>1003</v>
      </c>
      <c r="F2488" s="1">
        <v>356</v>
      </c>
      <c r="G2488" s="1">
        <v>193189</v>
      </c>
      <c r="H2488" s="1" t="s">
        <v>70</v>
      </c>
    </row>
    <row r="2489" spans="1:8" x14ac:dyDescent="0.3">
      <c r="A2489" s="1" t="s">
        <v>420</v>
      </c>
      <c r="B2489" s="1" t="s">
        <v>421</v>
      </c>
      <c r="C2489" s="1">
        <v>2019</v>
      </c>
      <c r="D2489" s="1">
        <v>29364</v>
      </c>
      <c r="E2489" s="1">
        <v>278</v>
      </c>
      <c r="F2489" s="1">
        <v>154</v>
      </c>
      <c r="G2489" s="1">
        <v>978533</v>
      </c>
      <c r="H2489" s="1" t="s">
        <v>70</v>
      </c>
    </row>
    <row r="2490" spans="1:8" x14ac:dyDescent="0.3">
      <c r="A2490" s="1" t="s">
        <v>422</v>
      </c>
      <c r="B2490" s="1" t="s">
        <v>423</v>
      </c>
      <c r="C2490" s="1">
        <v>2019</v>
      </c>
      <c r="D2490" s="1">
        <v>36667</v>
      </c>
      <c r="E2490" s="1">
        <v>222</v>
      </c>
      <c r="F2490" s="1">
        <v>306</v>
      </c>
      <c r="G2490" s="1">
        <v>399012</v>
      </c>
      <c r="H2490" s="1" t="s">
        <v>70</v>
      </c>
    </row>
    <row r="2491" spans="1:8" x14ac:dyDescent="0.3">
      <c r="A2491" s="1" t="s">
        <v>424</v>
      </c>
      <c r="B2491" s="1" t="s">
        <v>425</v>
      </c>
      <c r="C2491" s="1">
        <v>2019</v>
      </c>
      <c r="D2491" s="1">
        <v>17705</v>
      </c>
      <c r="E2491" s="1">
        <v>138</v>
      </c>
      <c r="F2491" s="1">
        <v>16</v>
      </c>
      <c r="G2491" s="1">
        <v>185265</v>
      </c>
      <c r="H2491" s="1" t="s">
        <v>70</v>
      </c>
    </row>
    <row r="2492" spans="1:8" x14ac:dyDescent="0.3">
      <c r="A2492" s="1" t="s">
        <v>426</v>
      </c>
      <c r="B2492" s="1" t="s">
        <v>427</v>
      </c>
      <c r="C2492" s="1">
        <v>2019</v>
      </c>
      <c r="D2492" s="1">
        <v>16177</v>
      </c>
      <c r="E2492" s="1">
        <v>141</v>
      </c>
      <c r="F2492" s="1">
        <v>81</v>
      </c>
      <c r="G2492" s="1">
        <v>347934</v>
      </c>
      <c r="H2492" s="1" t="s">
        <v>70</v>
      </c>
    </row>
    <row r="2493" spans="1:8" x14ac:dyDescent="0.3">
      <c r="A2493" s="1" t="s">
        <v>428</v>
      </c>
      <c r="B2493" s="1" t="s">
        <v>429</v>
      </c>
      <c r="C2493" s="1">
        <v>2019</v>
      </c>
      <c r="D2493" s="1">
        <v>8207</v>
      </c>
      <c r="E2493" s="1">
        <v>98</v>
      </c>
      <c r="F2493" s="1">
        <v>37</v>
      </c>
      <c r="G2493" s="1">
        <v>184702</v>
      </c>
      <c r="H2493" s="1" t="s">
        <v>70</v>
      </c>
    </row>
    <row r="2494" spans="1:8" x14ac:dyDescent="0.3">
      <c r="A2494" s="1" t="s">
        <v>430</v>
      </c>
      <c r="B2494" s="1" t="s">
        <v>431</v>
      </c>
      <c r="C2494" s="1">
        <v>2019</v>
      </c>
      <c r="D2494" s="1">
        <v>17976</v>
      </c>
      <c r="E2494" s="1">
        <v>193</v>
      </c>
      <c r="F2494" s="1">
        <v>215</v>
      </c>
      <c r="G2494" s="1">
        <v>477035</v>
      </c>
      <c r="H2494" s="1" t="s">
        <v>70</v>
      </c>
    </row>
    <row r="2495" spans="1:8" x14ac:dyDescent="0.3">
      <c r="A2495" s="1" t="s">
        <v>432</v>
      </c>
      <c r="B2495" s="1" t="s">
        <v>433</v>
      </c>
      <c r="C2495" s="1">
        <v>2019</v>
      </c>
      <c r="D2495" s="1">
        <v>25170</v>
      </c>
      <c r="E2495" s="1">
        <v>127</v>
      </c>
      <c r="F2495" s="1">
        <v>388</v>
      </c>
      <c r="G2495" s="1">
        <v>2869024</v>
      </c>
      <c r="H2495" s="1" t="s">
        <v>70</v>
      </c>
    </row>
    <row r="2496" spans="1:8" x14ac:dyDescent="0.3">
      <c r="A2496" s="1" t="s">
        <v>434</v>
      </c>
      <c r="B2496" s="1" t="s">
        <v>435</v>
      </c>
      <c r="C2496" s="1">
        <v>2019</v>
      </c>
      <c r="D2496" s="1">
        <v>85592</v>
      </c>
      <c r="E2496" s="1">
        <v>3291</v>
      </c>
      <c r="F2496" s="1">
        <v>4028</v>
      </c>
      <c r="G2496" s="1">
        <v>4513696</v>
      </c>
      <c r="H2496" s="1" t="s">
        <v>70</v>
      </c>
    </row>
    <row r="2497" spans="1:8" x14ac:dyDescent="0.3">
      <c r="A2497" s="1" t="s">
        <v>436</v>
      </c>
      <c r="B2497" s="1" t="s">
        <v>437</v>
      </c>
      <c r="C2497" s="1">
        <v>2019</v>
      </c>
      <c r="D2497" s="1">
        <v>17816</v>
      </c>
      <c r="E2497" s="1">
        <v>148</v>
      </c>
      <c r="F2497" s="1">
        <v>120</v>
      </c>
      <c r="G2497" s="1">
        <v>1055205</v>
      </c>
      <c r="H2497" s="1" t="s">
        <v>70</v>
      </c>
    </row>
    <row r="2498" spans="1:8" x14ac:dyDescent="0.3">
      <c r="A2498" s="1" t="s">
        <v>438</v>
      </c>
      <c r="B2498" s="1" t="s">
        <v>439</v>
      </c>
      <c r="C2498" s="1">
        <v>2019</v>
      </c>
      <c r="D2498" s="1">
        <v>20322</v>
      </c>
      <c r="E2498" s="1">
        <v>213</v>
      </c>
      <c r="F2498" s="1">
        <v>197</v>
      </c>
      <c r="G2498" s="1">
        <v>375218</v>
      </c>
      <c r="H2498" s="1" t="s">
        <v>70</v>
      </c>
    </row>
    <row r="2499" spans="1:8" x14ac:dyDescent="0.3">
      <c r="A2499" s="1" t="s">
        <v>440</v>
      </c>
      <c r="B2499" s="1" t="s">
        <v>441</v>
      </c>
      <c r="C2499" s="1">
        <v>2019</v>
      </c>
      <c r="D2499" s="1">
        <v>57092</v>
      </c>
      <c r="E2499" s="1">
        <v>1174</v>
      </c>
      <c r="F2499" s="1">
        <v>361</v>
      </c>
      <c r="G2499" s="1">
        <v>1426065</v>
      </c>
      <c r="H2499" s="1" t="s">
        <v>70</v>
      </c>
    </row>
    <row r="2500" spans="1:8" x14ac:dyDescent="0.3">
      <c r="A2500" s="1" t="s">
        <v>442</v>
      </c>
      <c r="B2500" s="1" t="s">
        <v>443</v>
      </c>
      <c r="C2500" s="1">
        <v>2019</v>
      </c>
      <c r="D2500" s="1">
        <v>24056</v>
      </c>
      <c r="E2500" s="1">
        <v>158</v>
      </c>
      <c r="F2500" s="1">
        <v>64</v>
      </c>
      <c r="G2500" s="1">
        <v>567671</v>
      </c>
      <c r="H2500" s="1" t="s">
        <v>70</v>
      </c>
    </row>
    <row r="2501" spans="1:8" x14ac:dyDescent="0.3">
      <c r="A2501" s="1" t="s">
        <v>444</v>
      </c>
      <c r="B2501" s="1" t="s">
        <v>445</v>
      </c>
      <c r="C2501" s="1">
        <v>2019</v>
      </c>
      <c r="D2501" s="1">
        <v>15735</v>
      </c>
      <c r="E2501" s="1">
        <v>151</v>
      </c>
      <c r="F2501" s="1">
        <v>129</v>
      </c>
      <c r="G2501" s="1">
        <v>632431</v>
      </c>
      <c r="H2501" s="1" t="s">
        <v>70</v>
      </c>
    </row>
    <row r="2502" spans="1:8" x14ac:dyDescent="0.3">
      <c r="A2502" s="1" t="s">
        <v>446</v>
      </c>
      <c r="B2502" s="1" t="s">
        <v>447</v>
      </c>
      <c r="C2502" s="1">
        <v>2019</v>
      </c>
      <c r="D2502" s="1">
        <v>22209</v>
      </c>
      <c r="E2502" s="1">
        <v>130</v>
      </c>
      <c r="F2502" s="1">
        <v>74</v>
      </c>
      <c r="G2502" s="1">
        <v>933331</v>
      </c>
      <c r="H2502" s="1" t="s">
        <v>70</v>
      </c>
    </row>
    <row r="2503" spans="1:8" x14ac:dyDescent="0.3">
      <c r="A2503" s="1" t="s">
        <v>448</v>
      </c>
      <c r="B2503" s="1" t="s">
        <v>449</v>
      </c>
      <c r="C2503" s="1">
        <v>2019</v>
      </c>
      <c r="D2503" s="1">
        <v>11045</v>
      </c>
      <c r="E2503" s="1">
        <v>180</v>
      </c>
      <c r="F2503" s="1">
        <v>144</v>
      </c>
      <c r="G2503" s="1">
        <v>291306</v>
      </c>
      <c r="H2503" s="1" t="s">
        <v>70</v>
      </c>
    </row>
    <row r="2504" spans="1:8" x14ac:dyDescent="0.3">
      <c r="A2504" s="1" t="s">
        <v>450</v>
      </c>
      <c r="B2504" s="1" t="s">
        <v>451</v>
      </c>
      <c r="C2504" s="1">
        <v>2019</v>
      </c>
      <c r="D2504" s="1">
        <v>15374</v>
      </c>
      <c r="E2504" s="1">
        <v>184</v>
      </c>
      <c r="F2504" s="1">
        <v>10</v>
      </c>
      <c r="G2504" s="1">
        <v>99220</v>
      </c>
      <c r="H2504" s="1" t="s">
        <v>70</v>
      </c>
    </row>
    <row r="2505" spans="1:8" x14ac:dyDescent="0.3">
      <c r="A2505" s="1" t="s">
        <v>452</v>
      </c>
      <c r="B2505" s="1" t="s">
        <v>453</v>
      </c>
      <c r="C2505" s="1">
        <v>2019</v>
      </c>
      <c r="D2505" s="1">
        <v>13785</v>
      </c>
      <c r="E2505" s="1">
        <v>104</v>
      </c>
      <c r="F2505" s="1">
        <v>52</v>
      </c>
      <c r="G2505" s="1">
        <v>307430</v>
      </c>
      <c r="H2505" s="1" t="s">
        <v>70</v>
      </c>
    </row>
    <row r="2506" spans="1:8" x14ac:dyDescent="0.3">
      <c r="A2506" s="1" t="s">
        <v>454</v>
      </c>
      <c r="B2506" s="1" t="s">
        <v>455</v>
      </c>
      <c r="C2506" s="1">
        <v>2019</v>
      </c>
      <c r="D2506" s="1">
        <v>7230</v>
      </c>
      <c r="E2506" s="1">
        <v>76</v>
      </c>
      <c r="F2506" s="1">
        <v>38</v>
      </c>
      <c r="G2506" s="1">
        <v>120357</v>
      </c>
      <c r="H2506" s="1" t="s">
        <v>70</v>
      </c>
    </row>
    <row r="2507" spans="1:8" x14ac:dyDescent="0.3">
      <c r="A2507" s="1" t="s">
        <v>456</v>
      </c>
      <c r="B2507" s="1" t="s">
        <v>457</v>
      </c>
      <c r="C2507" s="1">
        <v>2019</v>
      </c>
      <c r="D2507" s="1">
        <v>18296</v>
      </c>
      <c r="E2507" s="1">
        <v>81</v>
      </c>
      <c r="F2507" s="1">
        <v>28</v>
      </c>
      <c r="G2507" s="1">
        <v>157704</v>
      </c>
      <c r="H2507" s="1" t="s">
        <v>70</v>
      </c>
    </row>
    <row r="2508" spans="1:8" x14ac:dyDescent="0.3">
      <c r="A2508" s="1" t="s">
        <v>458</v>
      </c>
      <c r="B2508" s="1" t="s">
        <v>459</v>
      </c>
      <c r="C2508" s="1">
        <v>2019</v>
      </c>
      <c r="D2508" s="1">
        <v>25849</v>
      </c>
      <c r="E2508" s="1">
        <v>172</v>
      </c>
      <c r="F2508" s="1">
        <v>41</v>
      </c>
      <c r="G2508" s="1">
        <v>739159</v>
      </c>
      <c r="H2508" s="1" t="s">
        <v>70</v>
      </c>
    </row>
    <row r="2509" spans="1:8" x14ac:dyDescent="0.3">
      <c r="A2509" s="1" t="s">
        <v>460</v>
      </c>
      <c r="B2509" s="1" t="s">
        <v>461</v>
      </c>
      <c r="C2509" s="1">
        <v>2019</v>
      </c>
      <c r="D2509" s="1">
        <v>11493</v>
      </c>
      <c r="E2509" s="1">
        <v>126</v>
      </c>
      <c r="F2509" s="1">
        <v>22</v>
      </c>
      <c r="G2509" s="1">
        <v>217494</v>
      </c>
      <c r="H2509" s="1" t="s">
        <v>70</v>
      </c>
    </row>
    <row r="2510" spans="1:8" x14ac:dyDescent="0.3">
      <c r="A2510" s="1" t="s">
        <v>462</v>
      </c>
      <c r="B2510" s="1" t="s">
        <v>463</v>
      </c>
      <c r="C2510" s="1">
        <v>2019</v>
      </c>
      <c r="D2510" s="1">
        <v>18232</v>
      </c>
      <c r="E2510" s="1">
        <v>128</v>
      </c>
      <c r="F2510" s="1">
        <v>40</v>
      </c>
      <c r="G2510" s="1">
        <v>148220</v>
      </c>
      <c r="H2510" s="1" t="s">
        <v>70</v>
      </c>
    </row>
    <row r="2511" spans="1:8" x14ac:dyDescent="0.3">
      <c r="A2511" s="1" t="s">
        <v>464</v>
      </c>
      <c r="B2511" s="1" t="s">
        <v>465</v>
      </c>
      <c r="C2511" s="1">
        <v>2019</v>
      </c>
      <c r="D2511" s="1">
        <v>14621</v>
      </c>
      <c r="E2511" s="1">
        <v>91</v>
      </c>
      <c r="F2511" s="1">
        <v>124</v>
      </c>
      <c r="G2511" s="1">
        <v>409074</v>
      </c>
      <c r="H2511" s="1" t="s">
        <v>70</v>
      </c>
    </row>
    <row r="2512" spans="1:8" x14ac:dyDescent="0.3">
      <c r="A2512" s="1" t="s">
        <v>466</v>
      </c>
      <c r="B2512" s="1" t="s">
        <v>467</v>
      </c>
      <c r="C2512" s="1">
        <v>2019</v>
      </c>
      <c r="D2512" s="1">
        <v>134359</v>
      </c>
      <c r="E2512" s="1">
        <v>2450</v>
      </c>
      <c r="F2512" s="1">
        <v>3510</v>
      </c>
      <c r="G2512" s="1">
        <v>9699883</v>
      </c>
      <c r="H2512" s="1" t="s">
        <v>70</v>
      </c>
    </row>
    <row r="2513" spans="1:8" x14ac:dyDescent="0.3">
      <c r="A2513" s="1" t="s">
        <v>468</v>
      </c>
      <c r="B2513" s="1" t="s">
        <v>469</v>
      </c>
      <c r="C2513" s="1">
        <v>2019</v>
      </c>
      <c r="D2513" s="1">
        <v>24045</v>
      </c>
      <c r="E2513" s="1">
        <v>202</v>
      </c>
      <c r="F2513" s="1">
        <v>299</v>
      </c>
      <c r="G2513" s="1">
        <v>1464747</v>
      </c>
      <c r="H2513" s="1" t="s">
        <v>70</v>
      </c>
    </row>
    <row r="2514" spans="1:8" x14ac:dyDescent="0.3">
      <c r="A2514" s="1" t="s">
        <v>470</v>
      </c>
      <c r="B2514" s="1" t="s">
        <v>471</v>
      </c>
      <c r="C2514" s="1">
        <v>2019</v>
      </c>
      <c r="D2514" s="1">
        <v>26704</v>
      </c>
      <c r="E2514" s="1">
        <v>469</v>
      </c>
      <c r="F2514" s="1">
        <v>562</v>
      </c>
      <c r="G2514" s="1">
        <v>1888346</v>
      </c>
      <c r="H2514" s="1" t="s">
        <v>70</v>
      </c>
    </row>
    <row r="2515" spans="1:8" x14ac:dyDescent="0.3">
      <c r="A2515" s="1" t="s">
        <v>472</v>
      </c>
      <c r="B2515" s="1" t="s">
        <v>473</v>
      </c>
      <c r="C2515" s="1">
        <v>2019</v>
      </c>
      <c r="D2515" s="1">
        <v>23146</v>
      </c>
      <c r="E2515" s="1">
        <v>241</v>
      </c>
      <c r="F2515" s="1">
        <v>246</v>
      </c>
      <c r="G2515" s="1">
        <v>656627</v>
      </c>
      <c r="H2515" s="1" t="s">
        <v>70</v>
      </c>
    </row>
    <row r="2516" spans="1:8" x14ac:dyDescent="0.3">
      <c r="A2516" s="1" t="s">
        <v>474</v>
      </c>
      <c r="B2516" s="1" t="s">
        <v>475</v>
      </c>
      <c r="C2516" s="1">
        <v>2019</v>
      </c>
      <c r="D2516" s="1">
        <v>30285</v>
      </c>
      <c r="E2516" s="1">
        <v>545</v>
      </c>
      <c r="F2516" s="1">
        <v>374</v>
      </c>
      <c r="G2516" s="1">
        <v>1826112</v>
      </c>
      <c r="H2516" s="1" t="s">
        <v>70</v>
      </c>
    </row>
    <row r="2517" spans="1:8" x14ac:dyDescent="0.3">
      <c r="A2517" s="1" t="s">
        <v>476</v>
      </c>
      <c r="B2517" s="1" t="s">
        <v>477</v>
      </c>
      <c r="C2517" s="1">
        <v>2019</v>
      </c>
      <c r="D2517" s="1">
        <v>18181</v>
      </c>
      <c r="E2517" s="1">
        <v>115</v>
      </c>
      <c r="F2517" s="1">
        <v>188</v>
      </c>
      <c r="G2517" s="1">
        <v>1555528</v>
      </c>
      <c r="H2517" s="1" t="s">
        <v>70</v>
      </c>
    </row>
    <row r="2518" spans="1:8" x14ac:dyDescent="0.3">
      <c r="A2518" s="1" t="s">
        <v>478</v>
      </c>
      <c r="B2518" s="1" t="s">
        <v>479</v>
      </c>
      <c r="C2518" s="1">
        <v>2019</v>
      </c>
      <c r="D2518" s="1">
        <v>40301</v>
      </c>
      <c r="E2518" s="1">
        <v>1170</v>
      </c>
      <c r="F2518" s="1">
        <v>1172</v>
      </c>
      <c r="G2518" s="1">
        <v>1827880</v>
      </c>
      <c r="H2518" s="1" t="s">
        <v>70</v>
      </c>
    </row>
    <row r="2519" spans="1:8" x14ac:dyDescent="0.3">
      <c r="A2519" s="1" t="s">
        <v>480</v>
      </c>
      <c r="B2519" s="1" t="s">
        <v>481</v>
      </c>
      <c r="C2519" s="1">
        <v>2019</v>
      </c>
      <c r="D2519" s="1">
        <v>38510</v>
      </c>
      <c r="E2519" s="1">
        <v>1529</v>
      </c>
      <c r="F2519" s="1">
        <v>669</v>
      </c>
      <c r="G2519" s="1">
        <v>2085322</v>
      </c>
      <c r="H2519" s="1" t="s">
        <v>70</v>
      </c>
    </row>
    <row r="2520" spans="1:8" x14ac:dyDescent="0.3">
      <c r="A2520" s="1" t="s">
        <v>482</v>
      </c>
      <c r="B2520" s="1" t="s">
        <v>483</v>
      </c>
      <c r="C2520" s="1">
        <v>2019</v>
      </c>
      <c r="D2520" s="1">
        <v>21896</v>
      </c>
      <c r="E2520" s="1">
        <v>302</v>
      </c>
      <c r="F2520" s="1">
        <v>124</v>
      </c>
      <c r="G2520" s="1">
        <v>1750746</v>
      </c>
      <c r="H2520" s="1" t="s">
        <v>70</v>
      </c>
    </row>
    <row r="2521" spans="1:8" x14ac:dyDescent="0.3">
      <c r="A2521" s="1" t="s">
        <v>484</v>
      </c>
      <c r="B2521" s="1" t="s">
        <v>485</v>
      </c>
      <c r="C2521" s="1">
        <v>2019</v>
      </c>
      <c r="D2521" s="1">
        <v>26292</v>
      </c>
      <c r="E2521" s="1">
        <v>187</v>
      </c>
      <c r="F2521" s="1">
        <v>261</v>
      </c>
      <c r="G2521" s="1">
        <v>1196500</v>
      </c>
      <c r="H2521" s="1" t="s">
        <v>70</v>
      </c>
    </row>
    <row r="2522" spans="1:8" x14ac:dyDescent="0.3">
      <c r="A2522" s="1" t="s">
        <v>486</v>
      </c>
      <c r="B2522" s="1" t="s">
        <v>487</v>
      </c>
      <c r="C2522" s="1">
        <v>2019</v>
      </c>
      <c r="D2522" s="1">
        <v>22634</v>
      </c>
      <c r="E2522" s="1">
        <v>305</v>
      </c>
      <c r="F2522" s="1">
        <v>504</v>
      </c>
      <c r="G2522" s="1">
        <v>905785</v>
      </c>
      <c r="H2522" s="1" t="s">
        <v>70</v>
      </c>
    </row>
    <row r="2523" spans="1:8" x14ac:dyDescent="0.3">
      <c r="A2523" s="1" t="s">
        <v>488</v>
      </c>
      <c r="B2523" s="1" t="s">
        <v>489</v>
      </c>
      <c r="C2523" s="1">
        <v>2019</v>
      </c>
      <c r="D2523" s="1">
        <v>22288</v>
      </c>
      <c r="E2523" s="1">
        <v>268</v>
      </c>
      <c r="F2523" s="1">
        <v>394</v>
      </c>
      <c r="G2523" s="1">
        <v>2113070</v>
      </c>
      <c r="H2523" s="1" t="s">
        <v>70</v>
      </c>
    </row>
    <row r="2524" spans="1:8" x14ac:dyDescent="0.3">
      <c r="A2524" s="1" t="s">
        <v>490</v>
      </c>
      <c r="B2524" s="1" t="s">
        <v>310</v>
      </c>
      <c r="C2524" s="1">
        <v>2019</v>
      </c>
      <c r="D2524" s="1">
        <v>13472</v>
      </c>
      <c r="E2524" s="1">
        <v>229</v>
      </c>
      <c r="F2524" s="1">
        <v>216</v>
      </c>
      <c r="G2524" s="1">
        <v>749849</v>
      </c>
      <c r="H2524" s="1" t="s">
        <v>70</v>
      </c>
    </row>
    <row r="2525" spans="1:8" x14ac:dyDescent="0.3">
      <c r="A2525" s="1" t="s">
        <v>491</v>
      </c>
      <c r="B2525" s="1" t="s">
        <v>492</v>
      </c>
      <c r="C2525" s="1">
        <v>2019</v>
      </c>
      <c r="D2525" s="1">
        <v>30844</v>
      </c>
      <c r="E2525" s="1">
        <v>1194</v>
      </c>
      <c r="F2525" s="1">
        <v>813</v>
      </c>
      <c r="G2525" s="1">
        <v>1150803</v>
      </c>
      <c r="H2525" s="1" t="s">
        <v>70</v>
      </c>
    </row>
    <row r="2526" spans="1:8" x14ac:dyDescent="0.3">
      <c r="A2526" s="1" t="s">
        <v>493</v>
      </c>
      <c r="B2526" s="1" t="s">
        <v>494</v>
      </c>
      <c r="C2526" s="1">
        <v>2019</v>
      </c>
      <c r="D2526" s="1">
        <v>33723</v>
      </c>
      <c r="E2526" s="1">
        <v>539</v>
      </c>
      <c r="F2526" s="1">
        <v>231</v>
      </c>
      <c r="G2526" s="1">
        <v>832948</v>
      </c>
      <c r="H2526" s="1" t="s">
        <v>70</v>
      </c>
    </row>
    <row r="2527" spans="1:8" x14ac:dyDescent="0.3">
      <c r="A2527" s="1" t="s">
        <v>495</v>
      </c>
      <c r="B2527" s="1" t="s">
        <v>496</v>
      </c>
      <c r="C2527" s="1">
        <v>2019</v>
      </c>
      <c r="D2527" s="1">
        <v>40637</v>
      </c>
      <c r="E2527" s="1">
        <v>606</v>
      </c>
      <c r="F2527" s="1">
        <v>432</v>
      </c>
      <c r="G2527" s="1">
        <v>3265444</v>
      </c>
      <c r="H2527" s="1" t="s">
        <v>70</v>
      </c>
    </row>
    <row r="2528" spans="1:8" x14ac:dyDescent="0.3">
      <c r="A2528" s="1" t="s">
        <v>497</v>
      </c>
      <c r="B2528" s="1" t="s">
        <v>498</v>
      </c>
      <c r="C2528" s="1">
        <v>2019</v>
      </c>
      <c r="D2528" s="1">
        <v>38419</v>
      </c>
      <c r="E2528" s="1">
        <v>328</v>
      </c>
      <c r="F2528" s="1">
        <v>642</v>
      </c>
      <c r="G2528" s="1">
        <v>3441079</v>
      </c>
      <c r="H2528" s="1" t="s">
        <v>70</v>
      </c>
    </row>
    <row r="2529" spans="1:8" x14ac:dyDescent="0.3">
      <c r="A2529" s="1" t="s">
        <v>499</v>
      </c>
      <c r="B2529" s="1" t="s">
        <v>500</v>
      </c>
      <c r="C2529" s="1">
        <v>2019</v>
      </c>
      <c r="D2529" s="1">
        <v>71382</v>
      </c>
      <c r="E2529" s="1">
        <v>1434</v>
      </c>
      <c r="F2529" s="1">
        <v>1944</v>
      </c>
      <c r="G2529" s="1">
        <v>1959001</v>
      </c>
      <c r="H2529" s="1" t="s">
        <v>70</v>
      </c>
    </row>
    <row r="2530" spans="1:8" x14ac:dyDescent="0.3">
      <c r="A2530" s="1" t="s">
        <v>501</v>
      </c>
      <c r="B2530" s="1" t="s">
        <v>502</v>
      </c>
      <c r="C2530" s="1">
        <v>2019</v>
      </c>
      <c r="D2530" s="1">
        <v>13001</v>
      </c>
      <c r="E2530" s="1">
        <v>39</v>
      </c>
      <c r="F2530" s="1">
        <v>95</v>
      </c>
      <c r="G2530" s="1">
        <v>1356749</v>
      </c>
      <c r="H2530" s="1" t="s">
        <v>70</v>
      </c>
    </row>
    <row r="2531" spans="1:8" x14ac:dyDescent="0.3">
      <c r="A2531" s="1" t="s">
        <v>503</v>
      </c>
      <c r="B2531" s="1" t="s">
        <v>504</v>
      </c>
      <c r="C2531" s="1">
        <v>2019</v>
      </c>
      <c r="D2531" s="1">
        <v>236119</v>
      </c>
      <c r="E2531" s="1">
        <v>7265</v>
      </c>
      <c r="F2531" s="1">
        <v>9978</v>
      </c>
      <c r="G2531" s="1">
        <v>9388820</v>
      </c>
      <c r="H2531" s="1" t="s">
        <v>70</v>
      </c>
    </row>
    <row r="2532" spans="1:8" x14ac:dyDescent="0.3">
      <c r="A2532" s="1" t="s">
        <v>505</v>
      </c>
      <c r="B2532" s="1" t="s">
        <v>506</v>
      </c>
      <c r="C2532" s="1">
        <v>2019</v>
      </c>
      <c r="D2532" s="1">
        <v>116037</v>
      </c>
      <c r="E2532" s="1">
        <v>1479</v>
      </c>
      <c r="F2532" s="1">
        <v>2866</v>
      </c>
      <c r="G2532" s="1">
        <v>4009327</v>
      </c>
      <c r="H2532" s="1" t="s">
        <v>70</v>
      </c>
    </row>
    <row r="2533" spans="1:8" x14ac:dyDescent="0.3">
      <c r="A2533" s="1" t="s">
        <v>507</v>
      </c>
      <c r="B2533" s="1" t="s">
        <v>508</v>
      </c>
      <c r="C2533" s="1">
        <v>2019</v>
      </c>
      <c r="D2533" s="1">
        <v>40118</v>
      </c>
      <c r="E2533" s="1">
        <v>453</v>
      </c>
      <c r="F2533" s="1">
        <v>1079</v>
      </c>
      <c r="G2533" s="1">
        <v>1408928</v>
      </c>
      <c r="H2533" s="1" t="s">
        <v>70</v>
      </c>
    </row>
    <row r="2534" spans="1:8" x14ac:dyDescent="0.3">
      <c r="A2534" s="1" t="s">
        <v>509</v>
      </c>
      <c r="B2534" s="1" t="s">
        <v>510</v>
      </c>
      <c r="C2534" s="1">
        <v>2019</v>
      </c>
      <c r="D2534" s="1">
        <v>19460</v>
      </c>
      <c r="E2534" s="1">
        <v>135</v>
      </c>
      <c r="F2534" s="1">
        <v>340</v>
      </c>
      <c r="G2534" s="1">
        <v>410886</v>
      </c>
      <c r="H2534" s="1" t="s">
        <v>70</v>
      </c>
    </row>
    <row r="2535" spans="1:8" x14ac:dyDescent="0.3">
      <c r="A2535" s="1" t="s">
        <v>511</v>
      </c>
      <c r="B2535" s="1" t="s">
        <v>512</v>
      </c>
      <c r="C2535" s="1">
        <v>2019</v>
      </c>
      <c r="D2535" s="1">
        <v>62123</v>
      </c>
      <c r="E2535" s="1">
        <v>453</v>
      </c>
      <c r="F2535" s="1">
        <v>591</v>
      </c>
      <c r="G2535" s="1">
        <v>3675567</v>
      </c>
      <c r="H2535" s="1" t="s">
        <v>70</v>
      </c>
    </row>
    <row r="2536" spans="1:8" x14ac:dyDescent="0.3">
      <c r="A2536" s="1" t="s">
        <v>513</v>
      </c>
      <c r="B2536" s="1" t="s">
        <v>443</v>
      </c>
      <c r="C2536" s="1">
        <v>2019</v>
      </c>
      <c r="D2536" s="1">
        <v>51213</v>
      </c>
      <c r="E2536" s="1">
        <v>542</v>
      </c>
      <c r="F2536" s="1">
        <v>201</v>
      </c>
      <c r="G2536" s="1">
        <v>623830</v>
      </c>
      <c r="H2536" s="1" t="s">
        <v>70</v>
      </c>
    </row>
    <row r="2537" spans="1:8" x14ac:dyDescent="0.3">
      <c r="A2537" s="1" t="s">
        <v>514</v>
      </c>
      <c r="B2537" s="1" t="s">
        <v>515</v>
      </c>
      <c r="C2537" s="1">
        <v>2019</v>
      </c>
      <c r="D2537" s="1">
        <v>62566</v>
      </c>
      <c r="E2537" s="1">
        <v>600</v>
      </c>
      <c r="F2537" s="1">
        <v>378</v>
      </c>
      <c r="G2537" s="1">
        <v>1261753</v>
      </c>
      <c r="H2537" s="1" t="s">
        <v>70</v>
      </c>
    </row>
    <row r="2538" spans="1:8" x14ac:dyDescent="0.3">
      <c r="A2538" s="1" t="s">
        <v>516</v>
      </c>
      <c r="B2538" s="1" t="s">
        <v>517</v>
      </c>
      <c r="C2538" s="1">
        <v>2019</v>
      </c>
      <c r="D2538" s="1">
        <v>47767</v>
      </c>
      <c r="E2538" s="1">
        <v>496</v>
      </c>
      <c r="F2538" s="1">
        <v>70</v>
      </c>
      <c r="G2538" s="1">
        <v>328501</v>
      </c>
      <c r="H2538" s="1" t="s">
        <v>70</v>
      </c>
    </row>
    <row r="2539" spans="1:8" x14ac:dyDescent="0.3">
      <c r="A2539" s="1" t="s">
        <v>518</v>
      </c>
      <c r="B2539" s="1" t="s">
        <v>519</v>
      </c>
      <c r="C2539" s="1">
        <v>2019</v>
      </c>
      <c r="D2539" s="1">
        <v>39348</v>
      </c>
      <c r="E2539" s="1">
        <v>383</v>
      </c>
      <c r="F2539" s="1">
        <v>378</v>
      </c>
      <c r="G2539" s="1">
        <v>1926253</v>
      </c>
      <c r="H2539" s="1" t="s">
        <v>70</v>
      </c>
    </row>
    <row r="2540" spans="1:8" x14ac:dyDescent="0.3">
      <c r="A2540" s="1" t="s">
        <v>520</v>
      </c>
      <c r="B2540" s="1" t="s">
        <v>521</v>
      </c>
      <c r="C2540" s="1">
        <v>2019</v>
      </c>
      <c r="D2540" s="1">
        <v>27235</v>
      </c>
      <c r="E2540" s="1">
        <v>195</v>
      </c>
      <c r="F2540" s="1">
        <v>27</v>
      </c>
      <c r="G2540" s="1">
        <v>130893</v>
      </c>
      <c r="H2540" s="1" t="s">
        <v>70</v>
      </c>
    </row>
    <row r="2541" spans="1:8" x14ac:dyDescent="0.3">
      <c r="A2541" s="1" t="s">
        <v>522</v>
      </c>
      <c r="B2541" s="1" t="s">
        <v>523</v>
      </c>
      <c r="C2541" s="1">
        <v>2019</v>
      </c>
      <c r="D2541" s="1">
        <v>25828</v>
      </c>
      <c r="E2541" s="1">
        <v>199</v>
      </c>
      <c r="F2541" s="1">
        <v>80</v>
      </c>
      <c r="G2541" s="1">
        <v>493017</v>
      </c>
      <c r="H2541" s="1" t="s">
        <v>70</v>
      </c>
    </row>
    <row r="2542" spans="1:8" x14ac:dyDescent="0.3">
      <c r="A2542" s="1" t="s">
        <v>524</v>
      </c>
      <c r="B2542" s="1" t="s">
        <v>525</v>
      </c>
      <c r="C2542" s="1">
        <v>2019</v>
      </c>
      <c r="D2542" s="1">
        <v>34720</v>
      </c>
      <c r="E2542" s="1">
        <v>479</v>
      </c>
      <c r="F2542" s="1">
        <v>216</v>
      </c>
      <c r="G2542" s="1">
        <v>1649464</v>
      </c>
      <c r="H2542" s="1" t="s">
        <v>70</v>
      </c>
    </row>
    <row r="2543" spans="1:8" x14ac:dyDescent="0.3">
      <c r="A2543" s="1" t="s">
        <v>526</v>
      </c>
      <c r="B2543" s="1" t="s">
        <v>527</v>
      </c>
      <c r="C2543" s="1">
        <v>2019</v>
      </c>
      <c r="D2543" s="1">
        <v>27198</v>
      </c>
      <c r="E2543" s="1">
        <v>159</v>
      </c>
      <c r="F2543" s="1">
        <v>76</v>
      </c>
      <c r="G2543" s="1">
        <v>777809</v>
      </c>
      <c r="H2543" s="1" t="s">
        <v>70</v>
      </c>
    </row>
    <row r="2544" spans="1:8" x14ac:dyDescent="0.3">
      <c r="A2544" s="1" t="s">
        <v>528</v>
      </c>
      <c r="B2544" s="1" t="s">
        <v>529</v>
      </c>
      <c r="C2544" s="1">
        <v>2019</v>
      </c>
      <c r="D2544" s="1">
        <v>33074</v>
      </c>
      <c r="E2544" s="1">
        <v>457</v>
      </c>
      <c r="F2544" s="1">
        <v>304</v>
      </c>
      <c r="G2544" s="1">
        <v>573470</v>
      </c>
      <c r="H2544" s="1" t="s">
        <v>70</v>
      </c>
    </row>
    <row r="2545" spans="1:8" x14ac:dyDescent="0.3">
      <c r="A2545" s="1" t="s">
        <v>530</v>
      </c>
      <c r="B2545" s="1" t="s">
        <v>531</v>
      </c>
      <c r="C2545" s="1">
        <v>2019</v>
      </c>
      <c r="D2545" s="1">
        <v>36196</v>
      </c>
      <c r="E2545" s="1">
        <v>119</v>
      </c>
      <c r="F2545" s="1">
        <v>270</v>
      </c>
      <c r="G2545" s="1">
        <v>2545707</v>
      </c>
      <c r="H2545" s="1" t="s">
        <v>70</v>
      </c>
    </row>
    <row r="2546" spans="1:8" x14ac:dyDescent="0.3">
      <c r="A2546" s="1" t="s">
        <v>532</v>
      </c>
      <c r="B2546" s="1" t="s">
        <v>533</v>
      </c>
      <c r="C2546" s="1">
        <v>2019</v>
      </c>
      <c r="D2546" s="1">
        <v>24994</v>
      </c>
      <c r="E2546" s="1">
        <v>222</v>
      </c>
      <c r="F2546" s="1">
        <v>94</v>
      </c>
      <c r="G2546" s="1">
        <v>537037</v>
      </c>
      <c r="H2546" s="1" t="s">
        <v>70</v>
      </c>
    </row>
    <row r="2547" spans="1:8" x14ac:dyDescent="0.3">
      <c r="A2547" s="1" t="s">
        <v>534</v>
      </c>
      <c r="B2547" s="1" t="s">
        <v>535</v>
      </c>
      <c r="C2547" s="1">
        <v>2019</v>
      </c>
      <c r="D2547" s="1">
        <v>51095</v>
      </c>
      <c r="E2547" s="1">
        <v>795</v>
      </c>
      <c r="F2547" s="1">
        <v>393</v>
      </c>
      <c r="G2547" s="1">
        <v>2448112</v>
      </c>
      <c r="H2547" s="1" t="s">
        <v>70</v>
      </c>
    </row>
    <row r="2548" spans="1:8" x14ac:dyDescent="0.3">
      <c r="A2548" s="1" t="s">
        <v>536</v>
      </c>
      <c r="B2548" s="1" t="s">
        <v>537</v>
      </c>
      <c r="C2548" s="1">
        <v>2019</v>
      </c>
      <c r="D2548" s="1">
        <v>18864</v>
      </c>
      <c r="E2548" s="1">
        <v>150</v>
      </c>
      <c r="F2548" s="1">
        <v>109</v>
      </c>
      <c r="G2548" s="1">
        <v>321165</v>
      </c>
      <c r="H2548" s="1" t="s">
        <v>70</v>
      </c>
    </row>
    <row r="2549" spans="1:8" x14ac:dyDescent="0.3">
      <c r="A2549" s="1" t="s">
        <v>538</v>
      </c>
      <c r="B2549" s="1" t="s">
        <v>539</v>
      </c>
      <c r="C2549" s="1">
        <v>2019</v>
      </c>
      <c r="D2549" s="1">
        <v>50048</v>
      </c>
      <c r="E2549" s="1">
        <v>316</v>
      </c>
      <c r="F2549" s="1">
        <v>229</v>
      </c>
      <c r="G2549" s="1">
        <v>2506619</v>
      </c>
      <c r="H2549" s="1" t="s">
        <v>70</v>
      </c>
    </row>
    <row r="2550" spans="1:8" x14ac:dyDescent="0.3">
      <c r="A2550" s="1" t="s">
        <v>540</v>
      </c>
      <c r="B2550" s="1" t="s">
        <v>541</v>
      </c>
      <c r="C2550" s="1">
        <v>2019</v>
      </c>
      <c r="D2550" s="1">
        <v>48219</v>
      </c>
      <c r="E2550" s="1">
        <v>226</v>
      </c>
      <c r="F2550" s="1">
        <v>256</v>
      </c>
      <c r="G2550" s="1">
        <v>2177461</v>
      </c>
      <c r="H2550" s="1" t="s">
        <v>70</v>
      </c>
    </row>
    <row r="2551" spans="1:8" x14ac:dyDescent="0.3">
      <c r="A2551" s="1" t="s">
        <v>542</v>
      </c>
      <c r="B2551" s="1" t="s">
        <v>543</v>
      </c>
      <c r="C2551" s="1">
        <v>2019</v>
      </c>
      <c r="D2551" s="1">
        <v>52315</v>
      </c>
      <c r="E2551" s="1">
        <v>550</v>
      </c>
      <c r="F2551" s="1">
        <v>103</v>
      </c>
      <c r="G2551" s="1">
        <v>806119</v>
      </c>
      <c r="H2551" s="1" t="s">
        <v>70</v>
      </c>
    </row>
    <row r="2552" spans="1:8" x14ac:dyDescent="0.3">
      <c r="A2552" s="1" t="s">
        <v>544</v>
      </c>
      <c r="B2552" s="1" t="s">
        <v>545</v>
      </c>
      <c r="C2552" s="1">
        <v>2019</v>
      </c>
      <c r="D2552" s="1">
        <v>72094</v>
      </c>
      <c r="E2552" s="1">
        <v>693</v>
      </c>
      <c r="F2552" s="1">
        <v>911</v>
      </c>
      <c r="G2552" s="1">
        <v>3696453</v>
      </c>
      <c r="H2552" s="1" t="s">
        <v>70</v>
      </c>
    </row>
    <row r="2553" spans="1:8" x14ac:dyDescent="0.3">
      <c r="A2553" s="1" t="s">
        <v>546</v>
      </c>
      <c r="B2553" s="1" t="s">
        <v>547</v>
      </c>
      <c r="C2553" s="1">
        <v>2019</v>
      </c>
      <c r="D2553" s="1">
        <v>73627</v>
      </c>
      <c r="E2553" s="1">
        <v>106</v>
      </c>
      <c r="F2553" s="1">
        <v>1499</v>
      </c>
      <c r="G2553" s="1">
        <v>4679106</v>
      </c>
      <c r="H2553" s="1" t="s">
        <v>70</v>
      </c>
    </row>
    <row r="2554" spans="1:8" x14ac:dyDescent="0.3">
      <c r="A2554" s="1" t="s">
        <v>548</v>
      </c>
      <c r="B2554" s="1" t="s">
        <v>549</v>
      </c>
      <c r="C2554" s="1">
        <v>2019</v>
      </c>
      <c r="D2554" s="1">
        <v>53700</v>
      </c>
      <c r="E2554" s="1">
        <v>425</v>
      </c>
      <c r="F2554" s="1">
        <v>702</v>
      </c>
      <c r="G2554" s="1">
        <v>9582860</v>
      </c>
      <c r="H2554" s="1" t="s">
        <v>70</v>
      </c>
    </row>
    <row r="2555" spans="1:8" x14ac:dyDescent="0.3">
      <c r="A2555" s="1" t="s">
        <v>550</v>
      </c>
      <c r="B2555" s="1" t="s">
        <v>551</v>
      </c>
      <c r="C2555" s="1">
        <v>2019</v>
      </c>
      <c r="D2555" s="1">
        <v>100200</v>
      </c>
      <c r="E2555" s="1">
        <v>630</v>
      </c>
      <c r="F2555" s="1">
        <v>1149</v>
      </c>
      <c r="G2555" s="1">
        <v>8241301</v>
      </c>
      <c r="H2555" s="1" t="s">
        <v>70</v>
      </c>
    </row>
    <row r="2556" spans="1:8" x14ac:dyDescent="0.3">
      <c r="A2556" s="1" t="s">
        <v>552</v>
      </c>
      <c r="B2556" s="1" t="s">
        <v>553</v>
      </c>
      <c r="C2556" s="1">
        <v>2019</v>
      </c>
      <c r="D2556" s="1">
        <v>50700</v>
      </c>
      <c r="E2556" s="1">
        <v>250</v>
      </c>
      <c r="F2556" s="1">
        <v>355</v>
      </c>
      <c r="G2556" s="1">
        <v>1838775</v>
      </c>
      <c r="H2556" s="1" t="s">
        <v>70</v>
      </c>
    </row>
    <row r="2557" spans="1:8" x14ac:dyDescent="0.3">
      <c r="A2557" s="1" t="s">
        <v>554</v>
      </c>
      <c r="B2557" s="1" t="s">
        <v>555</v>
      </c>
      <c r="C2557" s="1">
        <v>2019</v>
      </c>
      <c r="D2557" s="1">
        <v>80142</v>
      </c>
      <c r="E2557" s="1">
        <v>792</v>
      </c>
      <c r="F2557" s="1">
        <v>1521</v>
      </c>
      <c r="G2557" s="1">
        <v>4879701</v>
      </c>
      <c r="H2557" s="1" t="s">
        <v>70</v>
      </c>
    </row>
    <row r="2558" spans="1:8" x14ac:dyDescent="0.3">
      <c r="A2558" s="1" t="s">
        <v>556</v>
      </c>
      <c r="B2558" s="1" t="s">
        <v>557</v>
      </c>
      <c r="C2558" s="1">
        <v>2019</v>
      </c>
      <c r="D2558" s="1">
        <v>32412</v>
      </c>
      <c r="E2558" s="1">
        <v>150</v>
      </c>
      <c r="F2558" s="1">
        <v>242</v>
      </c>
      <c r="G2558" s="1">
        <v>2010981</v>
      </c>
      <c r="H2558" s="1" t="s">
        <v>70</v>
      </c>
    </row>
    <row r="2559" spans="1:8" x14ac:dyDescent="0.3">
      <c r="A2559" s="1" t="s">
        <v>558</v>
      </c>
      <c r="B2559" s="1" t="s">
        <v>559</v>
      </c>
      <c r="C2559" s="1">
        <v>2019</v>
      </c>
      <c r="D2559" s="1">
        <v>35405</v>
      </c>
      <c r="E2559" s="1">
        <v>303</v>
      </c>
      <c r="F2559" s="1">
        <v>584</v>
      </c>
      <c r="G2559" s="1">
        <v>1287755</v>
      </c>
      <c r="H2559" s="1" t="s">
        <v>70</v>
      </c>
    </row>
    <row r="2560" spans="1:8" x14ac:dyDescent="0.3">
      <c r="A2560" s="1" t="s">
        <v>560</v>
      </c>
      <c r="B2560" s="1" t="s">
        <v>561</v>
      </c>
      <c r="C2560" s="1">
        <v>2019</v>
      </c>
      <c r="D2560" s="1">
        <v>146387</v>
      </c>
      <c r="E2560" s="1">
        <v>1344</v>
      </c>
      <c r="F2560" s="1">
        <v>1707</v>
      </c>
      <c r="G2560" s="1">
        <v>11769619</v>
      </c>
      <c r="H2560" s="1" t="s">
        <v>70</v>
      </c>
    </row>
    <row r="2561" spans="1:8" x14ac:dyDescent="0.3">
      <c r="A2561" s="1" t="s">
        <v>562</v>
      </c>
      <c r="B2561" s="1" t="s">
        <v>563</v>
      </c>
      <c r="C2561" s="1">
        <v>2019</v>
      </c>
      <c r="D2561" s="1">
        <v>29324</v>
      </c>
      <c r="E2561" s="1">
        <v>381</v>
      </c>
      <c r="F2561" s="1">
        <v>359</v>
      </c>
      <c r="G2561" s="1">
        <v>2801200</v>
      </c>
      <c r="H2561" s="1" t="s">
        <v>70</v>
      </c>
    </row>
    <row r="2562" spans="1:8" x14ac:dyDescent="0.3">
      <c r="A2562" s="1" t="s">
        <v>564</v>
      </c>
      <c r="B2562" s="1" t="s">
        <v>565</v>
      </c>
      <c r="C2562" s="1">
        <v>2019</v>
      </c>
      <c r="D2562" s="1">
        <v>22384</v>
      </c>
      <c r="E2562" s="1">
        <v>95</v>
      </c>
      <c r="F2562" s="1">
        <v>217</v>
      </c>
      <c r="G2562" s="1">
        <v>2458831</v>
      </c>
      <c r="H2562" s="1" t="s">
        <v>70</v>
      </c>
    </row>
    <row r="2563" spans="1:8" x14ac:dyDescent="0.3">
      <c r="A2563" s="1" t="s">
        <v>566</v>
      </c>
      <c r="B2563" s="1" t="s">
        <v>567</v>
      </c>
      <c r="C2563" s="1">
        <v>2019</v>
      </c>
      <c r="D2563" s="1">
        <v>58723</v>
      </c>
      <c r="E2563" s="1">
        <v>193</v>
      </c>
      <c r="F2563" s="1">
        <v>696</v>
      </c>
      <c r="G2563" s="1">
        <v>4758565</v>
      </c>
      <c r="H2563" s="1" t="s">
        <v>70</v>
      </c>
    </row>
    <row r="2564" spans="1:8" x14ac:dyDescent="0.3">
      <c r="A2564" s="1" t="s">
        <v>568</v>
      </c>
      <c r="B2564" s="1" t="s">
        <v>569</v>
      </c>
      <c r="C2564" s="1">
        <v>2019</v>
      </c>
      <c r="D2564" s="1">
        <v>48940</v>
      </c>
      <c r="E2564" s="1">
        <v>491</v>
      </c>
      <c r="F2564" s="1">
        <v>463</v>
      </c>
      <c r="G2564" s="1">
        <v>3588398</v>
      </c>
      <c r="H2564" s="1" t="s">
        <v>70</v>
      </c>
    </row>
    <row r="2565" spans="1:8" x14ac:dyDescent="0.3">
      <c r="A2565" s="1" t="s">
        <v>570</v>
      </c>
      <c r="B2565" s="1" t="s">
        <v>571</v>
      </c>
      <c r="C2565" s="1">
        <v>2019</v>
      </c>
      <c r="D2565" s="1">
        <v>31308</v>
      </c>
      <c r="E2565" s="1">
        <v>169</v>
      </c>
      <c r="F2565" s="1">
        <v>485</v>
      </c>
      <c r="G2565" s="1">
        <v>2640570</v>
      </c>
      <c r="H2565" s="1" t="s">
        <v>70</v>
      </c>
    </row>
    <row r="2566" spans="1:8" x14ac:dyDescent="0.3">
      <c r="A2566" s="1" t="s">
        <v>572</v>
      </c>
      <c r="B2566" s="1" t="s">
        <v>573</v>
      </c>
      <c r="C2566" s="1">
        <v>2019</v>
      </c>
      <c r="D2566" s="1">
        <v>92739</v>
      </c>
      <c r="E2566" s="1">
        <v>398</v>
      </c>
      <c r="F2566" s="1">
        <v>451</v>
      </c>
      <c r="G2566" s="1">
        <v>9605469</v>
      </c>
      <c r="H2566" s="1" t="s">
        <v>70</v>
      </c>
    </row>
    <row r="2567" spans="1:8" x14ac:dyDescent="0.3">
      <c r="A2567" s="1" t="s">
        <v>574</v>
      </c>
      <c r="B2567" s="1" t="s">
        <v>575</v>
      </c>
      <c r="C2567" s="1">
        <v>2019</v>
      </c>
      <c r="D2567" s="1">
        <v>22774</v>
      </c>
      <c r="E2567" s="1">
        <v>29</v>
      </c>
      <c r="F2567" s="1">
        <v>200</v>
      </c>
      <c r="G2567" s="1">
        <v>1342921</v>
      </c>
      <c r="H2567" s="1" t="s">
        <v>70</v>
      </c>
    </row>
    <row r="2568" spans="1:8" x14ac:dyDescent="0.3">
      <c r="A2568" s="1" t="s">
        <v>576</v>
      </c>
      <c r="B2568" s="1" t="s">
        <v>577</v>
      </c>
      <c r="C2568" s="1">
        <v>2019</v>
      </c>
      <c r="D2568" s="1">
        <v>51165</v>
      </c>
      <c r="E2568" s="1">
        <v>476</v>
      </c>
      <c r="F2568" s="1">
        <v>896</v>
      </c>
      <c r="G2568" s="1">
        <v>3737750</v>
      </c>
      <c r="H2568" s="1" t="s">
        <v>70</v>
      </c>
    </row>
    <row r="2569" spans="1:8" x14ac:dyDescent="0.3">
      <c r="A2569" s="1" t="s">
        <v>578</v>
      </c>
      <c r="B2569" s="1" t="s">
        <v>579</v>
      </c>
      <c r="C2569" s="1">
        <v>2019</v>
      </c>
      <c r="D2569" s="1">
        <v>70832</v>
      </c>
      <c r="E2569" s="1">
        <v>326</v>
      </c>
      <c r="F2569" s="1">
        <v>1334</v>
      </c>
      <c r="G2569" s="1">
        <v>8116088</v>
      </c>
      <c r="H2569" s="1" t="s">
        <v>70</v>
      </c>
    </row>
    <row r="2570" spans="1:8" x14ac:dyDescent="0.3">
      <c r="A2570" s="1" t="s">
        <v>580</v>
      </c>
      <c r="B2570" s="1" t="s">
        <v>581</v>
      </c>
      <c r="C2570" s="1">
        <v>2019</v>
      </c>
      <c r="D2570" s="1">
        <v>21018</v>
      </c>
      <c r="E2570" s="1">
        <v>395</v>
      </c>
      <c r="F2570" s="1">
        <v>179</v>
      </c>
      <c r="G2570" s="1">
        <v>629471</v>
      </c>
      <c r="H2570" s="1" t="s">
        <v>70</v>
      </c>
    </row>
    <row r="2571" spans="1:8" x14ac:dyDescent="0.3">
      <c r="A2571" s="1" t="s">
        <v>582</v>
      </c>
      <c r="B2571" s="1" t="s">
        <v>583</v>
      </c>
      <c r="C2571" s="1">
        <v>2019</v>
      </c>
      <c r="D2571" s="1">
        <v>25376</v>
      </c>
      <c r="E2571" s="1">
        <v>228</v>
      </c>
      <c r="F2571" s="1">
        <v>58</v>
      </c>
      <c r="G2571" s="1">
        <v>328613</v>
      </c>
      <c r="H2571" s="1" t="s">
        <v>70</v>
      </c>
    </row>
    <row r="2572" spans="1:8" x14ac:dyDescent="0.3">
      <c r="A2572" s="1" t="s">
        <v>584</v>
      </c>
      <c r="B2572" s="1" t="s">
        <v>585</v>
      </c>
      <c r="C2572" s="1">
        <v>2019</v>
      </c>
      <c r="D2572" s="1">
        <v>30527</v>
      </c>
      <c r="E2572" s="1">
        <v>209</v>
      </c>
      <c r="F2572" s="1">
        <v>114</v>
      </c>
      <c r="G2572" s="1">
        <v>375004</v>
      </c>
      <c r="H2572" s="1" t="s">
        <v>70</v>
      </c>
    </row>
    <row r="2573" spans="1:8" x14ac:dyDescent="0.3">
      <c r="A2573" s="1" t="s">
        <v>586</v>
      </c>
      <c r="B2573" s="1" t="s">
        <v>587</v>
      </c>
      <c r="C2573" s="1">
        <v>2019</v>
      </c>
      <c r="D2573" s="1">
        <v>11064</v>
      </c>
      <c r="E2573" s="1">
        <v>41</v>
      </c>
      <c r="F2573" s="1">
        <v>19</v>
      </c>
      <c r="G2573" s="1">
        <v>75903</v>
      </c>
      <c r="H2573" s="1" t="s">
        <v>70</v>
      </c>
    </row>
    <row r="2574" spans="1:8" x14ac:dyDescent="0.3">
      <c r="A2574" s="1" t="s">
        <v>588</v>
      </c>
      <c r="B2574" s="1" t="s">
        <v>589</v>
      </c>
      <c r="C2574" s="1">
        <v>2019</v>
      </c>
      <c r="D2574" s="1">
        <v>62062</v>
      </c>
      <c r="E2574" s="1">
        <v>863</v>
      </c>
      <c r="F2574" s="1">
        <v>68</v>
      </c>
      <c r="G2574" s="1">
        <v>204442</v>
      </c>
      <c r="H2574" s="1" t="s">
        <v>70</v>
      </c>
    </row>
    <row r="2575" spans="1:8" x14ac:dyDescent="0.3">
      <c r="A2575" s="1" t="s">
        <v>590</v>
      </c>
      <c r="B2575" s="1" t="s">
        <v>591</v>
      </c>
      <c r="C2575" s="1">
        <v>2019</v>
      </c>
      <c r="D2575" s="1">
        <v>30271</v>
      </c>
      <c r="E2575" s="1">
        <v>107</v>
      </c>
      <c r="F2575" s="1">
        <v>66</v>
      </c>
      <c r="G2575" s="1">
        <v>328008</v>
      </c>
      <c r="H2575" s="1" t="s">
        <v>70</v>
      </c>
    </row>
    <row r="2576" spans="1:8" x14ac:dyDescent="0.3">
      <c r="A2576" s="1" t="s">
        <v>592</v>
      </c>
      <c r="B2576" s="1" t="s">
        <v>593</v>
      </c>
      <c r="C2576" s="1">
        <v>2019</v>
      </c>
      <c r="D2576" s="1">
        <v>18864</v>
      </c>
      <c r="E2576" s="1">
        <v>99</v>
      </c>
      <c r="F2576" s="1">
        <v>32</v>
      </c>
      <c r="G2576" s="1">
        <v>155709</v>
      </c>
      <c r="H2576" s="1" t="s">
        <v>70</v>
      </c>
    </row>
    <row r="2577" spans="1:8" x14ac:dyDescent="0.3">
      <c r="A2577" s="1" t="s">
        <v>594</v>
      </c>
      <c r="B2577" s="1" t="s">
        <v>595</v>
      </c>
      <c r="C2577" s="1">
        <v>2019</v>
      </c>
      <c r="D2577" s="1">
        <v>41371</v>
      </c>
      <c r="E2577" s="1">
        <v>135</v>
      </c>
      <c r="F2577" s="1">
        <v>97</v>
      </c>
      <c r="G2577" s="1">
        <v>699918</v>
      </c>
      <c r="H2577" s="1" t="s">
        <v>70</v>
      </c>
    </row>
    <row r="2578" spans="1:8" x14ac:dyDescent="0.3">
      <c r="A2578" s="1" t="s">
        <v>596</v>
      </c>
      <c r="B2578" s="1" t="s">
        <v>597</v>
      </c>
      <c r="C2578" s="1">
        <v>2019</v>
      </c>
      <c r="D2578" s="1">
        <v>14579</v>
      </c>
      <c r="E2578" s="1">
        <v>56</v>
      </c>
      <c r="F2578" s="1">
        <v>31</v>
      </c>
      <c r="G2578" s="1">
        <v>325251</v>
      </c>
      <c r="H2578" s="1" t="s">
        <v>70</v>
      </c>
    </row>
    <row r="2579" spans="1:8" x14ac:dyDescent="0.3">
      <c r="A2579" s="1" t="s">
        <v>598</v>
      </c>
      <c r="B2579" s="1" t="s">
        <v>599</v>
      </c>
      <c r="C2579" s="1">
        <v>2019</v>
      </c>
      <c r="D2579" s="1">
        <v>25967</v>
      </c>
      <c r="E2579" s="1">
        <v>156</v>
      </c>
      <c r="F2579" s="1">
        <v>9</v>
      </c>
      <c r="G2579" s="1">
        <v>425497</v>
      </c>
      <c r="H2579" s="1" t="s">
        <v>70</v>
      </c>
    </row>
    <row r="2580" spans="1:8" x14ac:dyDescent="0.3">
      <c r="A2580" s="1" t="s">
        <v>600</v>
      </c>
      <c r="B2580" s="1" t="s">
        <v>601</v>
      </c>
      <c r="C2580" s="1">
        <v>2019</v>
      </c>
      <c r="D2580" s="1">
        <v>30610</v>
      </c>
      <c r="E2580" s="1">
        <v>148</v>
      </c>
      <c r="F2580" s="1">
        <v>187</v>
      </c>
      <c r="G2580" s="1">
        <v>937389</v>
      </c>
      <c r="H2580" s="1" t="s">
        <v>70</v>
      </c>
    </row>
    <row r="2581" spans="1:8" x14ac:dyDescent="0.3">
      <c r="A2581" s="1" t="s">
        <v>602</v>
      </c>
      <c r="B2581" s="1" t="s">
        <v>603</v>
      </c>
      <c r="C2581" s="1">
        <v>2019</v>
      </c>
      <c r="D2581" s="1">
        <v>32743</v>
      </c>
      <c r="E2581" s="1">
        <v>136</v>
      </c>
      <c r="F2581" s="1">
        <v>223</v>
      </c>
      <c r="G2581" s="1">
        <v>1418884</v>
      </c>
      <c r="H2581" s="1" t="s">
        <v>70</v>
      </c>
    </row>
    <row r="2582" spans="1:8" x14ac:dyDescent="0.3">
      <c r="A2582" s="1" t="s">
        <v>604</v>
      </c>
      <c r="B2582" s="1" t="s">
        <v>605</v>
      </c>
      <c r="C2582" s="1">
        <v>2019</v>
      </c>
      <c r="D2582" s="1">
        <v>24152</v>
      </c>
      <c r="E2582" s="1">
        <v>155</v>
      </c>
      <c r="F2582" s="1">
        <v>37</v>
      </c>
      <c r="G2582" s="1">
        <v>303940</v>
      </c>
      <c r="H2582" s="1" t="s">
        <v>70</v>
      </c>
    </row>
    <row r="2583" spans="1:8" x14ac:dyDescent="0.3">
      <c r="A2583" s="1" t="s">
        <v>606</v>
      </c>
      <c r="B2583" s="1" t="s">
        <v>607</v>
      </c>
      <c r="C2583" s="1">
        <v>2019</v>
      </c>
      <c r="D2583" s="1">
        <v>16677</v>
      </c>
      <c r="E2583" s="1">
        <v>131</v>
      </c>
      <c r="F2583" s="1">
        <v>33</v>
      </c>
      <c r="G2583" s="1">
        <v>102134</v>
      </c>
      <c r="H2583" s="1" t="s">
        <v>70</v>
      </c>
    </row>
    <row r="2584" spans="1:8" x14ac:dyDescent="0.3">
      <c r="A2584" s="1" t="s">
        <v>608</v>
      </c>
      <c r="B2584" s="1" t="s">
        <v>609</v>
      </c>
      <c r="C2584" s="1">
        <v>2019</v>
      </c>
      <c r="D2584" s="1">
        <v>86491</v>
      </c>
      <c r="E2584" s="1">
        <v>1424</v>
      </c>
      <c r="F2584" s="1">
        <v>1748</v>
      </c>
      <c r="G2584" s="1">
        <v>2415776</v>
      </c>
      <c r="H2584" s="1" t="s">
        <v>70</v>
      </c>
    </row>
    <row r="2585" spans="1:8" x14ac:dyDescent="0.3">
      <c r="A2585" s="1" t="s">
        <v>610</v>
      </c>
      <c r="B2585" s="1" t="s">
        <v>611</v>
      </c>
      <c r="C2585" s="1">
        <v>2019</v>
      </c>
      <c r="D2585" s="1">
        <v>20944</v>
      </c>
      <c r="E2585" s="1">
        <v>53</v>
      </c>
      <c r="F2585" s="1">
        <v>208</v>
      </c>
      <c r="G2585" s="1">
        <v>2201984</v>
      </c>
      <c r="H2585" s="1" t="s">
        <v>70</v>
      </c>
    </row>
    <row r="2586" spans="1:8" x14ac:dyDescent="0.3">
      <c r="A2586" s="1" t="s">
        <v>612</v>
      </c>
      <c r="B2586" s="1" t="s">
        <v>613</v>
      </c>
      <c r="C2586" s="1">
        <v>2019</v>
      </c>
      <c r="D2586" s="1">
        <v>14451</v>
      </c>
      <c r="E2586" s="1">
        <v>42</v>
      </c>
      <c r="F2586" s="1">
        <v>171</v>
      </c>
      <c r="G2586" s="1">
        <v>1053858</v>
      </c>
      <c r="H2586" s="1" t="s">
        <v>70</v>
      </c>
    </row>
    <row r="2587" spans="1:8" x14ac:dyDescent="0.3">
      <c r="A2587" s="1" t="s">
        <v>614</v>
      </c>
      <c r="B2587" s="1" t="s">
        <v>615</v>
      </c>
      <c r="C2587" s="1">
        <v>2019</v>
      </c>
      <c r="D2587" s="1">
        <v>22221</v>
      </c>
      <c r="E2587" s="1">
        <v>223</v>
      </c>
      <c r="F2587" s="1">
        <v>328</v>
      </c>
      <c r="G2587" s="1">
        <v>906066</v>
      </c>
      <c r="H2587" s="1" t="s">
        <v>70</v>
      </c>
    </row>
    <row r="2588" spans="1:8" x14ac:dyDescent="0.3">
      <c r="A2588" s="1" t="s">
        <v>616</v>
      </c>
      <c r="B2588" s="1" t="s">
        <v>617</v>
      </c>
      <c r="C2588" s="1">
        <v>2019</v>
      </c>
      <c r="D2588" s="1">
        <v>18476</v>
      </c>
      <c r="E2588" s="1">
        <v>131</v>
      </c>
      <c r="F2588" s="1">
        <v>172</v>
      </c>
      <c r="G2588" s="1">
        <v>430677</v>
      </c>
      <c r="H2588" s="1" t="s">
        <v>70</v>
      </c>
    </row>
    <row r="2589" spans="1:8" x14ac:dyDescent="0.3">
      <c r="A2589" s="1" t="s">
        <v>618</v>
      </c>
      <c r="B2589" s="1" t="s">
        <v>619</v>
      </c>
      <c r="C2589" s="1">
        <v>2019</v>
      </c>
      <c r="D2589" s="1">
        <v>33417</v>
      </c>
      <c r="E2589" s="1">
        <v>513</v>
      </c>
      <c r="F2589" s="1">
        <v>783</v>
      </c>
      <c r="G2589" s="1">
        <v>1246747</v>
      </c>
      <c r="H2589" s="1" t="s">
        <v>70</v>
      </c>
    </row>
    <row r="2590" spans="1:8" x14ac:dyDescent="0.3">
      <c r="A2590" s="1" t="s">
        <v>620</v>
      </c>
      <c r="B2590" s="1" t="s">
        <v>621</v>
      </c>
      <c r="C2590" s="1">
        <v>2019</v>
      </c>
      <c r="D2590" s="1">
        <v>21205</v>
      </c>
      <c r="E2590" s="1">
        <v>165</v>
      </c>
      <c r="F2590" s="1">
        <v>417</v>
      </c>
      <c r="G2590" s="1">
        <v>1179461</v>
      </c>
      <c r="H2590" s="1" t="s">
        <v>70</v>
      </c>
    </row>
    <row r="2591" spans="1:8" x14ac:dyDescent="0.3">
      <c r="A2591" s="1" t="s">
        <v>622</v>
      </c>
      <c r="B2591" s="1" t="s">
        <v>623</v>
      </c>
      <c r="C2591" s="1">
        <v>2019</v>
      </c>
      <c r="D2591" s="1">
        <v>31266</v>
      </c>
      <c r="E2591" s="1">
        <v>436</v>
      </c>
      <c r="F2591" s="1">
        <v>561</v>
      </c>
      <c r="G2591" s="1">
        <v>678838</v>
      </c>
      <c r="H2591" s="1" t="s">
        <v>70</v>
      </c>
    </row>
    <row r="2592" spans="1:8" x14ac:dyDescent="0.3">
      <c r="A2592" s="1" t="s">
        <v>624</v>
      </c>
      <c r="B2592" s="1" t="s">
        <v>625</v>
      </c>
      <c r="C2592" s="1">
        <v>2019</v>
      </c>
      <c r="D2592" s="1">
        <v>23774</v>
      </c>
      <c r="E2592" s="1">
        <v>74</v>
      </c>
      <c r="F2592" s="1">
        <v>336</v>
      </c>
      <c r="G2592" s="1">
        <v>1509509</v>
      </c>
      <c r="H2592" s="1" t="s">
        <v>70</v>
      </c>
    </row>
    <row r="2593" spans="1:8" x14ac:dyDescent="0.3">
      <c r="A2593" s="1" t="s">
        <v>626</v>
      </c>
      <c r="B2593" s="1" t="s">
        <v>627</v>
      </c>
      <c r="C2593" s="1">
        <v>2019</v>
      </c>
      <c r="D2593" s="1">
        <v>15134</v>
      </c>
      <c r="E2593" s="1">
        <v>60</v>
      </c>
      <c r="F2593" s="1">
        <v>166</v>
      </c>
      <c r="G2593" s="1">
        <v>1000287</v>
      </c>
      <c r="H2593" s="1" t="s">
        <v>70</v>
      </c>
    </row>
    <row r="2594" spans="1:8" x14ac:dyDescent="0.3">
      <c r="A2594" s="1" t="s">
        <v>628</v>
      </c>
      <c r="B2594" s="1" t="s">
        <v>629</v>
      </c>
      <c r="C2594" s="1">
        <v>2019</v>
      </c>
      <c r="D2594" s="1">
        <v>18405</v>
      </c>
      <c r="E2594" s="1">
        <v>201</v>
      </c>
      <c r="F2594" s="1">
        <v>255</v>
      </c>
      <c r="G2594" s="1">
        <v>1303372</v>
      </c>
      <c r="H2594" s="1" t="s">
        <v>70</v>
      </c>
    </row>
    <row r="2595" spans="1:8" x14ac:dyDescent="0.3">
      <c r="A2595" s="1" t="s">
        <v>630</v>
      </c>
      <c r="B2595" s="1" t="s">
        <v>631</v>
      </c>
      <c r="C2595" s="1">
        <v>2019</v>
      </c>
      <c r="D2595" s="1">
        <v>10982</v>
      </c>
      <c r="E2595" s="1">
        <v>135</v>
      </c>
      <c r="F2595" s="1">
        <v>183</v>
      </c>
      <c r="G2595" s="1">
        <v>557313</v>
      </c>
      <c r="H2595" s="1" t="s">
        <v>70</v>
      </c>
    </row>
    <row r="2596" spans="1:8" x14ac:dyDescent="0.3">
      <c r="A2596" s="1" t="s">
        <v>632</v>
      </c>
      <c r="B2596" s="1" t="s">
        <v>633</v>
      </c>
      <c r="C2596" s="1">
        <v>2019</v>
      </c>
      <c r="D2596" s="1">
        <v>13912</v>
      </c>
      <c r="E2596" s="1">
        <v>186</v>
      </c>
      <c r="F2596" s="1">
        <v>68</v>
      </c>
      <c r="G2596" s="1">
        <v>335421</v>
      </c>
      <c r="H2596" s="1" t="s">
        <v>70</v>
      </c>
    </row>
    <row r="2597" spans="1:8" x14ac:dyDescent="0.3">
      <c r="A2597" s="1" t="s">
        <v>634</v>
      </c>
      <c r="B2597" s="1" t="s">
        <v>635</v>
      </c>
      <c r="C2597" s="1">
        <v>2019</v>
      </c>
      <c r="D2597" s="1">
        <v>12027</v>
      </c>
      <c r="E2597" s="1">
        <v>50</v>
      </c>
      <c r="F2597" s="1">
        <v>153</v>
      </c>
      <c r="G2597" s="1">
        <v>1028471</v>
      </c>
      <c r="H2597" s="1" t="s">
        <v>70</v>
      </c>
    </row>
    <row r="2598" spans="1:8" x14ac:dyDescent="0.3">
      <c r="A2598" s="1" t="s">
        <v>636</v>
      </c>
      <c r="B2598" s="1" t="s">
        <v>637</v>
      </c>
      <c r="C2598" s="1">
        <v>2019</v>
      </c>
      <c r="D2598" s="1">
        <v>44324</v>
      </c>
      <c r="E2598" s="1">
        <v>1187</v>
      </c>
      <c r="F2598" s="1">
        <v>1019</v>
      </c>
      <c r="G2598" s="1">
        <v>1652114</v>
      </c>
      <c r="H2598" s="1" t="s">
        <v>70</v>
      </c>
    </row>
    <row r="2599" spans="1:8" x14ac:dyDescent="0.3">
      <c r="A2599" s="1" t="s">
        <v>638</v>
      </c>
      <c r="B2599" s="1" t="s">
        <v>639</v>
      </c>
      <c r="C2599" s="1">
        <v>2019</v>
      </c>
      <c r="D2599" s="1">
        <v>36917</v>
      </c>
      <c r="E2599" s="1">
        <v>205</v>
      </c>
      <c r="F2599" s="1">
        <v>459</v>
      </c>
      <c r="G2599" s="1">
        <v>1152987</v>
      </c>
      <c r="H2599" s="1" t="s">
        <v>70</v>
      </c>
    </row>
    <row r="2600" spans="1:8" x14ac:dyDescent="0.3">
      <c r="A2600" s="1" t="s">
        <v>640</v>
      </c>
      <c r="B2600" s="1" t="s">
        <v>641</v>
      </c>
      <c r="C2600" s="1">
        <v>2019</v>
      </c>
      <c r="D2600" s="1">
        <v>19387</v>
      </c>
      <c r="E2600" s="1">
        <v>81</v>
      </c>
      <c r="F2600" s="1">
        <v>213</v>
      </c>
      <c r="G2600" s="1">
        <v>1547620</v>
      </c>
      <c r="H2600" s="1" t="s">
        <v>70</v>
      </c>
    </row>
    <row r="2601" spans="1:8" x14ac:dyDescent="0.3">
      <c r="A2601" s="1" t="s">
        <v>642</v>
      </c>
      <c r="B2601" s="1" t="s">
        <v>643</v>
      </c>
      <c r="C2601" s="1">
        <v>2019</v>
      </c>
      <c r="D2601" s="1">
        <v>23600</v>
      </c>
      <c r="E2601" s="1">
        <v>324</v>
      </c>
      <c r="F2601" s="1">
        <v>265</v>
      </c>
      <c r="G2601" s="1">
        <v>554054</v>
      </c>
      <c r="H2601" s="1" t="s">
        <v>70</v>
      </c>
    </row>
    <row r="2602" spans="1:8" x14ac:dyDescent="0.3">
      <c r="A2602" s="1" t="s">
        <v>644</v>
      </c>
      <c r="B2602" s="1" t="s">
        <v>645</v>
      </c>
      <c r="C2602" s="1">
        <v>2019</v>
      </c>
      <c r="D2602" s="1">
        <v>9233</v>
      </c>
      <c r="E2602" s="1">
        <v>46</v>
      </c>
      <c r="F2602" s="1">
        <v>154</v>
      </c>
      <c r="G2602" s="1">
        <v>1494888</v>
      </c>
      <c r="H2602" s="1" t="s">
        <v>70</v>
      </c>
    </row>
    <row r="2603" spans="1:8" x14ac:dyDescent="0.3">
      <c r="A2603" s="1" t="s">
        <v>646</v>
      </c>
      <c r="B2603" s="1" t="s">
        <v>647</v>
      </c>
      <c r="C2603" s="1">
        <v>2019</v>
      </c>
      <c r="D2603" s="1">
        <v>8530</v>
      </c>
      <c r="E2603" s="1">
        <v>75</v>
      </c>
      <c r="F2603" s="1">
        <v>102</v>
      </c>
      <c r="G2603" s="1">
        <v>522183</v>
      </c>
      <c r="H2603" s="1" t="s">
        <v>70</v>
      </c>
    </row>
    <row r="2604" spans="1:8" x14ac:dyDescent="0.3">
      <c r="A2604" s="1" t="s">
        <v>648</v>
      </c>
      <c r="B2604" s="1" t="s">
        <v>649</v>
      </c>
      <c r="C2604" s="1">
        <v>2019</v>
      </c>
      <c r="D2604" s="1">
        <v>47370</v>
      </c>
      <c r="E2604" s="1">
        <v>340</v>
      </c>
      <c r="F2604" s="1">
        <v>1024</v>
      </c>
      <c r="G2604" s="1">
        <v>4420482</v>
      </c>
      <c r="H2604" s="1" t="s">
        <v>70</v>
      </c>
    </row>
    <row r="2605" spans="1:8" x14ac:dyDescent="0.3">
      <c r="A2605" s="1" t="s">
        <v>650</v>
      </c>
      <c r="B2605" s="1" t="s">
        <v>651</v>
      </c>
      <c r="C2605" s="1">
        <v>2019</v>
      </c>
      <c r="D2605" s="1">
        <v>79461</v>
      </c>
      <c r="E2605" s="1">
        <v>1279</v>
      </c>
      <c r="F2605" s="1">
        <v>2132</v>
      </c>
      <c r="G2605" s="1">
        <v>4813927</v>
      </c>
      <c r="H2605" s="1" t="s">
        <v>70</v>
      </c>
    </row>
    <row r="2606" spans="1:8" x14ac:dyDescent="0.3">
      <c r="A2606" s="1" t="s">
        <v>652</v>
      </c>
      <c r="B2606" s="1" t="s">
        <v>653</v>
      </c>
      <c r="C2606" s="1">
        <v>2019</v>
      </c>
      <c r="D2606" s="1">
        <v>15016</v>
      </c>
      <c r="E2606" s="1">
        <v>120</v>
      </c>
      <c r="F2606" s="1">
        <v>99</v>
      </c>
      <c r="G2606" s="1">
        <v>768836</v>
      </c>
      <c r="H2606" s="1" t="s">
        <v>70</v>
      </c>
    </row>
    <row r="2607" spans="1:8" x14ac:dyDescent="0.3">
      <c r="A2607" s="1" t="s">
        <v>654</v>
      </c>
      <c r="B2607" s="1" t="s">
        <v>655</v>
      </c>
      <c r="C2607" s="1">
        <v>2019</v>
      </c>
      <c r="D2607" s="1">
        <v>27822</v>
      </c>
      <c r="E2607" s="1">
        <v>301</v>
      </c>
      <c r="F2607" s="1">
        <v>134</v>
      </c>
      <c r="G2607" s="1">
        <v>1234898</v>
      </c>
      <c r="H2607" s="1" t="s">
        <v>70</v>
      </c>
    </row>
    <row r="2608" spans="1:8" x14ac:dyDescent="0.3">
      <c r="A2608" s="1" t="s">
        <v>656</v>
      </c>
      <c r="B2608" s="1" t="s">
        <v>657</v>
      </c>
      <c r="C2608" s="1">
        <v>2019</v>
      </c>
      <c r="D2608" s="1">
        <v>51030</v>
      </c>
      <c r="E2608" s="1">
        <v>825</v>
      </c>
      <c r="F2608" s="1">
        <v>525</v>
      </c>
      <c r="G2608" s="1">
        <v>5981374</v>
      </c>
      <c r="H2608" s="1" t="s">
        <v>70</v>
      </c>
    </row>
    <row r="2609" spans="1:8" x14ac:dyDescent="0.3">
      <c r="A2609" s="1" t="s">
        <v>658</v>
      </c>
      <c r="B2609" s="1" t="s">
        <v>659</v>
      </c>
      <c r="C2609" s="1">
        <v>2019</v>
      </c>
      <c r="D2609" s="1">
        <v>22393</v>
      </c>
      <c r="E2609" s="1">
        <v>305</v>
      </c>
      <c r="F2609" s="1">
        <v>209</v>
      </c>
      <c r="G2609" s="1">
        <v>873718</v>
      </c>
      <c r="H2609" s="1" t="s">
        <v>70</v>
      </c>
    </row>
    <row r="2610" spans="1:8" x14ac:dyDescent="0.3">
      <c r="A2610" s="1" t="s">
        <v>660</v>
      </c>
      <c r="B2610" s="1" t="s">
        <v>292</v>
      </c>
      <c r="C2610" s="1">
        <v>2019</v>
      </c>
      <c r="D2610" s="1">
        <v>15345</v>
      </c>
      <c r="E2610" s="1">
        <v>367</v>
      </c>
      <c r="F2610" s="1">
        <v>105</v>
      </c>
      <c r="G2610" s="1">
        <v>960398</v>
      </c>
      <c r="H2610" s="1" t="s">
        <v>70</v>
      </c>
    </row>
    <row r="2611" spans="1:8" x14ac:dyDescent="0.3">
      <c r="A2611" s="1" t="s">
        <v>661</v>
      </c>
      <c r="B2611" s="1" t="s">
        <v>662</v>
      </c>
      <c r="C2611" s="1">
        <v>2019</v>
      </c>
      <c r="D2611" s="1">
        <v>22053</v>
      </c>
      <c r="E2611" s="1">
        <v>285</v>
      </c>
      <c r="F2611" s="1">
        <v>182</v>
      </c>
      <c r="G2611" s="1">
        <v>829176</v>
      </c>
      <c r="H2611" s="1" t="s">
        <v>70</v>
      </c>
    </row>
    <row r="2612" spans="1:8" x14ac:dyDescent="0.3">
      <c r="A2612" s="1" t="s">
        <v>663</v>
      </c>
      <c r="B2612" s="1" t="s">
        <v>664</v>
      </c>
      <c r="C2612" s="1">
        <v>2019</v>
      </c>
      <c r="D2612" s="1">
        <v>23477</v>
      </c>
      <c r="E2612" s="1">
        <v>223</v>
      </c>
      <c r="F2612" s="1">
        <v>20</v>
      </c>
      <c r="G2612" s="1">
        <v>108135</v>
      </c>
      <c r="H2612" s="1" t="s">
        <v>70</v>
      </c>
    </row>
    <row r="2613" spans="1:8" x14ac:dyDescent="0.3">
      <c r="A2613" s="1" t="s">
        <v>665</v>
      </c>
      <c r="B2613" s="1" t="s">
        <v>666</v>
      </c>
      <c r="C2613" s="1">
        <v>2019</v>
      </c>
      <c r="D2613" s="1">
        <v>17798</v>
      </c>
      <c r="E2613" s="1">
        <v>293</v>
      </c>
      <c r="F2613" s="1">
        <v>142</v>
      </c>
      <c r="G2613" s="1">
        <v>442247</v>
      </c>
      <c r="H2613" s="1" t="s">
        <v>70</v>
      </c>
    </row>
    <row r="2614" spans="1:8" x14ac:dyDescent="0.3">
      <c r="A2614" s="1" t="s">
        <v>667</v>
      </c>
      <c r="B2614" s="1" t="s">
        <v>668</v>
      </c>
      <c r="C2614" s="1">
        <v>2019</v>
      </c>
      <c r="D2614" s="1">
        <v>29457</v>
      </c>
      <c r="E2614" s="1">
        <v>189</v>
      </c>
      <c r="F2614" s="1">
        <v>86</v>
      </c>
      <c r="G2614" s="1">
        <v>1211014</v>
      </c>
      <c r="H2614" s="1" t="s">
        <v>70</v>
      </c>
    </row>
    <row r="2615" spans="1:8" x14ac:dyDescent="0.3">
      <c r="A2615" s="1" t="s">
        <v>669</v>
      </c>
      <c r="B2615" s="1" t="s">
        <v>670</v>
      </c>
      <c r="C2615" s="1">
        <v>2019</v>
      </c>
      <c r="D2615" s="1">
        <v>37677</v>
      </c>
      <c r="E2615" s="1">
        <v>595</v>
      </c>
      <c r="F2615" s="1">
        <v>39</v>
      </c>
      <c r="G2615" s="1">
        <v>391120</v>
      </c>
      <c r="H2615" s="1" t="s">
        <v>70</v>
      </c>
    </row>
    <row r="2616" spans="1:8" x14ac:dyDescent="0.3">
      <c r="A2616" s="1" t="s">
        <v>671</v>
      </c>
      <c r="B2616" s="1" t="s">
        <v>672</v>
      </c>
      <c r="C2616" s="1">
        <v>2019</v>
      </c>
      <c r="D2616" s="1">
        <v>25469</v>
      </c>
      <c r="E2616" s="1">
        <v>505</v>
      </c>
      <c r="F2616" s="1">
        <v>212</v>
      </c>
      <c r="G2616" s="1">
        <v>1839504</v>
      </c>
      <c r="H2616" s="1" t="s">
        <v>70</v>
      </c>
    </row>
    <row r="2617" spans="1:8" x14ac:dyDescent="0.3">
      <c r="A2617" s="1" t="s">
        <v>673</v>
      </c>
      <c r="B2617" s="1" t="s">
        <v>674</v>
      </c>
      <c r="C2617" s="1">
        <v>2019</v>
      </c>
      <c r="D2617" s="1">
        <v>24142</v>
      </c>
      <c r="E2617" s="1">
        <v>366</v>
      </c>
      <c r="F2617" s="1">
        <v>269</v>
      </c>
      <c r="G2617" s="1">
        <v>1659609</v>
      </c>
      <c r="H2617" s="1" t="s">
        <v>70</v>
      </c>
    </row>
    <row r="2618" spans="1:8" x14ac:dyDescent="0.3">
      <c r="A2618" s="1" t="s">
        <v>675</v>
      </c>
      <c r="B2618" s="1" t="s">
        <v>676</v>
      </c>
      <c r="C2618" s="1">
        <v>2019</v>
      </c>
      <c r="D2618" s="1">
        <v>16654</v>
      </c>
      <c r="E2618" s="1">
        <v>509</v>
      </c>
      <c r="F2618" s="1">
        <v>154</v>
      </c>
      <c r="G2618" s="1">
        <v>113967</v>
      </c>
      <c r="H2618" s="1" t="s">
        <v>70</v>
      </c>
    </row>
    <row r="2619" spans="1:8" x14ac:dyDescent="0.3">
      <c r="A2619" s="1" t="s">
        <v>677</v>
      </c>
      <c r="B2619" s="1" t="s">
        <v>678</v>
      </c>
      <c r="C2619" s="1">
        <v>2019</v>
      </c>
      <c r="D2619" s="1">
        <v>12752</v>
      </c>
      <c r="E2619" s="1">
        <v>176</v>
      </c>
      <c r="F2619" s="1">
        <v>78</v>
      </c>
      <c r="G2619" s="1">
        <v>625541</v>
      </c>
      <c r="H2619" s="1" t="s">
        <v>70</v>
      </c>
    </row>
    <row r="2620" spans="1:8" x14ac:dyDescent="0.3">
      <c r="A2620" s="1" t="s">
        <v>679</v>
      </c>
      <c r="B2620" s="1" t="s">
        <v>680</v>
      </c>
      <c r="C2620" s="1">
        <v>2019</v>
      </c>
      <c r="D2620" s="1">
        <v>24535</v>
      </c>
      <c r="E2620" s="1">
        <v>352</v>
      </c>
      <c r="F2620" s="1">
        <v>154</v>
      </c>
      <c r="G2620" s="1">
        <v>380054</v>
      </c>
      <c r="H2620" s="1" t="s">
        <v>70</v>
      </c>
    </row>
    <row r="2621" spans="1:8" x14ac:dyDescent="0.3">
      <c r="A2621" s="1" t="s">
        <v>681</v>
      </c>
      <c r="B2621" s="1" t="s">
        <v>682</v>
      </c>
      <c r="C2621" s="1">
        <v>2019</v>
      </c>
      <c r="D2621" s="1">
        <v>19805</v>
      </c>
      <c r="E2621" s="1">
        <v>288</v>
      </c>
      <c r="F2621" s="1">
        <v>291</v>
      </c>
      <c r="G2621" s="1">
        <v>727102</v>
      </c>
      <c r="H2621" s="1" t="s">
        <v>70</v>
      </c>
    </row>
    <row r="2622" spans="1:8" x14ac:dyDescent="0.3">
      <c r="A2622" s="1" t="s">
        <v>683</v>
      </c>
      <c r="B2622" s="1" t="s">
        <v>314</v>
      </c>
      <c r="C2622" s="1">
        <v>2019</v>
      </c>
      <c r="D2622" s="1">
        <v>53190</v>
      </c>
      <c r="E2622" s="1">
        <v>796</v>
      </c>
      <c r="F2622" s="1">
        <v>478</v>
      </c>
      <c r="G2622" s="1">
        <v>3111582</v>
      </c>
      <c r="H2622" s="1" t="s">
        <v>70</v>
      </c>
    </row>
    <row r="2623" spans="1:8" x14ac:dyDescent="0.3">
      <c r="A2623" s="1" t="s">
        <v>684</v>
      </c>
      <c r="B2623" s="1" t="s">
        <v>685</v>
      </c>
      <c r="C2623" s="1">
        <v>2019</v>
      </c>
      <c r="D2623" s="1">
        <v>17260</v>
      </c>
      <c r="E2623" s="1">
        <v>205</v>
      </c>
      <c r="F2623" s="1">
        <v>35</v>
      </c>
      <c r="G2623" s="1">
        <v>588382</v>
      </c>
      <c r="H2623" s="1" t="s">
        <v>70</v>
      </c>
    </row>
    <row r="2624" spans="1:8" x14ac:dyDescent="0.3">
      <c r="A2624" s="1" t="s">
        <v>686</v>
      </c>
      <c r="B2624" s="1" t="s">
        <v>687</v>
      </c>
      <c r="C2624" s="1">
        <v>2019</v>
      </c>
      <c r="D2624" s="1">
        <v>46545</v>
      </c>
      <c r="E2624" s="1">
        <v>366</v>
      </c>
      <c r="F2624" s="1">
        <v>624</v>
      </c>
      <c r="G2624" s="1">
        <v>2576212</v>
      </c>
      <c r="H2624" s="1" t="s">
        <v>70</v>
      </c>
    </row>
    <row r="2625" spans="1:8" x14ac:dyDescent="0.3">
      <c r="A2625" s="1" t="s">
        <v>688</v>
      </c>
      <c r="B2625" s="1" t="s">
        <v>689</v>
      </c>
      <c r="C2625" s="1">
        <v>2019</v>
      </c>
      <c r="D2625" s="1">
        <v>19031</v>
      </c>
      <c r="E2625" s="1">
        <v>191</v>
      </c>
      <c r="F2625" s="1">
        <v>74</v>
      </c>
      <c r="G2625" s="1">
        <v>1147609</v>
      </c>
      <c r="H2625" s="1" t="s">
        <v>70</v>
      </c>
    </row>
    <row r="2626" spans="1:8" x14ac:dyDescent="0.3">
      <c r="A2626" s="1" t="s">
        <v>690</v>
      </c>
      <c r="B2626" s="1" t="s">
        <v>691</v>
      </c>
      <c r="C2626" s="1">
        <v>2019</v>
      </c>
      <c r="D2626" s="1">
        <v>138560</v>
      </c>
      <c r="E2626" s="1">
        <v>4888</v>
      </c>
      <c r="F2626" s="1">
        <v>3633</v>
      </c>
      <c r="G2626" s="1">
        <v>2831011</v>
      </c>
      <c r="H2626" s="1" t="s">
        <v>70</v>
      </c>
    </row>
    <row r="2627" spans="1:8" x14ac:dyDescent="0.3">
      <c r="A2627" s="1" t="s">
        <v>692</v>
      </c>
      <c r="B2627" s="1" t="s">
        <v>693</v>
      </c>
      <c r="C2627" s="1">
        <v>2019</v>
      </c>
      <c r="D2627" s="1">
        <v>19802</v>
      </c>
      <c r="E2627" s="1">
        <v>407</v>
      </c>
      <c r="F2627" s="1">
        <v>179</v>
      </c>
      <c r="G2627" s="1">
        <v>666835</v>
      </c>
      <c r="H2627" s="1" t="s">
        <v>70</v>
      </c>
    </row>
    <row r="2628" spans="1:8" x14ac:dyDescent="0.3">
      <c r="A2628" s="1" t="s">
        <v>694</v>
      </c>
      <c r="B2628" s="1" t="s">
        <v>695</v>
      </c>
      <c r="C2628" s="1">
        <v>2019</v>
      </c>
      <c r="D2628" s="1">
        <v>18791</v>
      </c>
      <c r="E2628" s="1">
        <v>140</v>
      </c>
      <c r="F2628" s="1">
        <v>95</v>
      </c>
      <c r="G2628" s="1">
        <v>725162</v>
      </c>
      <c r="H2628" s="1" t="s">
        <v>70</v>
      </c>
    </row>
    <row r="2629" spans="1:8" x14ac:dyDescent="0.3">
      <c r="A2629" s="1" t="s">
        <v>696</v>
      </c>
      <c r="B2629" s="1" t="s">
        <v>697</v>
      </c>
      <c r="C2629" s="1">
        <v>2019</v>
      </c>
      <c r="D2629" s="1">
        <v>30528</v>
      </c>
      <c r="E2629" s="1">
        <v>627</v>
      </c>
      <c r="F2629" s="1">
        <v>400</v>
      </c>
      <c r="G2629" s="1">
        <v>1203912</v>
      </c>
      <c r="H2629" s="1" t="s">
        <v>70</v>
      </c>
    </row>
    <row r="2630" spans="1:8" x14ac:dyDescent="0.3">
      <c r="A2630" s="1" t="s">
        <v>698</v>
      </c>
      <c r="B2630" s="1" t="s">
        <v>45</v>
      </c>
      <c r="C2630" s="1">
        <v>2019</v>
      </c>
      <c r="D2630" s="1">
        <v>19488</v>
      </c>
      <c r="E2630" s="1">
        <v>433</v>
      </c>
      <c r="F2630" s="1">
        <v>234</v>
      </c>
      <c r="G2630" s="1">
        <v>346003</v>
      </c>
      <c r="H2630" s="1" t="s">
        <v>70</v>
      </c>
    </row>
    <row r="2631" spans="1:8" x14ac:dyDescent="0.3">
      <c r="A2631" s="1" t="s">
        <v>699</v>
      </c>
      <c r="B2631" s="1" t="s">
        <v>700</v>
      </c>
      <c r="C2631" s="1">
        <v>2019</v>
      </c>
      <c r="D2631" s="1">
        <v>20449</v>
      </c>
      <c r="E2631" s="1">
        <v>414</v>
      </c>
      <c r="F2631" s="1">
        <v>257</v>
      </c>
      <c r="G2631" s="1">
        <v>1549546</v>
      </c>
      <c r="H2631" s="1" t="s">
        <v>70</v>
      </c>
    </row>
    <row r="2632" spans="1:8" x14ac:dyDescent="0.3">
      <c r="A2632" s="1" t="s">
        <v>701</v>
      </c>
      <c r="B2632" s="1" t="s">
        <v>702</v>
      </c>
      <c r="C2632" s="1">
        <v>2019</v>
      </c>
      <c r="D2632" s="1">
        <v>26591</v>
      </c>
      <c r="E2632" s="1">
        <v>120</v>
      </c>
      <c r="F2632" s="1">
        <v>115</v>
      </c>
      <c r="G2632" s="1">
        <v>777769</v>
      </c>
      <c r="H2632" s="1" t="s">
        <v>70</v>
      </c>
    </row>
    <row r="2633" spans="1:8" x14ac:dyDescent="0.3">
      <c r="A2633" s="1" t="s">
        <v>703</v>
      </c>
      <c r="B2633" s="1" t="s">
        <v>704</v>
      </c>
      <c r="C2633" s="1">
        <v>2019</v>
      </c>
      <c r="D2633" s="1">
        <v>23025</v>
      </c>
      <c r="E2633" s="1">
        <v>423</v>
      </c>
      <c r="F2633" s="1">
        <v>207</v>
      </c>
      <c r="G2633" s="1">
        <v>1296508</v>
      </c>
      <c r="H2633" s="1" t="s">
        <v>70</v>
      </c>
    </row>
    <row r="2634" spans="1:8" x14ac:dyDescent="0.3">
      <c r="A2634" s="1" t="s">
        <v>705</v>
      </c>
      <c r="B2634" s="1" t="s">
        <v>706</v>
      </c>
      <c r="C2634" s="1">
        <v>2019</v>
      </c>
      <c r="D2634" s="1">
        <v>16518</v>
      </c>
      <c r="E2634" s="1">
        <v>217</v>
      </c>
      <c r="F2634" s="1">
        <v>75</v>
      </c>
      <c r="G2634" s="1">
        <v>484718</v>
      </c>
      <c r="H2634" s="1" t="s">
        <v>70</v>
      </c>
    </row>
    <row r="2635" spans="1:8" x14ac:dyDescent="0.3">
      <c r="A2635" s="1" t="s">
        <v>707</v>
      </c>
      <c r="B2635" s="1" t="s">
        <v>708</v>
      </c>
      <c r="C2635" s="1">
        <v>2019</v>
      </c>
      <c r="D2635" s="1">
        <v>27725</v>
      </c>
      <c r="E2635" s="1">
        <v>652</v>
      </c>
      <c r="F2635" s="1">
        <v>630</v>
      </c>
      <c r="G2635" s="1">
        <v>1422898</v>
      </c>
      <c r="H2635" s="1" t="s">
        <v>70</v>
      </c>
    </row>
    <row r="2636" spans="1:8" x14ac:dyDescent="0.3">
      <c r="A2636" s="1" t="s">
        <v>709</v>
      </c>
      <c r="B2636" s="1" t="s">
        <v>710</v>
      </c>
      <c r="C2636" s="1">
        <v>2019</v>
      </c>
      <c r="D2636" s="1">
        <v>22532</v>
      </c>
      <c r="E2636" s="1">
        <v>335</v>
      </c>
      <c r="F2636" s="1">
        <v>312</v>
      </c>
      <c r="G2636" s="1">
        <v>2226798</v>
      </c>
      <c r="H2636" s="1" t="s">
        <v>70</v>
      </c>
    </row>
    <row r="2637" spans="1:8" x14ac:dyDescent="0.3">
      <c r="A2637" s="1" t="s">
        <v>711</v>
      </c>
      <c r="B2637" s="1" t="s">
        <v>712</v>
      </c>
      <c r="C2637" s="1">
        <v>2019</v>
      </c>
      <c r="D2637" s="1">
        <v>44495</v>
      </c>
      <c r="E2637" s="1">
        <v>511</v>
      </c>
      <c r="F2637" s="1">
        <v>704</v>
      </c>
      <c r="G2637" s="1">
        <v>3658869</v>
      </c>
      <c r="H2637" s="1" t="s">
        <v>70</v>
      </c>
    </row>
    <row r="2638" spans="1:8" x14ac:dyDescent="0.3">
      <c r="A2638" s="1" t="s">
        <v>713</v>
      </c>
      <c r="B2638" s="1" t="s">
        <v>714</v>
      </c>
      <c r="C2638" s="1">
        <v>2019</v>
      </c>
      <c r="D2638" s="1">
        <v>29941</v>
      </c>
      <c r="E2638" s="1">
        <v>261</v>
      </c>
      <c r="F2638" s="1">
        <v>388</v>
      </c>
      <c r="G2638" s="1">
        <v>2605227</v>
      </c>
      <c r="H2638" s="1" t="s">
        <v>70</v>
      </c>
    </row>
    <row r="2639" spans="1:8" x14ac:dyDescent="0.3">
      <c r="A2639" s="1" t="s">
        <v>715</v>
      </c>
      <c r="B2639" s="1" t="s">
        <v>716</v>
      </c>
      <c r="C2639" s="1">
        <v>2019</v>
      </c>
      <c r="D2639" s="1">
        <v>25147</v>
      </c>
      <c r="E2639" s="1">
        <v>436</v>
      </c>
      <c r="F2639" s="1">
        <v>433</v>
      </c>
      <c r="G2639" s="1">
        <v>1443532</v>
      </c>
      <c r="H2639" s="1" t="s">
        <v>70</v>
      </c>
    </row>
    <row r="2640" spans="1:8" x14ac:dyDescent="0.3">
      <c r="A2640" s="1" t="s">
        <v>717</v>
      </c>
      <c r="B2640" s="1" t="s">
        <v>718</v>
      </c>
      <c r="C2640" s="1">
        <v>2019</v>
      </c>
      <c r="D2640" s="1">
        <v>266686</v>
      </c>
      <c r="E2640" s="1">
        <v>5043</v>
      </c>
      <c r="F2640" s="1">
        <v>3644</v>
      </c>
      <c r="G2640" s="1">
        <v>13701710</v>
      </c>
      <c r="H2640" s="1" t="s">
        <v>70</v>
      </c>
    </row>
    <row r="2641" spans="1:8" x14ac:dyDescent="0.3">
      <c r="A2641" s="1" t="s">
        <v>719</v>
      </c>
      <c r="B2641" s="1" t="s">
        <v>720</v>
      </c>
      <c r="C2641" s="1">
        <v>2019</v>
      </c>
      <c r="D2641" s="1">
        <v>17067</v>
      </c>
      <c r="E2641" s="1">
        <v>146</v>
      </c>
      <c r="F2641" s="1">
        <v>231</v>
      </c>
      <c r="G2641" s="1">
        <v>1319933</v>
      </c>
      <c r="H2641" s="1" t="s">
        <v>70</v>
      </c>
    </row>
    <row r="2642" spans="1:8" x14ac:dyDescent="0.3">
      <c r="A2642" s="1" t="s">
        <v>721</v>
      </c>
      <c r="B2642" s="1" t="s">
        <v>722</v>
      </c>
      <c r="C2642" s="1">
        <v>2019</v>
      </c>
      <c r="D2642" s="1">
        <v>16734</v>
      </c>
      <c r="E2642" s="1">
        <v>45</v>
      </c>
      <c r="F2642" s="1">
        <v>196</v>
      </c>
      <c r="G2642" s="1">
        <v>851275</v>
      </c>
      <c r="H2642" s="1" t="s">
        <v>70</v>
      </c>
    </row>
    <row r="2643" spans="1:8" x14ac:dyDescent="0.3">
      <c r="A2643" s="1" t="s">
        <v>723</v>
      </c>
      <c r="B2643" s="1" t="s">
        <v>724</v>
      </c>
      <c r="C2643" s="1">
        <v>2019</v>
      </c>
      <c r="D2643" s="1">
        <v>20440</v>
      </c>
      <c r="E2643" s="1">
        <v>69</v>
      </c>
      <c r="F2643" s="1">
        <v>208</v>
      </c>
      <c r="G2643" s="1">
        <v>2626833</v>
      </c>
      <c r="H2643" s="1" t="s">
        <v>70</v>
      </c>
    </row>
    <row r="2644" spans="1:8" x14ac:dyDescent="0.3">
      <c r="A2644" s="1" t="s">
        <v>725</v>
      </c>
      <c r="B2644" s="1" t="s">
        <v>726</v>
      </c>
      <c r="C2644" s="1">
        <v>2019</v>
      </c>
      <c r="D2644" s="1">
        <v>28021</v>
      </c>
      <c r="E2644" s="1">
        <v>417</v>
      </c>
      <c r="F2644" s="1">
        <v>357</v>
      </c>
      <c r="G2644" s="1">
        <v>736082</v>
      </c>
      <c r="H2644" s="1" t="s">
        <v>70</v>
      </c>
    </row>
    <row r="2645" spans="1:8" x14ac:dyDescent="0.3">
      <c r="A2645" s="1" t="s">
        <v>727</v>
      </c>
      <c r="B2645" s="1" t="s">
        <v>728</v>
      </c>
      <c r="C2645" s="1">
        <v>2019</v>
      </c>
      <c r="D2645" s="1">
        <v>21016</v>
      </c>
      <c r="E2645" s="1">
        <v>99</v>
      </c>
      <c r="F2645" s="1">
        <v>254</v>
      </c>
      <c r="G2645" s="1">
        <v>1286549</v>
      </c>
      <c r="H2645" s="1" t="s">
        <v>70</v>
      </c>
    </row>
    <row r="2646" spans="1:8" x14ac:dyDescent="0.3">
      <c r="A2646" s="1" t="s">
        <v>729</v>
      </c>
      <c r="B2646" s="1" t="s">
        <v>730</v>
      </c>
      <c r="C2646" s="1">
        <v>2019</v>
      </c>
      <c r="D2646" s="1">
        <v>27486</v>
      </c>
      <c r="E2646" s="1">
        <v>141</v>
      </c>
      <c r="F2646" s="1">
        <v>286</v>
      </c>
      <c r="G2646" s="1">
        <v>800939</v>
      </c>
      <c r="H2646" s="1" t="s">
        <v>70</v>
      </c>
    </row>
    <row r="2647" spans="1:8" x14ac:dyDescent="0.3">
      <c r="A2647" s="1" t="s">
        <v>731</v>
      </c>
      <c r="B2647" s="1" t="s">
        <v>732</v>
      </c>
      <c r="C2647" s="1">
        <v>2019</v>
      </c>
      <c r="D2647" s="1">
        <v>21722</v>
      </c>
      <c r="E2647" s="1">
        <v>657</v>
      </c>
      <c r="F2647" s="1">
        <v>388</v>
      </c>
      <c r="G2647" s="1">
        <v>576107</v>
      </c>
      <c r="H2647" s="1" t="s">
        <v>70</v>
      </c>
    </row>
    <row r="2648" spans="1:8" x14ac:dyDescent="0.3">
      <c r="A2648" s="1" t="s">
        <v>733</v>
      </c>
      <c r="B2648" s="1" t="s">
        <v>734</v>
      </c>
      <c r="C2648" s="1">
        <v>2019</v>
      </c>
      <c r="D2648" s="1">
        <v>37124</v>
      </c>
      <c r="E2648" s="1">
        <v>1069</v>
      </c>
      <c r="F2648" s="1">
        <v>758</v>
      </c>
      <c r="G2648" s="1">
        <v>1075139</v>
      </c>
      <c r="H2648" s="1" t="s">
        <v>70</v>
      </c>
    </row>
    <row r="2649" spans="1:8" x14ac:dyDescent="0.3">
      <c r="A2649" s="1" t="s">
        <v>735</v>
      </c>
      <c r="B2649" s="1" t="s">
        <v>736</v>
      </c>
      <c r="C2649" s="1">
        <v>2019</v>
      </c>
      <c r="D2649" s="1">
        <v>23866</v>
      </c>
      <c r="E2649" s="1">
        <v>528</v>
      </c>
      <c r="F2649" s="1">
        <v>634</v>
      </c>
      <c r="G2649" s="1">
        <v>505673</v>
      </c>
      <c r="H2649" s="1" t="s">
        <v>70</v>
      </c>
    </row>
    <row r="2650" spans="1:8" x14ac:dyDescent="0.3">
      <c r="A2650" s="1" t="s">
        <v>737</v>
      </c>
      <c r="B2650" s="1" t="s">
        <v>738</v>
      </c>
      <c r="C2650" s="1">
        <v>2019</v>
      </c>
      <c r="D2650" s="1">
        <v>22694</v>
      </c>
      <c r="E2650" s="1">
        <v>189</v>
      </c>
      <c r="F2650" s="1">
        <v>232</v>
      </c>
      <c r="G2650" s="1">
        <v>1128228</v>
      </c>
      <c r="H2650" s="1" t="s">
        <v>70</v>
      </c>
    </row>
    <row r="2651" spans="1:8" x14ac:dyDescent="0.3">
      <c r="A2651" s="1" t="s">
        <v>739</v>
      </c>
      <c r="B2651" s="1" t="s">
        <v>740</v>
      </c>
      <c r="C2651" s="1">
        <v>2019</v>
      </c>
      <c r="D2651" s="1">
        <v>29187</v>
      </c>
      <c r="E2651" s="1">
        <v>626</v>
      </c>
      <c r="F2651" s="1">
        <v>597</v>
      </c>
      <c r="G2651" s="1">
        <v>722797</v>
      </c>
      <c r="H2651" s="1" t="s">
        <v>70</v>
      </c>
    </row>
    <row r="2652" spans="1:8" x14ac:dyDescent="0.3">
      <c r="A2652" s="1" t="s">
        <v>741</v>
      </c>
      <c r="B2652" s="1" t="s">
        <v>742</v>
      </c>
      <c r="C2652" s="1">
        <v>2019</v>
      </c>
      <c r="D2652" s="1">
        <v>12910</v>
      </c>
      <c r="E2652" s="1">
        <v>117</v>
      </c>
      <c r="F2652" s="1">
        <v>149</v>
      </c>
      <c r="G2652" s="1">
        <v>651052</v>
      </c>
      <c r="H2652" s="1" t="s">
        <v>70</v>
      </c>
    </row>
    <row r="2653" spans="1:8" x14ac:dyDescent="0.3">
      <c r="A2653" s="1" t="s">
        <v>743</v>
      </c>
      <c r="B2653" s="1" t="s">
        <v>744</v>
      </c>
      <c r="C2653" s="1">
        <v>2019</v>
      </c>
      <c r="D2653" s="1">
        <v>19255</v>
      </c>
      <c r="E2653" s="1">
        <v>173</v>
      </c>
      <c r="F2653" s="1">
        <v>294</v>
      </c>
      <c r="G2653" s="1">
        <v>714559</v>
      </c>
      <c r="H2653" s="1" t="s">
        <v>70</v>
      </c>
    </row>
    <row r="2654" spans="1:8" x14ac:dyDescent="0.3">
      <c r="A2654" s="1" t="s">
        <v>745</v>
      </c>
      <c r="B2654" s="1" t="s">
        <v>746</v>
      </c>
      <c r="C2654" s="1">
        <v>2019</v>
      </c>
      <c r="D2654" s="1">
        <v>42252</v>
      </c>
      <c r="E2654" s="1">
        <v>405</v>
      </c>
      <c r="F2654" s="1">
        <v>685</v>
      </c>
      <c r="G2654" s="1">
        <v>2665726</v>
      </c>
      <c r="H2654" s="1" t="s">
        <v>70</v>
      </c>
    </row>
    <row r="2655" spans="1:8" x14ac:dyDescent="0.3">
      <c r="A2655" s="1" t="s">
        <v>747</v>
      </c>
      <c r="B2655" s="1" t="s">
        <v>748</v>
      </c>
      <c r="C2655" s="1">
        <v>2019</v>
      </c>
      <c r="D2655" s="1">
        <v>28594</v>
      </c>
      <c r="E2655" s="1">
        <v>230</v>
      </c>
      <c r="F2655" s="1">
        <v>499</v>
      </c>
      <c r="G2655" s="1">
        <v>2397693</v>
      </c>
      <c r="H2655" s="1" t="s">
        <v>70</v>
      </c>
    </row>
    <row r="2656" spans="1:8" x14ac:dyDescent="0.3">
      <c r="A2656" s="1" t="s">
        <v>749</v>
      </c>
      <c r="B2656" s="1" t="s">
        <v>750</v>
      </c>
      <c r="C2656" s="1">
        <v>2019</v>
      </c>
      <c r="D2656" s="1">
        <v>16774</v>
      </c>
      <c r="E2656" s="1">
        <v>35</v>
      </c>
      <c r="F2656" s="1">
        <v>169</v>
      </c>
      <c r="G2656" s="1">
        <v>1179448</v>
      </c>
      <c r="H2656" s="1" t="s">
        <v>70</v>
      </c>
    </row>
    <row r="2657" spans="1:8" x14ac:dyDescent="0.3">
      <c r="A2657" s="1" t="s">
        <v>751</v>
      </c>
      <c r="B2657" s="1" t="s">
        <v>752</v>
      </c>
      <c r="C2657" s="1">
        <v>2019</v>
      </c>
      <c r="D2657" s="1">
        <v>19197</v>
      </c>
      <c r="E2657" s="1">
        <v>161</v>
      </c>
      <c r="F2657" s="1">
        <v>231</v>
      </c>
      <c r="G2657" s="1">
        <v>1036773</v>
      </c>
      <c r="H2657" s="1" t="s">
        <v>70</v>
      </c>
    </row>
    <row r="2658" spans="1:8" x14ac:dyDescent="0.3">
      <c r="A2658" s="1" t="s">
        <v>753</v>
      </c>
      <c r="B2658" s="1" t="s">
        <v>754</v>
      </c>
      <c r="C2658" s="1">
        <v>2019</v>
      </c>
      <c r="D2658" s="1">
        <v>12875</v>
      </c>
      <c r="E2658" s="1">
        <v>23</v>
      </c>
      <c r="F2658" s="1">
        <v>132</v>
      </c>
      <c r="G2658" s="1">
        <v>536498</v>
      </c>
      <c r="H2658" s="1" t="s">
        <v>70</v>
      </c>
    </row>
    <row r="2659" spans="1:8" x14ac:dyDescent="0.3">
      <c r="A2659" s="1" t="s">
        <v>755</v>
      </c>
      <c r="B2659" s="1" t="s">
        <v>756</v>
      </c>
      <c r="C2659" s="1">
        <v>2019</v>
      </c>
      <c r="D2659" s="1">
        <v>47138</v>
      </c>
      <c r="E2659" s="1">
        <v>381</v>
      </c>
      <c r="F2659" s="1">
        <v>519</v>
      </c>
      <c r="G2659" s="1">
        <v>3231708</v>
      </c>
      <c r="H2659" s="1" t="s">
        <v>70</v>
      </c>
    </row>
    <row r="2660" spans="1:8" x14ac:dyDescent="0.3">
      <c r="A2660" s="1" t="s">
        <v>757</v>
      </c>
      <c r="B2660" s="1" t="s">
        <v>758</v>
      </c>
      <c r="C2660" s="1">
        <v>2019</v>
      </c>
      <c r="D2660" s="1">
        <v>183237</v>
      </c>
      <c r="E2660" s="1">
        <v>3215</v>
      </c>
      <c r="F2660" s="1">
        <v>3531</v>
      </c>
      <c r="G2660" s="1">
        <v>7646121</v>
      </c>
      <c r="H2660" s="1" t="s">
        <v>70</v>
      </c>
    </row>
    <row r="2661" spans="1:8" x14ac:dyDescent="0.3">
      <c r="A2661" s="1" t="s">
        <v>759</v>
      </c>
      <c r="B2661" s="1" t="s">
        <v>760</v>
      </c>
      <c r="C2661" s="1">
        <v>2019</v>
      </c>
      <c r="D2661" s="1">
        <v>21182</v>
      </c>
      <c r="E2661" s="1">
        <v>224</v>
      </c>
      <c r="F2661" s="1">
        <v>343</v>
      </c>
      <c r="G2661" s="1">
        <v>916083</v>
      </c>
      <c r="H2661" s="1" t="s">
        <v>70</v>
      </c>
    </row>
    <row r="2662" spans="1:8" x14ac:dyDescent="0.3">
      <c r="A2662" s="2" t="s">
        <v>10</v>
      </c>
      <c r="B2662" s="2" t="s">
        <v>11</v>
      </c>
      <c r="C2662" s="1">
        <v>2020</v>
      </c>
      <c r="D2662" s="2">
        <v>34085</v>
      </c>
      <c r="E2662" s="2">
        <v>493</v>
      </c>
      <c r="F2662" s="2">
        <v>420</v>
      </c>
      <c r="G2662" s="2">
        <v>804872</v>
      </c>
      <c r="H2662" s="1">
        <v>0</v>
      </c>
    </row>
    <row r="2663" spans="1:8" x14ac:dyDescent="0.3">
      <c r="A2663" s="1" t="s">
        <v>12</v>
      </c>
      <c r="B2663" s="1" t="s">
        <v>13</v>
      </c>
      <c r="C2663" s="1">
        <v>2020</v>
      </c>
      <c r="D2663" s="1">
        <v>40575</v>
      </c>
      <c r="E2663" s="1">
        <v>134</v>
      </c>
      <c r="F2663" s="1">
        <v>549</v>
      </c>
      <c r="G2663" s="1">
        <v>1992258</v>
      </c>
      <c r="H2663" s="1">
        <v>57</v>
      </c>
    </row>
    <row r="2664" spans="1:8" x14ac:dyDescent="0.3">
      <c r="A2664" s="1" t="s">
        <v>14</v>
      </c>
      <c r="B2664" s="1" t="s">
        <v>15</v>
      </c>
      <c r="C2664" s="1">
        <v>2020</v>
      </c>
      <c r="D2664" s="1">
        <v>33974</v>
      </c>
      <c r="E2664" s="1">
        <v>278</v>
      </c>
      <c r="F2664" s="1">
        <v>486</v>
      </c>
      <c r="G2664" s="1">
        <v>1308189</v>
      </c>
      <c r="H2664" s="1">
        <v>25</v>
      </c>
    </row>
    <row r="2665" spans="1:8" x14ac:dyDescent="0.3">
      <c r="A2665" s="1" t="s">
        <v>16</v>
      </c>
      <c r="B2665" s="1" t="s">
        <v>17</v>
      </c>
      <c r="C2665" s="1">
        <v>2020</v>
      </c>
      <c r="D2665" s="1">
        <v>12137</v>
      </c>
      <c r="E2665" s="1">
        <v>58</v>
      </c>
      <c r="F2665" s="1">
        <v>77</v>
      </c>
      <c r="G2665" s="1">
        <v>583181</v>
      </c>
      <c r="H2665" s="1">
        <v>4</v>
      </c>
    </row>
    <row r="2666" spans="1:8" x14ac:dyDescent="0.3">
      <c r="A2666" s="1" t="s">
        <v>18</v>
      </c>
      <c r="B2666" s="1" t="s">
        <v>19</v>
      </c>
      <c r="C2666" s="1">
        <v>2020</v>
      </c>
      <c r="D2666" s="1">
        <v>18196</v>
      </c>
      <c r="E2666" s="1">
        <v>97</v>
      </c>
      <c r="F2666" s="1">
        <v>159</v>
      </c>
      <c r="G2666" s="1">
        <v>505615</v>
      </c>
      <c r="H2666" s="1">
        <v>3</v>
      </c>
    </row>
    <row r="2667" spans="1:8" x14ac:dyDescent="0.3">
      <c r="A2667" s="1" t="s">
        <v>20</v>
      </c>
      <c r="B2667" s="1" t="s">
        <v>21</v>
      </c>
      <c r="C2667" s="1">
        <v>2020</v>
      </c>
      <c r="D2667" s="1">
        <v>26803</v>
      </c>
      <c r="E2667" s="1">
        <v>268</v>
      </c>
      <c r="F2667" s="1">
        <v>430</v>
      </c>
      <c r="G2667" s="1">
        <v>717776</v>
      </c>
      <c r="H2667" s="1">
        <v>10</v>
      </c>
    </row>
    <row r="2668" spans="1:8" x14ac:dyDescent="0.3">
      <c r="A2668" s="1" t="s">
        <v>22</v>
      </c>
      <c r="B2668" s="1" t="s">
        <v>23</v>
      </c>
      <c r="C2668" s="1">
        <v>2020</v>
      </c>
      <c r="D2668" s="1">
        <v>17004</v>
      </c>
      <c r="E2668" s="1">
        <v>62</v>
      </c>
      <c r="F2668" s="1">
        <v>145</v>
      </c>
      <c r="G2668" s="1">
        <v>664466</v>
      </c>
      <c r="H2668" s="1">
        <v>2</v>
      </c>
    </row>
    <row r="2669" spans="1:8" x14ac:dyDescent="0.3">
      <c r="A2669" s="1" t="s">
        <v>24</v>
      </c>
      <c r="B2669" s="1" t="s">
        <v>25</v>
      </c>
      <c r="C2669" s="1">
        <v>2020</v>
      </c>
      <c r="D2669" s="1">
        <v>65485</v>
      </c>
      <c r="E2669" s="1">
        <v>410</v>
      </c>
      <c r="F2669" s="1">
        <v>814</v>
      </c>
      <c r="G2669" s="1">
        <v>3018558</v>
      </c>
      <c r="H2669" s="1">
        <v>218</v>
      </c>
    </row>
    <row r="2670" spans="1:8" x14ac:dyDescent="0.3">
      <c r="A2670" s="1" t="s">
        <v>26</v>
      </c>
      <c r="B2670" s="1" t="s">
        <v>27</v>
      </c>
      <c r="C2670" s="1">
        <v>2020</v>
      </c>
      <c r="D2670" s="1">
        <v>19483</v>
      </c>
      <c r="E2670" s="1">
        <v>222</v>
      </c>
      <c r="F2670" s="1">
        <v>111</v>
      </c>
      <c r="G2670" s="1">
        <v>433386</v>
      </c>
      <c r="H2670" s="1">
        <v>0</v>
      </c>
    </row>
    <row r="2671" spans="1:8" x14ac:dyDescent="0.3">
      <c r="A2671" s="1" t="s">
        <v>28</v>
      </c>
      <c r="B2671" s="1" t="s">
        <v>29</v>
      </c>
      <c r="C2671" s="1">
        <v>2020</v>
      </c>
      <c r="D2671" s="1">
        <v>20944</v>
      </c>
      <c r="E2671" s="1">
        <v>93</v>
      </c>
      <c r="F2671" s="1">
        <v>240</v>
      </c>
      <c r="G2671" s="1">
        <v>631764</v>
      </c>
      <c r="H2671" s="1">
        <v>0</v>
      </c>
    </row>
    <row r="2672" spans="1:8" x14ac:dyDescent="0.3">
      <c r="A2672" s="1" t="s">
        <v>30</v>
      </c>
      <c r="B2672" s="1" t="s">
        <v>31</v>
      </c>
      <c r="C2672" s="1">
        <v>2020</v>
      </c>
      <c r="D2672" s="1">
        <v>42838</v>
      </c>
      <c r="E2672" s="1">
        <v>470</v>
      </c>
      <c r="F2672" s="1">
        <v>810</v>
      </c>
      <c r="G2672" s="1">
        <v>1195129</v>
      </c>
      <c r="H2672" s="1">
        <v>0</v>
      </c>
    </row>
    <row r="2673" spans="1:8" x14ac:dyDescent="0.3">
      <c r="A2673" s="1" t="s">
        <v>32</v>
      </c>
      <c r="B2673" s="1" t="s">
        <v>33</v>
      </c>
      <c r="C2673" s="1">
        <v>2020</v>
      </c>
      <c r="D2673" s="1">
        <v>17234</v>
      </c>
      <c r="E2673" s="1">
        <v>40</v>
      </c>
      <c r="F2673" s="1">
        <v>141</v>
      </c>
      <c r="G2673" s="1">
        <v>486893</v>
      </c>
      <c r="H2673" s="1">
        <v>8</v>
      </c>
    </row>
    <row r="2674" spans="1:8" x14ac:dyDescent="0.3">
      <c r="A2674" s="1" t="s">
        <v>34</v>
      </c>
      <c r="B2674" s="1" t="s">
        <v>35</v>
      </c>
      <c r="C2674" s="1">
        <v>2020</v>
      </c>
      <c r="D2674" s="1">
        <v>12239</v>
      </c>
      <c r="E2674" s="1">
        <v>216</v>
      </c>
      <c r="F2674" s="1">
        <v>172</v>
      </c>
      <c r="G2674" s="1">
        <v>148467</v>
      </c>
      <c r="H2674" s="1">
        <v>0</v>
      </c>
    </row>
    <row r="2675" spans="1:8" x14ac:dyDescent="0.3">
      <c r="A2675" s="1" t="s">
        <v>36</v>
      </c>
      <c r="B2675" s="1" t="s">
        <v>37</v>
      </c>
      <c r="C2675" s="1">
        <v>2020</v>
      </c>
      <c r="D2675" s="1">
        <v>38540</v>
      </c>
      <c r="E2675" s="1">
        <v>699</v>
      </c>
      <c r="F2675" s="1">
        <v>607</v>
      </c>
      <c r="G2675" s="1">
        <v>1474996</v>
      </c>
      <c r="H2675" s="1">
        <v>105</v>
      </c>
    </row>
    <row r="2676" spans="1:8" x14ac:dyDescent="0.3">
      <c r="A2676" s="1" t="s">
        <v>38</v>
      </c>
      <c r="B2676" s="1" t="s">
        <v>39</v>
      </c>
      <c r="C2676" s="1">
        <v>2020</v>
      </c>
      <c r="D2676" s="1">
        <v>29992</v>
      </c>
      <c r="E2676" s="1">
        <v>768</v>
      </c>
      <c r="F2676" s="1">
        <v>454</v>
      </c>
      <c r="G2676" s="1">
        <v>977509</v>
      </c>
      <c r="H2676" s="1">
        <v>14</v>
      </c>
    </row>
    <row r="2677" spans="1:8" x14ac:dyDescent="0.3">
      <c r="A2677" s="1" t="s">
        <v>40</v>
      </c>
      <c r="B2677" s="1" t="s">
        <v>41</v>
      </c>
      <c r="C2677" s="1">
        <v>2020</v>
      </c>
      <c r="D2677" s="1">
        <v>22818</v>
      </c>
      <c r="E2677" s="1">
        <v>233</v>
      </c>
      <c r="F2677" s="1">
        <v>242</v>
      </c>
      <c r="G2677" s="1">
        <v>1055246</v>
      </c>
      <c r="H2677" s="1">
        <v>0</v>
      </c>
    </row>
    <row r="2678" spans="1:8" x14ac:dyDescent="0.3">
      <c r="A2678" s="1" t="s">
        <v>42</v>
      </c>
      <c r="B2678" s="1" t="s">
        <v>43</v>
      </c>
      <c r="C2678" s="1">
        <v>2020</v>
      </c>
      <c r="D2678" s="1">
        <v>15570</v>
      </c>
      <c r="E2678" s="1">
        <v>176</v>
      </c>
      <c r="F2678" s="1">
        <v>137</v>
      </c>
      <c r="G2678" s="1">
        <v>555449</v>
      </c>
      <c r="H2678" s="1">
        <v>0</v>
      </c>
    </row>
    <row r="2679" spans="1:8" x14ac:dyDescent="0.3">
      <c r="A2679" s="1" t="s">
        <v>44</v>
      </c>
      <c r="B2679" s="1" t="s">
        <v>45</v>
      </c>
      <c r="C2679" s="1">
        <v>2020</v>
      </c>
      <c r="D2679" s="1">
        <v>20244</v>
      </c>
      <c r="E2679" s="1">
        <v>595</v>
      </c>
      <c r="F2679" s="1">
        <v>263</v>
      </c>
      <c r="G2679" s="1">
        <v>131577</v>
      </c>
      <c r="H2679" s="1">
        <v>4</v>
      </c>
    </row>
    <row r="2680" spans="1:8" x14ac:dyDescent="0.3">
      <c r="A2680" s="1" t="s">
        <v>46</v>
      </c>
      <c r="B2680" s="1" t="s">
        <v>47</v>
      </c>
      <c r="C2680" s="1">
        <v>2020</v>
      </c>
      <c r="D2680" s="1">
        <v>62929</v>
      </c>
      <c r="E2680" s="1">
        <v>550</v>
      </c>
      <c r="F2680" s="1">
        <v>1022</v>
      </c>
      <c r="G2680" s="1">
        <v>861134</v>
      </c>
      <c r="H2680" s="1">
        <v>249</v>
      </c>
    </row>
    <row r="2681" spans="1:8" x14ac:dyDescent="0.3">
      <c r="A2681" s="1" t="s">
        <v>48</v>
      </c>
      <c r="B2681" s="1" t="s">
        <v>49</v>
      </c>
      <c r="C2681" s="1">
        <v>2020</v>
      </c>
      <c r="D2681" s="1">
        <v>29982</v>
      </c>
      <c r="E2681" s="1">
        <v>490</v>
      </c>
      <c r="F2681" s="1">
        <v>410</v>
      </c>
      <c r="G2681" s="1">
        <v>674157</v>
      </c>
      <c r="H2681" s="1">
        <v>4</v>
      </c>
    </row>
    <row r="2682" spans="1:8" x14ac:dyDescent="0.3">
      <c r="A2682" s="1" t="s">
        <v>50</v>
      </c>
      <c r="B2682" s="1" t="s">
        <v>51</v>
      </c>
      <c r="C2682" s="1">
        <v>2020</v>
      </c>
      <c r="D2682" s="1">
        <v>22827</v>
      </c>
      <c r="E2682" s="1">
        <v>76</v>
      </c>
      <c r="F2682" s="1">
        <v>386</v>
      </c>
      <c r="G2682" s="1">
        <v>924132</v>
      </c>
      <c r="H2682" s="1">
        <v>27</v>
      </c>
    </row>
    <row r="2683" spans="1:8" x14ac:dyDescent="0.3">
      <c r="A2683" s="1" t="s">
        <v>52</v>
      </c>
      <c r="B2683" s="1" t="s">
        <v>53</v>
      </c>
      <c r="C2683" s="1">
        <v>2020</v>
      </c>
      <c r="D2683" s="1">
        <v>17842</v>
      </c>
      <c r="E2683" s="1">
        <v>194</v>
      </c>
      <c r="F2683" s="1">
        <v>384</v>
      </c>
      <c r="G2683" s="1">
        <v>485610</v>
      </c>
      <c r="H2683" s="1">
        <v>20</v>
      </c>
    </row>
    <row r="2684" spans="1:8" x14ac:dyDescent="0.3">
      <c r="A2684" s="1" t="s">
        <v>54</v>
      </c>
      <c r="B2684" s="1" t="s">
        <v>55</v>
      </c>
      <c r="C2684" s="1">
        <v>2020</v>
      </c>
      <c r="D2684" s="1">
        <v>65236</v>
      </c>
      <c r="E2684" s="1">
        <v>3166</v>
      </c>
      <c r="F2684" s="1">
        <v>1894</v>
      </c>
      <c r="G2684" s="1">
        <v>430031</v>
      </c>
      <c r="H2684" s="1">
        <v>26</v>
      </c>
    </row>
    <row r="2685" spans="1:8" x14ac:dyDescent="0.3">
      <c r="A2685" s="1" t="s">
        <v>56</v>
      </c>
      <c r="B2685" s="1" t="s">
        <v>57</v>
      </c>
      <c r="C2685" s="1">
        <v>2020</v>
      </c>
      <c r="D2685" s="1">
        <v>24689</v>
      </c>
      <c r="E2685" s="1">
        <v>112</v>
      </c>
      <c r="F2685" s="1">
        <v>272</v>
      </c>
      <c r="G2685" s="1">
        <v>546261</v>
      </c>
      <c r="H2685" s="1">
        <v>28</v>
      </c>
    </row>
    <row r="2686" spans="1:8" x14ac:dyDescent="0.3">
      <c r="A2686" s="1" t="s">
        <v>58</v>
      </c>
      <c r="B2686" s="1" t="s">
        <v>59</v>
      </c>
      <c r="C2686" s="1">
        <v>2020</v>
      </c>
      <c r="D2686" s="1">
        <v>35332</v>
      </c>
      <c r="E2686" s="1">
        <v>201</v>
      </c>
      <c r="F2686" s="1">
        <v>368</v>
      </c>
      <c r="G2686" s="1">
        <v>781667</v>
      </c>
      <c r="H2686" s="1">
        <v>12</v>
      </c>
    </row>
    <row r="2687" spans="1:8" x14ac:dyDescent="0.3">
      <c r="A2687" s="1" t="s">
        <v>60</v>
      </c>
      <c r="B2687" s="1" t="s">
        <v>61</v>
      </c>
      <c r="C2687" s="1">
        <v>2020</v>
      </c>
      <c r="D2687" s="1">
        <v>15980</v>
      </c>
      <c r="E2687" s="1">
        <v>62</v>
      </c>
      <c r="F2687" s="1">
        <v>153</v>
      </c>
      <c r="G2687" s="1">
        <v>689175</v>
      </c>
      <c r="H2687" s="1">
        <v>37</v>
      </c>
    </row>
    <row r="2688" spans="1:8" x14ac:dyDescent="0.3">
      <c r="A2688" s="1" t="s">
        <v>62</v>
      </c>
      <c r="B2688" s="1" t="s">
        <v>63</v>
      </c>
      <c r="C2688" s="1">
        <v>2020</v>
      </c>
      <c r="D2688" s="1">
        <v>37053</v>
      </c>
      <c r="E2688" s="1">
        <v>170</v>
      </c>
      <c r="F2688" s="1">
        <v>784</v>
      </c>
      <c r="G2688" s="1">
        <v>943695</v>
      </c>
      <c r="H2688" s="1">
        <v>0</v>
      </c>
    </row>
    <row r="2689" spans="1:8" x14ac:dyDescent="0.3">
      <c r="A2689" s="1" t="s">
        <v>64</v>
      </c>
      <c r="B2689" s="1" t="s">
        <v>65</v>
      </c>
      <c r="C2689" s="1">
        <v>2020</v>
      </c>
      <c r="D2689" s="1">
        <v>43965</v>
      </c>
      <c r="E2689" s="1">
        <v>506</v>
      </c>
      <c r="F2689" s="1">
        <v>917</v>
      </c>
      <c r="G2689" s="1">
        <v>2293407</v>
      </c>
      <c r="H2689" s="1">
        <v>27</v>
      </c>
    </row>
    <row r="2690" spans="1:8" x14ac:dyDescent="0.3">
      <c r="A2690" s="1" t="s">
        <v>66</v>
      </c>
      <c r="B2690" s="1" t="s">
        <v>67</v>
      </c>
      <c r="C2690" s="1">
        <v>2020</v>
      </c>
      <c r="D2690" s="1">
        <v>361827</v>
      </c>
      <c r="E2690" s="1">
        <v>11010</v>
      </c>
      <c r="F2690" s="1">
        <v>6762</v>
      </c>
      <c r="G2690" s="1">
        <v>6505171</v>
      </c>
      <c r="H2690" s="1">
        <v>445</v>
      </c>
    </row>
    <row r="2691" spans="1:8" x14ac:dyDescent="0.3">
      <c r="A2691" s="1" t="s">
        <v>68</v>
      </c>
      <c r="B2691" s="1" t="s">
        <v>69</v>
      </c>
      <c r="C2691" s="1">
        <v>2020</v>
      </c>
      <c r="D2691" s="1">
        <v>51006</v>
      </c>
      <c r="E2691" s="1">
        <v>12</v>
      </c>
      <c r="F2691" s="1">
        <v>777</v>
      </c>
      <c r="G2691" s="1">
        <v>3582204</v>
      </c>
      <c r="H2691" s="1">
        <v>284</v>
      </c>
    </row>
    <row r="2692" spans="1:8" x14ac:dyDescent="0.3">
      <c r="A2692" s="1" t="s">
        <v>71</v>
      </c>
      <c r="B2692" s="1" t="s">
        <v>72</v>
      </c>
      <c r="C2692" s="1">
        <v>2020</v>
      </c>
      <c r="D2692" s="1">
        <v>20291</v>
      </c>
      <c r="E2692" s="1">
        <v>172</v>
      </c>
      <c r="F2692" s="1">
        <v>165</v>
      </c>
      <c r="G2692" s="1">
        <v>648068</v>
      </c>
      <c r="H2692" s="1">
        <v>0</v>
      </c>
    </row>
    <row r="2693" spans="1:8" x14ac:dyDescent="0.3">
      <c r="A2693" s="1" t="s">
        <v>73</v>
      </c>
      <c r="B2693" s="1" t="s">
        <v>74</v>
      </c>
      <c r="C2693" s="1">
        <v>2020</v>
      </c>
      <c r="D2693" s="1">
        <v>27316</v>
      </c>
      <c r="E2693" s="1">
        <v>355</v>
      </c>
      <c r="F2693" s="1">
        <v>304</v>
      </c>
      <c r="G2693" s="1">
        <v>1189039</v>
      </c>
      <c r="H2693" s="1">
        <v>0</v>
      </c>
    </row>
    <row r="2694" spans="1:8" x14ac:dyDescent="0.3">
      <c r="A2694" s="1" t="s">
        <v>75</v>
      </c>
      <c r="B2694" s="1" t="s">
        <v>76</v>
      </c>
      <c r="C2694" s="1">
        <v>2020</v>
      </c>
      <c r="D2694" s="1">
        <v>40517</v>
      </c>
      <c r="E2694" s="1">
        <v>1226</v>
      </c>
      <c r="F2694" s="1">
        <v>195</v>
      </c>
      <c r="G2694" s="1">
        <v>1702771</v>
      </c>
      <c r="H2694" s="1">
        <v>19</v>
      </c>
    </row>
    <row r="2695" spans="1:8" x14ac:dyDescent="0.3">
      <c r="A2695" s="1" t="s">
        <v>77</v>
      </c>
      <c r="B2695" s="1" t="s">
        <v>78</v>
      </c>
      <c r="C2695" s="1">
        <v>2020</v>
      </c>
      <c r="D2695" s="1">
        <v>16607</v>
      </c>
      <c r="E2695" s="1">
        <v>109</v>
      </c>
      <c r="F2695" s="1">
        <v>124</v>
      </c>
      <c r="G2695" s="1">
        <v>863567</v>
      </c>
      <c r="H2695" s="1">
        <v>0</v>
      </c>
    </row>
    <row r="2696" spans="1:8" x14ac:dyDescent="0.3">
      <c r="A2696" s="1" t="s">
        <v>79</v>
      </c>
      <c r="B2696" s="1" t="s">
        <v>80</v>
      </c>
      <c r="C2696" s="1">
        <v>2020</v>
      </c>
      <c r="D2696" s="1">
        <v>14569</v>
      </c>
      <c r="E2696" s="1">
        <v>101</v>
      </c>
      <c r="F2696" s="1">
        <v>70</v>
      </c>
      <c r="G2696" s="1">
        <v>1254305</v>
      </c>
      <c r="H2696" s="1">
        <v>0</v>
      </c>
    </row>
    <row r="2697" spans="1:8" x14ac:dyDescent="0.3">
      <c r="A2697" s="1" t="s">
        <v>81</v>
      </c>
      <c r="B2697" s="1" t="s">
        <v>82</v>
      </c>
      <c r="C2697" s="1">
        <v>2020</v>
      </c>
      <c r="D2697" s="1">
        <v>12626</v>
      </c>
      <c r="E2697" s="1">
        <v>164</v>
      </c>
      <c r="F2697" s="1">
        <v>66</v>
      </c>
      <c r="G2697" s="1">
        <v>641493</v>
      </c>
      <c r="H2697" s="1">
        <v>4</v>
      </c>
    </row>
    <row r="2698" spans="1:8" x14ac:dyDescent="0.3">
      <c r="A2698" s="1" t="s">
        <v>83</v>
      </c>
      <c r="B2698" s="1" t="s">
        <v>84</v>
      </c>
      <c r="C2698" s="1">
        <v>2020</v>
      </c>
      <c r="D2698" s="1">
        <v>59404</v>
      </c>
      <c r="E2698" s="1">
        <v>288</v>
      </c>
      <c r="F2698" s="1">
        <v>633</v>
      </c>
      <c r="G2698" s="1">
        <v>5302606</v>
      </c>
      <c r="H2698" s="1">
        <v>161</v>
      </c>
    </row>
    <row r="2699" spans="1:8" x14ac:dyDescent="0.3">
      <c r="A2699" s="1" t="s">
        <v>85</v>
      </c>
      <c r="B2699" s="1" t="s">
        <v>86</v>
      </c>
      <c r="C2699" s="1">
        <v>2020</v>
      </c>
      <c r="D2699" s="1">
        <v>20411</v>
      </c>
      <c r="E2699" s="1">
        <v>195</v>
      </c>
      <c r="F2699" s="1">
        <v>68</v>
      </c>
      <c r="G2699" s="1">
        <v>705110</v>
      </c>
      <c r="H2699" s="1">
        <v>0</v>
      </c>
    </row>
    <row r="2700" spans="1:8" x14ac:dyDescent="0.3">
      <c r="A2700" s="1" t="s">
        <v>87</v>
      </c>
      <c r="B2700" s="1" t="s">
        <v>88</v>
      </c>
      <c r="C2700" s="1">
        <v>2020</v>
      </c>
      <c r="D2700" s="1">
        <v>14952</v>
      </c>
      <c r="E2700" s="1">
        <v>64</v>
      </c>
      <c r="F2700" s="1">
        <v>90</v>
      </c>
      <c r="G2700" s="1">
        <v>984611</v>
      </c>
      <c r="H2700" s="1">
        <v>0</v>
      </c>
    </row>
    <row r="2701" spans="1:8" x14ac:dyDescent="0.3">
      <c r="A2701" s="1" t="s">
        <v>89</v>
      </c>
      <c r="B2701" s="1" t="s">
        <v>90</v>
      </c>
      <c r="C2701" s="1">
        <v>2020</v>
      </c>
      <c r="D2701" s="1">
        <v>27466</v>
      </c>
      <c r="E2701" s="1">
        <v>356</v>
      </c>
      <c r="F2701" s="1">
        <v>236</v>
      </c>
      <c r="G2701" s="1">
        <v>2288461</v>
      </c>
      <c r="H2701" s="1">
        <v>15</v>
      </c>
    </row>
    <row r="2702" spans="1:8" x14ac:dyDescent="0.3">
      <c r="A2702" s="1" t="s">
        <v>91</v>
      </c>
      <c r="B2702" s="1" t="s">
        <v>92</v>
      </c>
      <c r="C2702" s="1">
        <v>2020</v>
      </c>
      <c r="D2702" s="1">
        <v>12381</v>
      </c>
      <c r="E2702" s="1">
        <v>64</v>
      </c>
      <c r="F2702" s="1">
        <v>30</v>
      </c>
      <c r="G2702" s="1">
        <v>344350</v>
      </c>
      <c r="H2702" s="1">
        <v>0</v>
      </c>
    </row>
    <row r="2703" spans="1:8" x14ac:dyDescent="0.3">
      <c r="A2703" s="1" t="s">
        <v>93</v>
      </c>
      <c r="B2703" s="1" t="s">
        <v>94</v>
      </c>
      <c r="C2703" s="1">
        <v>2020</v>
      </c>
      <c r="D2703" s="1">
        <v>14298</v>
      </c>
      <c r="E2703" s="1">
        <v>207</v>
      </c>
      <c r="F2703" s="1">
        <v>68</v>
      </c>
      <c r="G2703" s="1">
        <v>961170</v>
      </c>
      <c r="H2703" s="1">
        <v>6</v>
      </c>
    </row>
    <row r="2704" spans="1:8" x14ac:dyDescent="0.3">
      <c r="A2704" s="1" t="s">
        <v>95</v>
      </c>
      <c r="B2704" s="1" t="s">
        <v>96</v>
      </c>
      <c r="C2704" s="1">
        <v>2020</v>
      </c>
      <c r="D2704" s="1">
        <v>12383</v>
      </c>
      <c r="E2704" s="1">
        <v>167</v>
      </c>
      <c r="F2704" s="1">
        <v>81</v>
      </c>
      <c r="G2704" s="1">
        <v>763187</v>
      </c>
      <c r="H2704" s="1">
        <v>14</v>
      </c>
    </row>
    <row r="2705" spans="1:8" x14ac:dyDescent="0.3">
      <c r="A2705" s="1" t="s">
        <v>97</v>
      </c>
      <c r="B2705" s="1" t="s">
        <v>98</v>
      </c>
      <c r="C2705" s="1">
        <v>2020</v>
      </c>
      <c r="D2705" s="1">
        <v>32747</v>
      </c>
      <c r="E2705" s="1">
        <v>300</v>
      </c>
      <c r="F2705" s="1">
        <v>257</v>
      </c>
      <c r="G2705" s="1">
        <v>1336610</v>
      </c>
      <c r="H2705" s="1">
        <v>0</v>
      </c>
    </row>
    <row r="2706" spans="1:8" x14ac:dyDescent="0.3">
      <c r="A2706" s="1" t="s">
        <v>99</v>
      </c>
      <c r="B2706" s="1" t="s">
        <v>100</v>
      </c>
      <c r="C2706" s="1">
        <v>2020</v>
      </c>
      <c r="D2706" s="1">
        <v>35207</v>
      </c>
      <c r="E2706" s="1">
        <v>837</v>
      </c>
      <c r="F2706" s="1">
        <v>215</v>
      </c>
      <c r="G2706" s="1">
        <v>1389927</v>
      </c>
      <c r="H2706" s="1">
        <v>2</v>
      </c>
    </row>
    <row r="2707" spans="1:8" x14ac:dyDescent="0.3">
      <c r="A2707" s="1" t="s">
        <v>101</v>
      </c>
      <c r="B2707" s="1" t="s">
        <v>102</v>
      </c>
      <c r="C2707" s="1">
        <v>2020</v>
      </c>
      <c r="D2707" s="1">
        <v>15384</v>
      </c>
      <c r="E2707" s="1">
        <v>146</v>
      </c>
      <c r="F2707" s="1">
        <v>46</v>
      </c>
      <c r="G2707" s="1">
        <v>842574</v>
      </c>
      <c r="H2707" s="1">
        <v>0</v>
      </c>
    </row>
    <row r="2708" spans="1:8" x14ac:dyDescent="0.3">
      <c r="A2708" s="1" t="s">
        <v>103</v>
      </c>
      <c r="B2708" s="1" t="s">
        <v>104</v>
      </c>
      <c r="C2708" s="1">
        <v>2020</v>
      </c>
      <c r="D2708" s="1">
        <v>11533</v>
      </c>
      <c r="E2708" s="1">
        <v>148</v>
      </c>
      <c r="F2708" s="1">
        <v>56</v>
      </c>
      <c r="G2708" s="1">
        <v>1110198</v>
      </c>
      <c r="H2708" s="1">
        <v>42</v>
      </c>
    </row>
    <row r="2709" spans="1:8" x14ac:dyDescent="0.3">
      <c r="A2709" s="1" t="s">
        <v>105</v>
      </c>
      <c r="B2709" s="1" t="s">
        <v>106</v>
      </c>
      <c r="C2709" s="1">
        <v>2020</v>
      </c>
      <c r="D2709" s="1">
        <v>27108</v>
      </c>
      <c r="E2709" s="1">
        <v>234</v>
      </c>
      <c r="F2709" s="1">
        <v>61</v>
      </c>
      <c r="G2709" s="1">
        <v>515252</v>
      </c>
      <c r="H2709" s="1">
        <v>0</v>
      </c>
    </row>
    <row r="2710" spans="1:8" x14ac:dyDescent="0.3">
      <c r="A2710" s="1" t="s">
        <v>107</v>
      </c>
      <c r="B2710" s="1" t="s">
        <v>108</v>
      </c>
      <c r="C2710" s="1">
        <v>2020</v>
      </c>
      <c r="D2710" s="1">
        <v>23047</v>
      </c>
      <c r="E2710" s="1">
        <v>315</v>
      </c>
      <c r="F2710" s="1">
        <v>152</v>
      </c>
      <c r="G2710" s="1">
        <v>1433645</v>
      </c>
      <c r="H2710" s="1">
        <v>15</v>
      </c>
    </row>
    <row r="2711" spans="1:8" x14ac:dyDescent="0.3">
      <c r="A2711" s="1" t="s">
        <v>109</v>
      </c>
      <c r="B2711" s="1" t="s">
        <v>110</v>
      </c>
      <c r="C2711" s="1">
        <v>2020</v>
      </c>
      <c r="D2711" s="1">
        <v>155633</v>
      </c>
      <c r="E2711" s="1">
        <v>1665</v>
      </c>
      <c r="F2711" s="1">
        <v>2845</v>
      </c>
      <c r="G2711" s="1">
        <v>17342381</v>
      </c>
      <c r="H2711" s="1">
        <v>280</v>
      </c>
    </row>
    <row r="2712" spans="1:8" x14ac:dyDescent="0.3">
      <c r="A2712" s="1" t="s">
        <v>111</v>
      </c>
      <c r="B2712" s="1" t="s">
        <v>112</v>
      </c>
      <c r="C2712" s="1">
        <v>2020</v>
      </c>
      <c r="D2712" s="1">
        <v>40371</v>
      </c>
      <c r="E2712" s="1">
        <v>420</v>
      </c>
      <c r="F2712" s="1">
        <v>652</v>
      </c>
      <c r="G2712" s="1">
        <v>5188919</v>
      </c>
      <c r="H2712" s="1">
        <v>0</v>
      </c>
    </row>
    <row r="2713" spans="1:8" x14ac:dyDescent="0.3">
      <c r="A2713" s="1" t="s">
        <v>113</v>
      </c>
      <c r="B2713" s="1" t="s">
        <v>114</v>
      </c>
      <c r="C2713" s="1">
        <v>2020</v>
      </c>
      <c r="D2713" s="1">
        <v>95692</v>
      </c>
      <c r="E2713" s="1">
        <v>1958</v>
      </c>
      <c r="F2713" s="1">
        <v>1418</v>
      </c>
      <c r="G2713" s="1">
        <v>3957637</v>
      </c>
      <c r="H2713" s="1">
        <v>96</v>
      </c>
    </row>
    <row r="2714" spans="1:8" x14ac:dyDescent="0.3">
      <c r="A2714" s="1" t="s">
        <v>115</v>
      </c>
      <c r="B2714" s="1" t="s">
        <v>116</v>
      </c>
      <c r="C2714" s="1">
        <v>2020</v>
      </c>
      <c r="D2714" s="1">
        <v>46789</v>
      </c>
      <c r="E2714" s="1">
        <v>199</v>
      </c>
      <c r="F2714" s="1">
        <v>514</v>
      </c>
      <c r="G2714" s="1">
        <v>2265873</v>
      </c>
      <c r="H2714" s="1">
        <v>195</v>
      </c>
    </row>
    <row r="2715" spans="1:8" x14ac:dyDescent="0.3">
      <c r="A2715" s="1" t="s">
        <v>117</v>
      </c>
      <c r="B2715" s="1" t="s">
        <v>118</v>
      </c>
      <c r="C2715" s="1">
        <v>2020</v>
      </c>
      <c r="D2715" s="1">
        <v>38899</v>
      </c>
      <c r="E2715" s="1">
        <v>432</v>
      </c>
      <c r="F2715" s="1">
        <v>115</v>
      </c>
      <c r="G2715" s="1">
        <v>666391</v>
      </c>
      <c r="H2715" s="1">
        <v>30</v>
      </c>
    </row>
    <row r="2716" spans="1:8" x14ac:dyDescent="0.3">
      <c r="A2716" s="1" t="s">
        <v>119</v>
      </c>
      <c r="B2716" s="1" t="s">
        <v>120</v>
      </c>
      <c r="C2716" s="1">
        <v>2020</v>
      </c>
      <c r="D2716" s="1">
        <v>32050</v>
      </c>
      <c r="E2716" s="1">
        <v>262</v>
      </c>
      <c r="F2716" s="1">
        <v>202</v>
      </c>
      <c r="G2716" s="1">
        <v>463787</v>
      </c>
      <c r="H2716" s="1">
        <v>4</v>
      </c>
    </row>
    <row r="2717" spans="1:8" x14ac:dyDescent="0.3">
      <c r="A2717" s="1" t="s">
        <v>121</v>
      </c>
      <c r="B2717" s="1" t="s">
        <v>122</v>
      </c>
      <c r="C2717" s="1">
        <v>2020</v>
      </c>
      <c r="D2717" s="1">
        <v>27625</v>
      </c>
      <c r="E2717" s="1">
        <v>192</v>
      </c>
      <c r="F2717" s="1">
        <v>21</v>
      </c>
      <c r="G2717" s="1">
        <v>173924</v>
      </c>
      <c r="H2717" s="1">
        <v>0</v>
      </c>
    </row>
    <row r="2718" spans="1:8" x14ac:dyDescent="0.3">
      <c r="A2718" s="1" t="s">
        <v>123</v>
      </c>
      <c r="B2718" s="1" t="s">
        <v>124</v>
      </c>
      <c r="C2718" s="1">
        <v>2020</v>
      </c>
      <c r="D2718" s="1">
        <v>22475</v>
      </c>
      <c r="E2718" s="1">
        <v>58</v>
      </c>
      <c r="F2718" s="1">
        <v>87</v>
      </c>
      <c r="G2718" s="1">
        <v>559390</v>
      </c>
      <c r="H2718" s="1">
        <v>4</v>
      </c>
    </row>
    <row r="2719" spans="1:8" x14ac:dyDescent="0.3">
      <c r="A2719" s="1" t="s">
        <v>125</v>
      </c>
      <c r="B2719" s="1" t="s">
        <v>126</v>
      </c>
      <c r="C2719" s="1">
        <v>2020</v>
      </c>
      <c r="D2719" s="1">
        <v>13386</v>
      </c>
      <c r="E2719" s="1">
        <v>64</v>
      </c>
      <c r="F2719" s="1">
        <v>17</v>
      </c>
      <c r="G2719" s="1">
        <v>78105</v>
      </c>
      <c r="H2719" s="1">
        <v>0</v>
      </c>
    </row>
    <row r="2720" spans="1:8" x14ac:dyDescent="0.3">
      <c r="A2720" s="1" t="s">
        <v>127</v>
      </c>
      <c r="B2720" s="1" t="s">
        <v>128</v>
      </c>
      <c r="C2720" s="1">
        <v>2020</v>
      </c>
      <c r="D2720" s="1">
        <v>23792</v>
      </c>
      <c r="E2720" s="1">
        <v>83</v>
      </c>
      <c r="F2720" s="1">
        <v>19</v>
      </c>
      <c r="G2720" s="1">
        <v>357179</v>
      </c>
      <c r="H2720" s="1">
        <v>52</v>
      </c>
    </row>
    <row r="2721" spans="1:8" x14ac:dyDescent="0.3">
      <c r="A2721" s="1" t="s">
        <v>129</v>
      </c>
      <c r="B2721" s="1" t="s">
        <v>130</v>
      </c>
      <c r="C2721" s="1">
        <v>2020</v>
      </c>
      <c r="D2721" s="1">
        <v>31678</v>
      </c>
      <c r="E2721" s="1">
        <v>137</v>
      </c>
      <c r="F2721" s="1">
        <v>104</v>
      </c>
      <c r="G2721" s="1">
        <v>438860</v>
      </c>
      <c r="H2721" s="1">
        <v>0</v>
      </c>
    </row>
    <row r="2722" spans="1:8" x14ac:dyDescent="0.3">
      <c r="A2722" s="1" t="s">
        <v>131</v>
      </c>
      <c r="B2722" s="1" t="s">
        <v>132</v>
      </c>
      <c r="C2722" s="1">
        <v>2020</v>
      </c>
      <c r="D2722" s="1">
        <v>30905</v>
      </c>
      <c r="E2722" s="1">
        <v>318</v>
      </c>
      <c r="F2722" s="1">
        <v>122</v>
      </c>
      <c r="G2722" s="1">
        <v>385044</v>
      </c>
      <c r="H2722" s="1">
        <v>0</v>
      </c>
    </row>
    <row r="2723" spans="1:8" x14ac:dyDescent="0.3">
      <c r="A2723" s="1" t="s">
        <v>133</v>
      </c>
      <c r="B2723" s="1" t="s">
        <v>134</v>
      </c>
      <c r="C2723" s="1">
        <v>2020</v>
      </c>
      <c r="D2723" s="1">
        <v>53374</v>
      </c>
      <c r="E2723" s="1">
        <v>1028</v>
      </c>
      <c r="F2723" s="1">
        <v>128</v>
      </c>
      <c r="G2723" s="1">
        <v>334291</v>
      </c>
      <c r="H2723" s="1">
        <v>6</v>
      </c>
    </row>
    <row r="2724" spans="1:8" x14ac:dyDescent="0.3">
      <c r="A2724" s="1" t="s">
        <v>135</v>
      </c>
      <c r="B2724" s="1" t="s">
        <v>136</v>
      </c>
      <c r="C2724" s="1">
        <v>2020</v>
      </c>
      <c r="D2724" s="1">
        <v>19464</v>
      </c>
      <c r="E2724" s="1">
        <v>172</v>
      </c>
      <c r="F2724" s="1">
        <v>65</v>
      </c>
      <c r="G2724" s="1">
        <v>252897</v>
      </c>
      <c r="H2724" s="1">
        <v>0</v>
      </c>
    </row>
    <row r="2725" spans="1:8" x14ac:dyDescent="0.3">
      <c r="A2725" s="1" t="s">
        <v>137</v>
      </c>
      <c r="B2725" s="1" t="s">
        <v>138</v>
      </c>
      <c r="C2725" s="1">
        <v>2020</v>
      </c>
      <c r="D2725" s="1">
        <v>34607</v>
      </c>
      <c r="E2725" s="1">
        <v>300</v>
      </c>
      <c r="F2725" s="1">
        <v>80</v>
      </c>
      <c r="G2725" s="1">
        <v>547668</v>
      </c>
      <c r="H2725" s="1">
        <v>0</v>
      </c>
    </row>
    <row r="2726" spans="1:8" x14ac:dyDescent="0.3">
      <c r="A2726" s="1" t="s">
        <v>139</v>
      </c>
      <c r="B2726" s="1" t="s">
        <v>140</v>
      </c>
      <c r="C2726" s="1">
        <v>2020</v>
      </c>
      <c r="D2726" s="1">
        <v>20664</v>
      </c>
      <c r="E2726" s="1">
        <v>113</v>
      </c>
      <c r="F2726" s="1">
        <v>50</v>
      </c>
      <c r="G2726" s="1">
        <v>932351</v>
      </c>
      <c r="H2726" s="1">
        <v>4</v>
      </c>
    </row>
    <row r="2727" spans="1:8" x14ac:dyDescent="0.3">
      <c r="A2727" s="1" t="s">
        <v>141</v>
      </c>
      <c r="B2727" s="1" t="s">
        <v>142</v>
      </c>
      <c r="C2727" s="1">
        <v>2020</v>
      </c>
      <c r="D2727" s="1">
        <v>12846</v>
      </c>
      <c r="E2727" s="1">
        <v>134</v>
      </c>
      <c r="F2727" s="1">
        <v>81</v>
      </c>
      <c r="G2727" s="1">
        <v>200752</v>
      </c>
      <c r="H2727" s="1">
        <v>0</v>
      </c>
    </row>
    <row r="2728" spans="1:8" x14ac:dyDescent="0.3">
      <c r="A2728" s="1" t="s">
        <v>143</v>
      </c>
      <c r="B2728" s="1" t="s">
        <v>144</v>
      </c>
      <c r="C2728" s="1">
        <v>2020</v>
      </c>
      <c r="D2728" s="1">
        <v>43742</v>
      </c>
      <c r="E2728" s="1">
        <v>512</v>
      </c>
      <c r="F2728" s="1">
        <v>438</v>
      </c>
      <c r="G2728" s="1">
        <v>935038</v>
      </c>
      <c r="H2728" s="1">
        <v>0</v>
      </c>
    </row>
    <row r="2729" spans="1:8" x14ac:dyDescent="0.3">
      <c r="A2729" s="1" t="s">
        <v>145</v>
      </c>
      <c r="B2729" s="1" t="s">
        <v>146</v>
      </c>
      <c r="C2729" s="1">
        <v>2020</v>
      </c>
      <c r="D2729" s="1">
        <v>19612</v>
      </c>
      <c r="E2729" s="1">
        <v>166</v>
      </c>
      <c r="F2729" s="1">
        <v>43</v>
      </c>
      <c r="G2729" s="1">
        <v>427132</v>
      </c>
      <c r="H2729" s="1">
        <v>0</v>
      </c>
    </row>
    <row r="2730" spans="1:8" x14ac:dyDescent="0.3">
      <c r="A2730" s="1" t="s">
        <v>147</v>
      </c>
      <c r="B2730" s="1" t="s">
        <v>148</v>
      </c>
      <c r="C2730" s="1">
        <v>2020</v>
      </c>
      <c r="D2730" s="1">
        <v>19833</v>
      </c>
      <c r="E2730" s="1">
        <v>114</v>
      </c>
      <c r="F2730" s="1">
        <v>69</v>
      </c>
      <c r="G2730" s="1">
        <v>329356</v>
      </c>
      <c r="H2730" s="1">
        <v>4</v>
      </c>
    </row>
    <row r="2731" spans="1:8" x14ac:dyDescent="0.3">
      <c r="A2731" s="1" t="s">
        <v>149</v>
      </c>
      <c r="B2731" s="1" t="s">
        <v>47</v>
      </c>
      <c r="C2731" s="1">
        <v>2020</v>
      </c>
      <c r="D2731" s="1">
        <v>27503</v>
      </c>
      <c r="E2731" s="1">
        <v>308</v>
      </c>
      <c r="F2731" s="1">
        <v>226</v>
      </c>
      <c r="G2731" s="1">
        <v>553600</v>
      </c>
      <c r="H2731" s="1">
        <v>0</v>
      </c>
    </row>
    <row r="2732" spans="1:8" x14ac:dyDescent="0.3">
      <c r="A2732" s="1" t="s">
        <v>150</v>
      </c>
      <c r="B2732" s="1" t="s">
        <v>151</v>
      </c>
      <c r="C2732" s="1">
        <v>2020</v>
      </c>
      <c r="D2732" s="1">
        <v>27891</v>
      </c>
      <c r="E2732" s="1">
        <v>80</v>
      </c>
      <c r="F2732" s="1">
        <v>84</v>
      </c>
      <c r="G2732" s="1">
        <v>420152</v>
      </c>
      <c r="H2732" s="1">
        <v>0</v>
      </c>
    </row>
    <row r="2733" spans="1:8" x14ac:dyDescent="0.3">
      <c r="A2733" s="1" t="s">
        <v>152</v>
      </c>
      <c r="B2733" s="1" t="s">
        <v>153</v>
      </c>
      <c r="C2733" s="1">
        <v>2020</v>
      </c>
      <c r="D2733" s="1">
        <v>14170</v>
      </c>
      <c r="E2733" s="1">
        <v>83</v>
      </c>
      <c r="F2733" s="1">
        <v>89</v>
      </c>
      <c r="G2733" s="1">
        <v>589062</v>
      </c>
      <c r="H2733" s="1">
        <v>0</v>
      </c>
    </row>
    <row r="2734" spans="1:8" x14ac:dyDescent="0.3">
      <c r="A2734" s="1" t="s">
        <v>154</v>
      </c>
      <c r="B2734" s="1" t="s">
        <v>155</v>
      </c>
      <c r="C2734" s="1">
        <v>2020</v>
      </c>
      <c r="D2734" s="1">
        <v>35912</v>
      </c>
      <c r="E2734" s="1">
        <v>257</v>
      </c>
      <c r="F2734" s="1">
        <v>16</v>
      </c>
      <c r="G2734" s="1">
        <v>128967</v>
      </c>
      <c r="H2734" s="1">
        <v>0</v>
      </c>
    </row>
    <row r="2735" spans="1:8" x14ac:dyDescent="0.3">
      <c r="A2735" s="1" t="s">
        <v>156</v>
      </c>
      <c r="B2735" s="1" t="s">
        <v>157</v>
      </c>
      <c r="C2735" s="1">
        <v>2020</v>
      </c>
      <c r="D2735" s="1">
        <v>23922</v>
      </c>
      <c r="E2735" s="1">
        <v>416</v>
      </c>
      <c r="F2735" s="1">
        <v>476</v>
      </c>
      <c r="G2735" s="1">
        <v>1132151</v>
      </c>
      <c r="H2735" s="1">
        <v>0</v>
      </c>
    </row>
    <row r="2736" spans="1:8" x14ac:dyDescent="0.3">
      <c r="A2736" s="1" t="s">
        <v>158</v>
      </c>
      <c r="B2736" s="1" t="s">
        <v>159</v>
      </c>
      <c r="C2736" s="1">
        <v>2020</v>
      </c>
      <c r="D2736" s="1">
        <v>25831</v>
      </c>
      <c r="E2736" s="1">
        <v>213</v>
      </c>
      <c r="F2736" s="1">
        <v>385</v>
      </c>
      <c r="G2736" s="1">
        <v>963763</v>
      </c>
      <c r="H2736" s="1">
        <v>0</v>
      </c>
    </row>
    <row r="2737" spans="1:8" x14ac:dyDescent="0.3">
      <c r="A2737" s="1" t="s">
        <v>160</v>
      </c>
      <c r="B2737" s="1" t="s">
        <v>161</v>
      </c>
      <c r="C2737" s="1">
        <v>2020</v>
      </c>
      <c r="D2737" s="1">
        <v>161492</v>
      </c>
      <c r="E2737" s="1">
        <v>2912</v>
      </c>
      <c r="F2737" s="1">
        <v>4680</v>
      </c>
      <c r="G2737" s="1">
        <v>5885408</v>
      </c>
      <c r="H2737" s="1">
        <v>188</v>
      </c>
    </row>
    <row r="2738" spans="1:8" x14ac:dyDescent="0.3">
      <c r="A2738" s="1" t="s">
        <v>162</v>
      </c>
      <c r="B2738" s="1" t="s">
        <v>163</v>
      </c>
      <c r="C2738" s="1">
        <v>2020</v>
      </c>
      <c r="D2738" s="1">
        <v>24862</v>
      </c>
      <c r="E2738" s="1">
        <v>95</v>
      </c>
      <c r="F2738" s="1">
        <v>263</v>
      </c>
      <c r="G2738" s="1">
        <v>1795647</v>
      </c>
      <c r="H2738" s="1">
        <v>0</v>
      </c>
    </row>
    <row r="2739" spans="1:8" x14ac:dyDescent="0.3">
      <c r="A2739" s="1" t="s">
        <v>164</v>
      </c>
      <c r="B2739" s="1" t="s">
        <v>165</v>
      </c>
      <c r="C2739" s="1">
        <v>2020</v>
      </c>
      <c r="D2739" s="1">
        <v>24777</v>
      </c>
      <c r="E2739" s="1">
        <v>416</v>
      </c>
      <c r="F2739" s="1">
        <v>212</v>
      </c>
      <c r="G2739" s="1">
        <v>492348</v>
      </c>
      <c r="H2739" s="1">
        <v>4</v>
      </c>
    </row>
    <row r="2740" spans="1:8" x14ac:dyDescent="0.3">
      <c r="A2740" s="1" t="s">
        <v>166</v>
      </c>
      <c r="B2740" s="1" t="s">
        <v>167</v>
      </c>
      <c r="C2740" s="1">
        <v>2020</v>
      </c>
      <c r="D2740" s="1">
        <v>20047</v>
      </c>
      <c r="E2740" s="1">
        <v>162</v>
      </c>
      <c r="F2740" s="1">
        <v>222</v>
      </c>
      <c r="G2740" s="1">
        <v>831660</v>
      </c>
      <c r="H2740" s="1">
        <v>24</v>
      </c>
    </row>
    <row r="2741" spans="1:8" x14ac:dyDescent="0.3">
      <c r="A2741" s="1" t="s">
        <v>168</v>
      </c>
      <c r="B2741" s="1" t="s">
        <v>169</v>
      </c>
      <c r="C2741" s="1">
        <v>2020</v>
      </c>
      <c r="D2741" s="1">
        <v>21206</v>
      </c>
      <c r="E2741" s="1">
        <v>203</v>
      </c>
      <c r="F2741" s="1">
        <v>299</v>
      </c>
      <c r="G2741" s="1">
        <v>962694</v>
      </c>
      <c r="H2741" s="1">
        <v>10</v>
      </c>
    </row>
    <row r="2742" spans="1:8" x14ac:dyDescent="0.3">
      <c r="A2742" s="1" t="s">
        <v>170</v>
      </c>
      <c r="B2742" s="1" t="s">
        <v>171</v>
      </c>
      <c r="C2742" s="1">
        <v>2020</v>
      </c>
      <c r="D2742" s="1">
        <v>32045</v>
      </c>
      <c r="E2742" s="1">
        <v>383</v>
      </c>
      <c r="F2742" s="1">
        <v>447</v>
      </c>
      <c r="G2742" s="1">
        <v>1266732</v>
      </c>
      <c r="H2742" s="1">
        <v>17</v>
      </c>
    </row>
    <row r="2743" spans="1:8" x14ac:dyDescent="0.3">
      <c r="A2743" s="1" t="s">
        <v>172</v>
      </c>
      <c r="B2743" s="1" t="s">
        <v>173</v>
      </c>
      <c r="C2743" s="1">
        <v>2020</v>
      </c>
      <c r="D2743" s="1">
        <v>17912</v>
      </c>
      <c r="E2743" s="1">
        <v>224</v>
      </c>
      <c r="F2743" s="1">
        <v>278</v>
      </c>
      <c r="G2743" s="1">
        <v>472052</v>
      </c>
      <c r="H2743" s="1">
        <v>8</v>
      </c>
    </row>
    <row r="2744" spans="1:8" x14ac:dyDescent="0.3">
      <c r="A2744" s="1" t="s">
        <v>174</v>
      </c>
      <c r="B2744" s="1" t="s">
        <v>175</v>
      </c>
      <c r="C2744" s="1">
        <v>2020</v>
      </c>
      <c r="D2744" s="1">
        <v>17324</v>
      </c>
      <c r="E2744" s="1">
        <v>152</v>
      </c>
      <c r="F2744" s="1">
        <v>168</v>
      </c>
      <c r="G2744" s="1">
        <v>638320</v>
      </c>
      <c r="H2744" s="1">
        <v>6</v>
      </c>
    </row>
    <row r="2745" spans="1:8" x14ac:dyDescent="0.3">
      <c r="A2745" s="1" t="s">
        <v>176</v>
      </c>
      <c r="B2745" s="1" t="s">
        <v>177</v>
      </c>
      <c r="C2745" s="1">
        <v>2020</v>
      </c>
      <c r="D2745" s="1">
        <v>12861</v>
      </c>
      <c r="E2745" s="1">
        <v>120</v>
      </c>
      <c r="F2745" s="1">
        <v>56</v>
      </c>
      <c r="G2745" s="1">
        <v>813570</v>
      </c>
      <c r="H2745" s="1">
        <v>5</v>
      </c>
    </row>
    <row r="2746" spans="1:8" x14ac:dyDescent="0.3">
      <c r="A2746" s="1" t="s">
        <v>178</v>
      </c>
      <c r="B2746" s="1" t="s">
        <v>179</v>
      </c>
      <c r="C2746" s="1">
        <v>2020</v>
      </c>
      <c r="D2746" s="1">
        <v>20639</v>
      </c>
      <c r="E2746" s="1">
        <v>261</v>
      </c>
      <c r="F2746" s="1">
        <v>233</v>
      </c>
      <c r="G2746" s="1">
        <v>336897</v>
      </c>
      <c r="H2746" s="1">
        <v>5</v>
      </c>
    </row>
    <row r="2747" spans="1:8" x14ac:dyDescent="0.3">
      <c r="A2747" s="1" t="s">
        <v>180</v>
      </c>
      <c r="B2747" s="1" t="s">
        <v>181</v>
      </c>
      <c r="C2747" s="1">
        <v>2020</v>
      </c>
      <c r="D2747" s="1">
        <v>26261</v>
      </c>
      <c r="E2747" s="1">
        <v>529</v>
      </c>
      <c r="F2747" s="1">
        <v>322</v>
      </c>
      <c r="G2747" s="1">
        <v>631951</v>
      </c>
      <c r="H2747" s="1">
        <v>0</v>
      </c>
    </row>
    <row r="2748" spans="1:8" x14ac:dyDescent="0.3">
      <c r="A2748" s="1" t="s">
        <v>182</v>
      </c>
      <c r="B2748" s="1" t="s">
        <v>183</v>
      </c>
      <c r="C2748" s="1">
        <v>2020</v>
      </c>
      <c r="D2748" s="1">
        <v>29901</v>
      </c>
      <c r="E2748" s="1">
        <v>160</v>
      </c>
      <c r="F2748" s="1">
        <v>334</v>
      </c>
      <c r="G2748" s="1">
        <v>1898035</v>
      </c>
      <c r="H2748" s="1">
        <v>13</v>
      </c>
    </row>
    <row r="2749" spans="1:8" x14ac:dyDescent="0.3">
      <c r="A2749" s="1" t="s">
        <v>184</v>
      </c>
      <c r="B2749" s="1" t="s">
        <v>185</v>
      </c>
      <c r="C2749" s="1">
        <v>2020</v>
      </c>
      <c r="D2749" s="1">
        <v>35353</v>
      </c>
      <c r="E2749" s="1">
        <v>230</v>
      </c>
      <c r="F2749" s="1">
        <v>414</v>
      </c>
      <c r="G2749" s="1">
        <v>1415458</v>
      </c>
      <c r="H2749" s="1">
        <v>12</v>
      </c>
    </row>
    <row r="2750" spans="1:8" x14ac:dyDescent="0.3">
      <c r="A2750" s="1" t="s">
        <v>186</v>
      </c>
      <c r="B2750" s="1" t="s">
        <v>187</v>
      </c>
      <c r="C2750" s="1">
        <v>2020</v>
      </c>
      <c r="D2750" s="1">
        <v>13146</v>
      </c>
      <c r="E2750" s="1">
        <v>90</v>
      </c>
      <c r="F2750" s="1">
        <v>106</v>
      </c>
      <c r="G2750" s="1">
        <v>132712</v>
      </c>
      <c r="H2750" s="1">
        <v>0</v>
      </c>
    </row>
    <row r="2751" spans="1:8" x14ac:dyDescent="0.3">
      <c r="A2751" s="1" t="s">
        <v>188</v>
      </c>
      <c r="B2751" s="1" t="s">
        <v>189</v>
      </c>
      <c r="C2751" s="1">
        <v>2020</v>
      </c>
      <c r="D2751" s="1">
        <v>55264</v>
      </c>
      <c r="E2751" s="1">
        <v>799</v>
      </c>
      <c r="F2751" s="1">
        <v>1216</v>
      </c>
      <c r="G2751" s="1">
        <v>3011219</v>
      </c>
      <c r="H2751" s="1">
        <v>0</v>
      </c>
    </row>
    <row r="2752" spans="1:8" x14ac:dyDescent="0.3">
      <c r="A2752" s="1" t="s">
        <v>190</v>
      </c>
      <c r="B2752" s="1" t="s">
        <v>191</v>
      </c>
      <c r="C2752" s="1">
        <v>2020</v>
      </c>
      <c r="D2752" s="1">
        <v>64022</v>
      </c>
      <c r="E2752" s="1">
        <v>1433</v>
      </c>
      <c r="F2752" s="1">
        <v>2012</v>
      </c>
      <c r="G2752" s="1">
        <v>4394613</v>
      </c>
      <c r="H2752" s="1">
        <v>22</v>
      </c>
    </row>
    <row r="2753" spans="1:8" x14ac:dyDescent="0.3">
      <c r="A2753" s="1" t="s">
        <v>192</v>
      </c>
      <c r="B2753" s="1" t="s">
        <v>193</v>
      </c>
      <c r="C2753" s="1">
        <v>2020</v>
      </c>
      <c r="D2753" s="1">
        <v>41708</v>
      </c>
      <c r="E2753" s="1">
        <v>383</v>
      </c>
      <c r="F2753" s="1">
        <v>279</v>
      </c>
      <c r="G2753" s="1">
        <v>1263163</v>
      </c>
      <c r="H2753" s="1">
        <v>0</v>
      </c>
    </row>
    <row r="2754" spans="1:8" x14ac:dyDescent="0.3">
      <c r="A2754" s="1" t="s">
        <v>194</v>
      </c>
      <c r="B2754" s="1" t="s">
        <v>195</v>
      </c>
      <c r="C2754" s="1">
        <v>2020</v>
      </c>
      <c r="D2754" s="1">
        <v>38437</v>
      </c>
      <c r="E2754" s="1">
        <v>196</v>
      </c>
      <c r="F2754" s="1">
        <v>197</v>
      </c>
      <c r="G2754" s="1">
        <v>2711890</v>
      </c>
      <c r="H2754" s="1">
        <v>24</v>
      </c>
    </row>
    <row r="2755" spans="1:8" x14ac:dyDescent="0.3">
      <c r="A2755" s="1" t="s">
        <v>196</v>
      </c>
      <c r="B2755" s="1" t="s">
        <v>197</v>
      </c>
      <c r="C2755" s="1">
        <v>2020</v>
      </c>
      <c r="D2755" s="1">
        <v>19856</v>
      </c>
      <c r="E2755" s="1">
        <v>151</v>
      </c>
      <c r="F2755" s="1">
        <v>53</v>
      </c>
      <c r="G2755" s="1">
        <v>703978</v>
      </c>
      <c r="H2755" s="1">
        <v>83</v>
      </c>
    </row>
    <row r="2756" spans="1:8" x14ac:dyDescent="0.3">
      <c r="A2756" s="1" t="s">
        <v>198</v>
      </c>
      <c r="B2756" s="1" t="s">
        <v>199</v>
      </c>
      <c r="C2756" s="1">
        <v>2020</v>
      </c>
      <c r="D2756" s="1">
        <v>16926</v>
      </c>
      <c r="E2756" s="1">
        <v>54</v>
      </c>
      <c r="F2756" s="1">
        <v>47</v>
      </c>
      <c r="G2756" s="1">
        <v>349486</v>
      </c>
      <c r="H2756" s="1">
        <v>2</v>
      </c>
    </row>
    <row r="2757" spans="1:8" x14ac:dyDescent="0.3">
      <c r="A2757" s="1" t="s">
        <v>200</v>
      </c>
      <c r="B2757" s="1" t="s">
        <v>201</v>
      </c>
      <c r="C2757" s="1">
        <v>2020</v>
      </c>
      <c r="D2757" s="1">
        <v>27524</v>
      </c>
      <c r="E2757" s="1">
        <v>111</v>
      </c>
      <c r="F2757" s="1">
        <v>58</v>
      </c>
      <c r="G2757" s="1">
        <v>771181</v>
      </c>
      <c r="H2757" s="1">
        <v>78</v>
      </c>
    </row>
    <row r="2758" spans="1:8" x14ac:dyDescent="0.3">
      <c r="A2758" s="1" t="s">
        <v>202</v>
      </c>
      <c r="B2758" s="1" t="s">
        <v>203</v>
      </c>
      <c r="C2758" s="1">
        <v>2020</v>
      </c>
      <c r="D2758" s="1">
        <v>26113</v>
      </c>
      <c r="E2758" s="1">
        <v>438</v>
      </c>
      <c r="F2758" s="1">
        <v>47</v>
      </c>
      <c r="G2758" s="1">
        <v>324862</v>
      </c>
      <c r="H2758" s="1">
        <v>273</v>
      </c>
    </row>
    <row r="2759" spans="1:8" x14ac:dyDescent="0.3">
      <c r="A2759" s="1" t="s">
        <v>204</v>
      </c>
      <c r="B2759" s="1" t="s">
        <v>205</v>
      </c>
      <c r="C2759" s="1">
        <v>2020</v>
      </c>
      <c r="D2759" s="1">
        <v>26308</v>
      </c>
      <c r="E2759" s="1">
        <v>138</v>
      </c>
      <c r="F2759" s="1">
        <v>64</v>
      </c>
      <c r="G2759" s="1">
        <v>209335</v>
      </c>
      <c r="H2759" s="1">
        <v>39</v>
      </c>
    </row>
    <row r="2760" spans="1:8" x14ac:dyDescent="0.3">
      <c r="A2760" s="1" t="s">
        <v>206</v>
      </c>
      <c r="B2760" s="1" t="s">
        <v>207</v>
      </c>
      <c r="C2760" s="1">
        <v>2020</v>
      </c>
      <c r="D2760" s="1">
        <v>53206</v>
      </c>
      <c r="E2760" s="1">
        <v>422</v>
      </c>
      <c r="F2760" s="1">
        <v>393</v>
      </c>
      <c r="G2760" s="1">
        <v>891056</v>
      </c>
      <c r="H2760" s="1">
        <v>18</v>
      </c>
    </row>
    <row r="2761" spans="1:8" x14ac:dyDescent="0.3">
      <c r="A2761" s="1" t="s">
        <v>208</v>
      </c>
      <c r="B2761" s="1" t="s">
        <v>209</v>
      </c>
      <c r="C2761" s="1">
        <v>2020</v>
      </c>
      <c r="D2761" s="1">
        <v>17206</v>
      </c>
      <c r="E2761" s="1">
        <v>141</v>
      </c>
      <c r="F2761" s="1">
        <v>9</v>
      </c>
      <c r="G2761" s="1">
        <v>171039</v>
      </c>
      <c r="H2761" s="1">
        <v>0</v>
      </c>
    </row>
    <row r="2762" spans="1:8" x14ac:dyDescent="0.3">
      <c r="A2762" s="1" t="s">
        <v>210</v>
      </c>
      <c r="B2762" s="1" t="s">
        <v>211</v>
      </c>
      <c r="C2762" s="1">
        <v>2020</v>
      </c>
      <c r="D2762" s="1">
        <v>31202</v>
      </c>
      <c r="E2762" s="1">
        <v>319</v>
      </c>
      <c r="F2762" s="1">
        <v>28</v>
      </c>
      <c r="G2762" s="1">
        <v>260669</v>
      </c>
      <c r="H2762" s="1">
        <v>5</v>
      </c>
    </row>
    <row r="2763" spans="1:8" x14ac:dyDescent="0.3">
      <c r="A2763" s="1" t="s">
        <v>212</v>
      </c>
      <c r="B2763" s="1" t="s">
        <v>213</v>
      </c>
      <c r="C2763" s="1">
        <v>2020</v>
      </c>
      <c r="D2763" s="1">
        <v>15854</v>
      </c>
      <c r="E2763" s="1">
        <v>152</v>
      </c>
      <c r="F2763" s="1">
        <v>29</v>
      </c>
      <c r="G2763" s="1">
        <v>196264</v>
      </c>
      <c r="H2763" s="1">
        <v>0</v>
      </c>
    </row>
    <row r="2764" spans="1:8" x14ac:dyDescent="0.3">
      <c r="A2764" s="1" t="s">
        <v>214</v>
      </c>
      <c r="B2764" s="1" t="s">
        <v>215</v>
      </c>
      <c r="C2764" s="1">
        <v>2020</v>
      </c>
      <c r="D2764" s="1">
        <v>43818</v>
      </c>
      <c r="E2764" s="1">
        <v>377</v>
      </c>
      <c r="F2764" s="1">
        <v>101</v>
      </c>
      <c r="G2764" s="1">
        <v>1008679</v>
      </c>
      <c r="H2764" s="1">
        <v>110</v>
      </c>
    </row>
    <row r="2765" spans="1:8" x14ac:dyDescent="0.3">
      <c r="A2765" s="1" t="s">
        <v>216</v>
      </c>
      <c r="B2765" s="1" t="s">
        <v>217</v>
      </c>
      <c r="C2765" s="1">
        <v>2020</v>
      </c>
      <c r="D2765" s="1">
        <v>16917</v>
      </c>
      <c r="E2765" s="1">
        <v>88</v>
      </c>
      <c r="F2765" s="1">
        <v>37</v>
      </c>
      <c r="G2765" s="1">
        <v>363478</v>
      </c>
      <c r="H2765" s="1">
        <v>84</v>
      </c>
    </row>
    <row r="2766" spans="1:8" x14ac:dyDescent="0.3">
      <c r="A2766" s="1" t="s">
        <v>218</v>
      </c>
      <c r="B2766" s="1" t="s">
        <v>219</v>
      </c>
      <c r="C2766" s="1">
        <v>2020</v>
      </c>
      <c r="D2766" s="1">
        <v>40340</v>
      </c>
      <c r="E2766" s="1">
        <v>231</v>
      </c>
      <c r="F2766" s="1">
        <v>147</v>
      </c>
      <c r="G2766" s="1">
        <v>991029</v>
      </c>
      <c r="H2766" s="1">
        <v>0</v>
      </c>
    </row>
    <row r="2767" spans="1:8" x14ac:dyDescent="0.3">
      <c r="A2767" s="1" t="s">
        <v>220</v>
      </c>
      <c r="B2767" s="1" t="s">
        <v>221</v>
      </c>
      <c r="C2767" s="1">
        <v>2020</v>
      </c>
      <c r="D2767" s="1">
        <v>12619</v>
      </c>
      <c r="E2767" s="1">
        <v>123</v>
      </c>
      <c r="F2767" s="1">
        <v>6</v>
      </c>
      <c r="G2767" s="1">
        <v>9445</v>
      </c>
      <c r="H2767" s="1">
        <v>2</v>
      </c>
    </row>
    <row r="2768" spans="1:8" x14ac:dyDescent="0.3">
      <c r="A2768" s="1" t="s">
        <v>222</v>
      </c>
      <c r="B2768" s="1" t="s">
        <v>151</v>
      </c>
      <c r="C2768" s="1">
        <v>2020</v>
      </c>
      <c r="D2768" s="1">
        <v>46083</v>
      </c>
      <c r="E2768" s="1">
        <v>295</v>
      </c>
      <c r="F2768" s="1">
        <v>295</v>
      </c>
      <c r="G2768" s="1">
        <v>2434774</v>
      </c>
      <c r="H2768" s="1">
        <v>26</v>
      </c>
    </row>
    <row r="2769" spans="1:8" x14ac:dyDescent="0.3">
      <c r="A2769" s="1" t="s">
        <v>223</v>
      </c>
      <c r="B2769" s="1" t="s">
        <v>224</v>
      </c>
      <c r="C2769" s="1">
        <v>2020</v>
      </c>
      <c r="D2769" s="1">
        <v>26372</v>
      </c>
      <c r="E2769" s="1">
        <v>242</v>
      </c>
      <c r="F2769" s="1">
        <v>119</v>
      </c>
      <c r="G2769" s="1">
        <v>624053</v>
      </c>
      <c r="H2769" s="1">
        <v>0</v>
      </c>
    </row>
    <row r="2770" spans="1:8" x14ac:dyDescent="0.3">
      <c r="A2770" s="1" t="s">
        <v>225</v>
      </c>
      <c r="B2770" s="1" t="s">
        <v>226</v>
      </c>
      <c r="C2770" s="1">
        <v>2020</v>
      </c>
      <c r="D2770" s="1">
        <v>13965</v>
      </c>
      <c r="E2770" s="1">
        <v>270</v>
      </c>
      <c r="F2770" s="1">
        <v>64</v>
      </c>
      <c r="G2770" s="1">
        <v>197814</v>
      </c>
      <c r="H2770" s="1">
        <v>0</v>
      </c>
    </row>
    <row r="2771" spans="1:8" x14ac:dyDescent="0.3">
      <c r="A2771" s="1" t="s">
        <v>227</v>
      </c>
      <c r="B2771" s="1" t="s">
        <v>228</v>
      </c>
      <c r="C2771" s="1">
        <v>2020</v>
      </c>
      <c r="D2771" s="1">
        <v>25287</v>
      </c>
      <c r="E2771" s="1">
        <v>180</v>
      </c>
      <c r="F2771" s="1">
        <v>126</v>
      </c>
      <c r="G2771" s="1">
        <v>976790</v>
      </c>
      <c r="H2771" s="1">
        <v>4</v>
      </c>
    </row>
    <row r="2772" spans="1:8" x14ac:dyDescent="0.3">
      <c r="A2772" s="1" t="s">
        <v>229</v>
      </c>
      <c r="B2772" s="1" t="s">
        <v>230</v>
      </c>
      <c r="C2772" s="1">
        <v>2020</v>
      </c>
      <c r="D2772" s="1">
        <v>69509</v>
      </c>
      <c r="E2772" s="1">
        <v>744</v>
      </c>
      <c r="F2772" s="1">
        <v>492</v>
      </c>
      <c r="G2772" s="1">
        <v>1647903</v>
      </c>
      <c r="H2772" s="1">
        <v>1182</v>
      </c>
    </row>
    <row r="2773" spans="1:8" x14ac:dyDescent="0.3">
      <c r="A2773" s="1" t="s">
        <v>231</v>
      </c>
      <c r="B2773" s="1" t="s">
        <v>232</v>
      </c>
      <c r="C2773" s="1">
        <v>2020</v>
      </c>
      <c r="D2773" s="1">
        <v>11852</v>
      </c>
      <c r="E2773" s="1">
        <v>87</v>
      </c>
      <c r="F2773" s="1">
        <v>66</v>
      </c>
      <c r="G2773" s="1">
        <v>214672</v>
      </c>
      <c r="H2773" s="1">
        <v>4</v>
      </c>
    </row>
    <row r="2774" spans="1:8" x14ac:dyDescent="0.3">
      <c r="A2774" s="1" t="s">
        <v>233</v>
      </c>
      <c r="B2774" s="1" t="s">
        <v>234</v>
      </c>
      <c r="C2774" s="1">
        <v>2020</v>
      </c>
      <c r="D2774" s="1">
        <v>367170</v>
      </c>
      <c r="E2774" s="1">
        <v>5768</v>
      </c>
      <c r="F2774" s="1">
        <v>8049</v>
      </c>
      <c r="G2774" s="1">
        <v>20871404</v>
      </c>
      <c r="H2774" s="1">
        <v>632</v>
      </c>
    </row>
    <row r="2775" spans="1:8" x14ac:dyDescent="0.3">
      <c r="A2775" s="1" t="s">
        <v>235</v>
      </c>
      <c r="B2775" s="1" t="s">
        <v>236</v>
      </c>
      <c r="C2775" s="1">
        <v>2020</v>
      </c>
      <c r="D2775" s="1">
        <v>31525</v>
      </c>
      <c r="E2775" s="1">
        <v>210</v>
      </c>
      <c r="F2775" s="1">
        <v>345</v>
      </c>
      <c r="G2775" s="1">
        <v>3338375</v>
      </c>
      <c r="H2775" s="1">
        <v>57</v>
      </c>
    </row>
    <row r="2776" spans="1:8" x14ac:dyDescent="0.3">
      <c r="A2776" s="1" t="s">
        <v>237</v>
      </c>
      <c r="B2776" s="1" t="s">
        <v>238</v>
      </c>
      <c r="C2776" s="1">
        <v>2020</v>
      </c>
      <c r="D2776" s="1">
        <v>20346</v>
      </c>
      <c r="E2776" s="1">
        <v>163</v>
      </c>
      <c r="F2776" s="1">
        <v>181</v>
      </c>
      <c r="G2776" s="1">
        <v>496972</v>
      </c>
      <c r="H2776" s="1">
        <v>4</v>
      </c>
    </row>
    <row r="2777" spans="1:8" x14ac:dyDescent="0.3">
      <c r="A2777" s="1" t="s">
        <v>239</v>
      </c>
      <c r="B2777" s="1" t="s">
        <v>240</v>
      </c>
      <c r="C2777" s="1">
        <v>2020</v>
      </c>
      <c r="D2777" s="1">
        <v>33425</v>
      </c>
      <c r="E2777" s="1">
        <v>469</v>
      </c>
      <c r="F2777" s="1">
        <v>216</v>
      </c>
      <c r="G2777" s="1">
        <v>341312</v>
      </c>
      <c r="H2777" s="1">
        <v>6</v>
      </c>
    </row>
    <row r="2778" spans="1:8" x14ac:dyDescent="0.3">
      <c r="A2778" s="1" t="s">
        <v>241</v>
      </c>
      <c r="B2778" s="1" t="s">
        <v>242</v>
      </c>
      <c r="C2778" s="1">
        <v>2020</v>
      </c>
      <c r="D2778" s="1">
        <v>28561</v>
      </c>
      <c r="E2778" s="1">
        <v>282</v>
      </c>
      <c r="F2778" s="1">
        <v>41</v>
      </c>
      <c r="G2778" s="1">
        <v>234700</v>
      </c>
      <c r="H2778" s="1">
        <v>6</v>
      </c>
    </row>
    <row r="2779" spans="1:8" x14ac:dyDescent="0.3">
      <c r="A2779" s="1" t="s">
        <v>243</v>
      </c>
      <c r="B2779" s="1" t="s">
        <v>244</v>
      </c>
      <c r="C2779" s="1">
        <v>2020</v>
      </c>
      <c r="D2779" s="1">
        <v>46281</v>
      </c>
      <c r="E2779" s="1">
        <v>254</v>
      </c>
      <c r="F2779" s="1">
        <v>254</v>
      </c>
      <c r="G2779" s="1">
        <v>3495804</v>
      </c>
      <c r="H2779" s="1">
        <v>18</v>
      </c>
    </row>
    <row r="2780" spans="1:8" x14ac:dyDescent="0.3">
      <c r="A2780" s="1" t="s">
        <v>245</v>
      </c>
      <c r="B2780" s="1" t="s">
        <v>246</v>
      </c>
      <c r="C2780" s="1">
        <v>2020</v>
      </c>
      <c r="D2780" s="1">
        <v>16995</v>
      </c>
      <c r="E2780" s="1">
        <v>148</v>
      </c>
      <c r="F2780" s="1">
        <v>27</v>
      </c>
      <c r="G2780" s="1">
        <v>163922</v>
      </c>
      <c r="H2780" s="1">
        <v>5</v>
      </c>
    </row>
    <row r="2781" spans="1:8" x14ac:dyDescent="0.3">
      <c r="A2781" s="1" t="s">
        <v>247</v>
      </c>
      <c r="B2781" s="1" t="s">
        <v>248</v>
      </c>
      <c r="C2781" s="1">
        <v>2020</v>
      </c>
      <c r="D2781" s="1">
        <v>32963</v>
      </c>
      <c r="E2781" s="1">
        <v>367</v>
      </c>
      <c r="F2781" s="1">
        <v>64</v>
      </c>
      <c r="G2781" s="1">
        <v>827561</v>
      </c>
      <c r="H2781" s="1">
        <v>0</v>
      </c>
    </row>
    <row r="2782" spans="1:8" x14ac:dyDescent="0.3">
      <c r="A2782" s="1" t="s">
        <v>249</v>
      </c>
      <c r="B2782" s="1" t="s">
        <v>250</v>
      </c>
      <c r="C2782" s="1">
        <v>2020</v>
      </c>
      <c r="D2782" s="1">
        <v>100280</v>
      </c>
      <c r="E2782" s="1">
        <v>1379</v>
      </c>
      <c r="F2782" s="1">
        <v>916</v>
      </c>
      <c r="G2782" s="1">
        <v>922335</v>
      </c>
      <c r="H2782" s="1">
        <v>8</v>
      </c>
    </row>
    <row r="2783" spans="1:8" x14ac:dyDescent="0.3">
      <c r="A2783" s="1" t="s">
        <v>251</v>
      </c>
      <c r="B2783" s="1" t="s">
        <v>252</v>
      </c>
      <c r="C2783" s="1">
        <v>2020</v>
      </c>
      <c r="D2783" s="1">
        <v>35204</v>
      </c>
      <c r="E2783" s="1">
        <v>305</v>
      </c>
      <c r="F2783" s="1">
        <v>51</v>
      </c>
      <c r="G2783" s="1">
        <v>257526</v>
      </c>
      <c r="H2783" s="1">
        <v>12</v>
      </c>
    </row>
    <row r="2784" spans="1:8" x14ac:dyDescent="0.3">
      <c r="A2784" s="1" t="s">
        <v>253</v>
      </c>
      <c r="B2784" s="1" t="s">
        <v>254</v>
      </c>
      <c r="C2784" s="1">
        <v>2020</v>
      </c>
      <c r="D2784" s="1">
        <v>17889</v>
      </c>
      <c r="E2784" s="1">
        <v>88</v>
      </c>
      <c r="F2784" s="1">
        <v>22</v>
      </c>
      <c r="G2784" s="1">
        <v>204823</v>
      </c>
      <c r="H2784" s="1">
        <v>42</v>
      </c>
    </row>
    <row r="2785" spans="1:8" x14ac:dyDescent="0.3">
      <c r="A2785" s="1" t="s">
        <v>255</v>
      </c>
      <c r="B2785" s="1" t="s">
        <v>256</v>
      </c>
      <c r="C2785" s="1">
        <v>2020</v>
      </c>
      <c r="D2785" s="1">
        <v>37848</v>
      </c>
      <c r="E2785" s="1">
        <v>670</v>
      </c>
      <c r="F2785" s="1">
        <v>140</v>
      </c>
      <c r="G2785" s="1">
        <v>106295</v>
      </c>
      <c r="H2785" s="1">
        <v>0</v>
      </c>
    </row>
    <row r="2786" spans="1:8" x14ac:dyDescent="0.3">
      <c r="A2786" s="1" t="s">
        <v>257</v>
      </c>
      <c r="B2786" s="1" t="s">
        <v>258</v>
      </c>
      <c r="C2786" s="1">
        <v>2020</v>
      </c>
      <c r="D2786" s="1">
        <v>59578</v>
      </c>
      <c r="E2786" s="1">
        <v>398</v>
      </c>
      <c r="F2786" s="1">
        <v>121</v>
      </c>
      <c r="G2786" s="1">
        <v>539622</v>
      </c>
      <c r="H2786" s="1">
        <v>32</v>
      </c>
    </row>
    <row r="2787" spans="1:8" x14ac:dyDescent="0.3">
      <c r="A2787" s="1" t="s">
        <v>259</v>
      </c>
      <c r="B2787" s="1" t="s">
        <v>260</v>
      </c>
      <c r="C2787" s="1">
        <v>2020</v>
      </c>
      <c r="D2787" s="1">
        <v>56132</v>
      </c>
      <c r="E2787" s="1">
        <v>573</v>
      </c>
      <c r="F2787" s="1">
        <v>226</v>
      </c>
      <c r="G2787" s="1">
        <v>637373</v>
      </c>
      <c r="H2787" s="1">
        <v>0</v>
      </c>
    </row>
    <row r="2788" spans="1:8" x14ac:dyDescent="0.3">
      <c r="A2788" s="1" t="s">
        <v>261</v>
      </c>
      <c r="B2788" s="1" t="s">
        <v>262</v>
      </c>
      <c r="C2788" s="1">
        <v>2020</v>
      </c>
      <c r="D2788" s="1">
        <v>39383</v>
      </c>
      <c r="E2788" s="1">
        <v>179</v>
      </c>
      <c r="F2788" s="1">
        <v>142</v>
      </c>
      <c r="G2788" s="1">
        <v>839843</v>
      </c>
      <c r="H2788" s="1">
        <v>2</v>
      </c>
    </row>
    <row r="2789" spans="1:8" x14ac:dyDescent="0.3">
      <c r="A2789" s="1" t="s">
        <v>263</v>
      </c>
      <c r="B2789" s="1" t="s">
        <v>264</v>
      </c>
      <c r="C2789" s="1">
        <v>2020</v>
      </c>
      <c r="D2789" s="1">
        <v>53677</v>
      </c>
      <c r="E2789" s="1">
        <v>542</v>
      </c>
      <c r="F2789" s="1">
        <v>446</v>
      </c>
      <c r="G2789" s="1">
        <v>2117068</v>
      </c>
      <c r="H2789" s="1">
        <v>4</v>
      </c>
    </row>
    <row r="2790" spans="1:8" x14ac:dyDescent="0.3">
      <c r="A2790" s="1" t="s">
        <v>265</v>
      </c>
      <c r="B2790" s="1" t="s">
        <v>266</v>
      </c>
      <c r="C2790" s="1">
        <v>2020</v>
      </c>
      <c r="D2790" s="1">
        <v>13392</v>
      </c>
      <c r="E2790" s="1">
        <v>104</v>
      </c>
      <c r="F2790" s="1">
        <v>13</v>
      </c>
      <c r="G2790" s="1">
        <v>403740</v>
      </c>
      <c r="H2790" s="1">
        <v>0</v>
      </c>
    </row>
    <row r="2791" spans="1:8" x14ac:dyDescent="0.3">
      <c r="A2791" s="1" t="s">
        <v>267</v>
      </c>
      <c r="B2791" s="1" t="s">
        <v>268</v>
      </c>
      <c r="C2791" s="1">
        <v>2020</v>
      </c>
      <c r="D2791" s="1">
        <v>26306</v>
      </c>
      <c r="E2791" s="1">
        <v>323</v>
      </c>
      <c r="F2791" s="1">
        <v>28</v>
      </c>
      <c r="G2791" s="1">
        <v>137053</v>
      </c>
      <c r="H2791" s="1">
        <v>28</v>
      </c>
    </row>
    <row r="2792" spans="1:8" x14ac:dyDescent="0.3">
      <c r="A2792" s="1" t="s">
        <v>269</v>
      </c>
      <c r="B2792" s="1" t="s">
        <v>270</v>
      </c>
      <c r="C2792" s="1">
        <v>2020</v>
      </c>
      <c r="D2792" s="1">
        <v>56457</v>
      </c>
      <c r="E2792" s="1">
        <v>578</v>
      </c>
      <c r="F2792" s="1">
        <v>30</v>
      </c>
      <c r="G2792" s="1">
        <v>245232</v>
      </c>
      <c r="H2792" s="1">
        <v>6</v>
      </c>
    </row>
    <row r="2793" spans="1:8" x14ac:dyDescent="0.3">
      <c r="A2793" s="1" t="s">
        <v>271</v>
      </c>
      <c r="B2793" s="1" t="s">
        <v>272</v>
      </c>
      <c r="C2793" s="1">
        <v>2020</v>
      </c>
      <c r="D2793" s="1">
        <v>25806</v>
      </c>
      <c r="E2793" s="1">
        <v>291</v>
      </c>
      <c r="F2793" s="1">
        <v>279</v>
      </c>
      <c r="G2793" s="1">
        <v>273332</v>
      </c>
      <c r="H2793" s="1">
        <v>12</v>
      </c>
    </row>
    <row r="2794" spans="1:8" x14ac:dyDescent="0.3">
      <c r="A2794" s="1" t="s">
        <v>273</v>
      </c>
      <c r="B2794" s="1" t="s">
        <v>274</v>
      </c>
      <c r="C2794" s="1">
        <v>2020</v>
      </c>
      <c r="D2794" s="1">
        <v>49618</v>
      </c>
      <c r="E2794" s="1">
        <v>617</v>
      </c>
      <c r="F2794" s="1">
        <v>244</v>
      </c>
      <c r="G2794" s="1">
        <v>977651</v>
      </c>
      <c r="H2794" s="1">
        <v>14</v>
      </c>
    </row>
    <row r="2795" spans="1:8" x14ac:dyDescent="0.3">
      <c r="A2795" s="1" t="s">
        <v>275</v>
      </c>
      <c r="B2795" s="1" t="s">
        <v>276</v>
      </c>
      <c r="C2795" s="1">
        <v>2020</v>
      </c>
      <c r="D2795" s="1">
        <v>46305</v>
      </c>
      <c r="E2795" s="1">
        <v>1398</v>
      </c>
      <c r="F2795" s="1">
        <v>788</v>
      </c>
      <c r="G2795" s="1">
        <v>186489</v>
      </c>
      <c r="H2795" s="1">
        <v>0</v>
      </c>
    </row>
    <row r="2796" spans="1:8" x14ac:dyDescent="0.3">
      <c r="A2796" s="1" t="s">
        <v>277</v>
      </c>
      <c r="B2796" s="1" t="s">
        <v>278</v>
      </c>
      <c r="C2796" s="1">
        <v>2020</v>
      </c>
      <c r="D2796" s="1">
        <v>431775</v>
      </c>
      <c r="E2796" s="1">
        <v>10158</v>
      </c>
      <c r="F2796" s="1">
        <v>11576</v>
      </c>
      <c r="G2796" s="1">
        <v>11751535</v>
      </c>
      <c r="H2796" s="1">
        <v>36</v>
      </c>
    </row>
    <row r="2797" spans="1:8" x14ac:dyDescent="0.3">
      <c r="A2797" s="1" t="s">
        <v>279</v>
      </c>
      <c r="B2797" s="1" t="s">
        <v>280</v>
      </c>
      <c r="C2797" s="1">
        <v>2020</v>
      </c>
      <c r="D2797" s="1">
        <v>31394</v>
      </c>
      <c r="E2797" s="1">
        <v>365</v>
      </c>
      <c r="F2797" s="1">
        <v>397</v>
      </c>
      <c r="G2797" s="1">
        <v>1739428</v>
      </c>
      <c r="H2797" s="1">
        <v>6</v>
      </c>
    </row>
    <row r="2798" spans="1:8" x14ac:dyDescent="0.3">
      <c r="A2798" s="1" t="s">
        <v>281</v>
      </c>
      <c r="B2798" s="1" t="s">
        <v>282</v>
      </c>
      <c r="C2798" s="1">
        <v>2020</v>
      </c>
      <c r="D2798" s="1">
        <v>44943</v>
      </c>
      <c r="E2798" s="1">
        <v>355</v>
      </c>
      <c r="F2798" s="1">
        <v>528</v>
      </c>
      <c r="G2798" s="1">
        <v>4968070</v>
      </c>
      <c r="H2798" s="1">
        <v>108</v>
      </c>
    </row>
    <row r="2799" spans="1:8" x14ac:dyDescent="0.3">
      <c r="A2799" s="1" t="s">
        <v>283</v>
      </c>
      <c r="B2799" s="1" t="s">
        <v>284</v>
      </c>
      <c r="C2799" s="1">
        <v>2020</v>
      </c>
      <c r="D2799" s="1">
        <v>11618</v>
      </c>
      <c r="E2799" s="1">
        <v>149</v>
      </c>
      <c r="F2799" s="1">
        <v>48</v>
      </c>
      <c r="G2799" s="1">
        <v>63916</v>
      </c>
      <c r="H2799" s="1">
        <v>0</v>
      </c>
    </row>
    <row r="2800" spans="1:8" x14ac:dyDescent="0.3">
      <c r="A2800" s="1" t="s">
        <v>285</v>
      </c>
      <c r="B2800" s="1" t="s">
        <v>286</v>
      </c>
      <c r="C2800" s="1">
        <v>2020</v>
      </c>
      <c r="D2800" s="1">
        <v>32888</v>
      </c>
      <c r="E2800" s="1">
        <v>425</v>
      </c>
      <c r="F2800" s="1">
        <v>523</v>
      </c>
      <c r="G2800" s="1">
        <v>2173647</v>
      </c>
      <c r="H2800" s="1">
        <v>22</v>
      </c>
    </row>
    <row r="2801" spans="1:8" x14ac:dyDescent="0.3">
      <c r="A2801" s="1" t="s">
        <v>287</v>
      </c>
      <c r="B2801" s="1" t="s">
        <v>288</v>
      </c>
      <c r="C2801" s="1">
        <v>2020</v>
      </c>
      <c r="D2801" s="1">
        <v>35693</v>
      </c>
      <c r="E2801" s="1">
        <v>503</v>
      </c>
      <c r="F2801" s="1">
        <v>246</v>
      </c>
      <c r="G2801" s="1">
        <v>392331</v>
      </c>
      <c r="H2801" s="1">
        <v>8</v>
      </c>
    </row>
    <row r="2802" spans="1:8" x14ac:dyDescent="0.3">
      <c r="A2802" s="1" t="s">
        <v>289</v>
      </c>
      <c r="B2802" s="1" t="s">
        <v>290</v>
      </c>
      <c r="C2802" s="1">
        <v>2020</v>
      </c>
      <c r="D2802" s="1">
        <v>16010</v>
      </c>
      <c r="E2802" s="1">
        <v>99</v>
      </c>
      <c r="F2802" s="1">
        <v>59</v>
      </c>
      <c r="G2802" s="1">
        <v>549129</v>
      </c>
      <c r="H2802" s="1">
        <v>0</v>
      </c>
    </row>
    <row r="2803" spans="1:8" x14ac:dyDescent="0.3">
      <c r="A2803" s="1" t="s">
        <v>291</v>
      </c>
      <c r="B2803" s="1" t="s">
        <v>292</v>
      </c>
      <c r="C2803" s="1">
        <v>2020</v>
      </c>
      <c r="D2803" s="1">
        <v>39653</v>
      </c>
      <c r="E2803" s="1">
        <v>920</v>
      </c>
      <c r="F2803" s="1">
        <v>807</v>
      </c>
      <c r="G2803" s="1">
        <v>798779</v>
      </c>
      <c r="H2803" s="1">
        <v>32</v>
      </c>
    </row>
    <row r="2804" spans="1:8" x14ac:dyDescent="0.3">
      <c r="A2804" s="1" t="s">
        <v>293</v>
      </c>
      <c r="B2804" s="1" t="s">
        <v>294</v>
      </c>
      <c r="C2804" s="1">
        <v>2020</v>
      </c>
      <c r="D2804" s="1">
        <v>37434</v>
      </c>
      <c r="E2804" s="1">
        <v>342</v>
      </c>
      <c r="F2804" s="1">
        <v>352</v>
      </c>
      <c r="G2804" s="1">
        <v>564910</v>
      </c>
      <c r="H2804" s="1">
        <v>62</v>
      </c>
    </row>
    <row r="2805" spans="1:8" x14ac:dyDescent="0.3">
      <c r="A2805" s="1" t="s">
        <v>295</v>
      </c>
      <c r="B2805" s="1" t="s">
        <v>296</v>
      </c>
      <c r="C2805" s="1">
        <v>2020</v>
      </c>
      <c r="D2805" s="1">
        <v>21960</v>
      </c>
      <c r="E2805" s="1">
        <v>202</v>
      </c>
      <c r="F2805" s="1">
        <v>103</v>
      </c>
      <c r="G2805" s="1">
        <v>309633</v>
      </c>
      <c r="H2805" s="1">
        <v>0</v>
      </c>
    </row>
    <row r="2806" spans="1:8" x14ac:dyDescent="0.3">
      <c r="A2806" s="1" t="s">
        <v>297</v>
      </c>
      <c r="B2806" s="1" t="s">
        <v>298</v>
      </c>
      <c r="C2806" s="1">
        <v>2020</v>
      </c>
      <c r="D2806" s="1">
        <v>51195</v>
      </c>
      <c r="E2806" s="1">
        <v>1610</v>
      </c>
      <c r="F2806" s="1">
        <v>805</v>
      </c>
      <c r="G2806" s="1">
        <v>1105601</v>
      </c>
      <c r="H2806" s="1">
        <v>101</v>
      </c>
    </row>
    <row r="2807" spans="1:8" x14ac:dyDescent="0.3">
      <c r="A2807" s="1" t="s">
        <v>299</v>
      </c>
      <c r="B2807" s="1" t="s">
        <v>300</v>
      </c>
      <c r="C2807" s="1">
        <v>2020</v>
      </c>
      <c r="D2807" s="1">
        <v>12290</v>
      </c>
      <c r="E2807" s="1">
        <v>58</v>
      </c>
      <c r="F2807" s="1">
        <v>18</v>
      </c>
      <c r="G2807" s="1">
        <v>72073</v>
      </c>
      <c r="H2807" s="1">
        <v>0</v>
      </c>
    </row>
    <row r="2808" spans="1:8" x14ac:dyDescent="0.3">
      <c r="A2808" s="1" t="s">
        <v>301</v>
      </c>
      <c r="B2808" s="1" t="s">
        <v>302</v>
      </c>
      <c r="C2808" s="1">
        <v>2020</v>
      </c>
      <c r="D2808" s="1">
        <v>11285</v>
      </c>
      <c r="E2808" s="1">
        <v>66</v>
      </c>
      <c r="F2808" s="1">
        <v>17</v>
      </c>
      <c r="G2808" s="1">
        <v>153046</v>
      </c>
      <c r="H2808" s="1">
        <v>0</v>
      </c>
    </row>
    <row r="2809" spans="1:8" x14ac:dyDescent="0.3">
      <c r="A2809" s="1" t="s">
        <v>303</v>
      </c>
      <c r="B2809" s="1" t="s">
        <v>304</v>
      </c>
      <c r="C2809" s="1">
        <v>2020</v>
      </c>
      <c r="D2809" s="1">
        <v>15254</v>
      </c>
      <c r="E2809" s="1">
        <v>99</v>
      </c>
      <c r="F2809" s="1">
        <v>52</v>
      </c>
      <c r="G2809" s="1">
        <v>629936</v>
      </c>
      <c r="H2809" s="1">
        <v>68</v>
      </c>
    </row>
    <row r="2810" spans="1:8" x14ac:dyDescent="0.3">
      <c r="A2810" s="1" t="s">
        <v>305</v>
      </c>
      <c r="B2810" s="1" t="s">
        <v>306</v>
      </c>
      <c r="C2810" s="1">
        <v>2020</v>
      </c>
      <c r="D2810" s="1">
        <v>59610</v>
      </c>
      <c r="E2810" s="1">
        <v>921</v>
      </c>
      <c r="F2810" s="1">
        <v>474</v>
      </c>
      <c r="G2810" s="1">
        <v>708496</v>
      </c>
      <c r="H2810" s="1">
        <v>115</v>
      </c>
    </row>
    <row r="2811" spans="1:8" x14ac:dyDescent="0.3">
      <c r="A2811" s="1" t="s">
        <v>307</v>
      </c>
      <c r="B2811" s="1" t="s">
        <v>308</v>
      </c>
      <c r="C2811" s="1">
        <v>2020</v>
      </c>
      <c r="D2811" s="1">
        <v>26131</v>
      </c>
      <c r="E2811" s="1">
        <v>506</v>
      </c>
      <c r="F2811" s="1">
        <v>338</v>
      </c>
      <c r="G2811" s="1">
        <v>1002469</v>
      </c>
      <c r="H2811" s="1">
        <v>0</v>
      </c>
    </row>
    <row r="2812" spans="1:8" x14ac:dyDescent="0.3">
      <c r="A2812" s="1" t="s">
        <v>309</v>
      </c>
      <c r="B2812" s="1" t="s">
        <v>310</v>
      </c>
      <c r="C2812" s="1">
        <v>2020</v>
      </c>
      <c r="D2812" s="1">
        <v>32091</v>
      </c>
      <c r="E2812" s="1">
        <v>715</v>
      </c>
      <c r="F2812" s="1">
        <v>732</v>
      </c>
      <c r="G2812" s="1">
        <v>656956</v>
      </c>
      <c r="H2812" s="1">
        <v>52</v>
      </c>
    </row>
    <row r="2813" spans="1:8" x14ac:dyDescent="0.3">
      <c r="A2813" s="1" t="s">
        <v>311</v>
      </c>
      <c r="B2813" s="1" t="s">
        <v>312</v>
      </c>
      <c r="C2813" s="1">
        <v>2020</v>
      </c>
      <c r="D2813" s="1">
        <v>24919</v>
      </c>
      <c r="E2813" s="1">
        <v>369</v>
      </c>
      <c r="F2813" s="1">
        <v>0</v>
      </c>
      <c r="G2813" s="1">
        <v>57234</v>
      </c>
      <c r="H2813" s="1">
        <v>0</v>
      </c>
    </row>
    <row r="2814" spans="1:8" x14ac:dyDescent="0.3">
      <c r="A2814" s="1" t="s">
        <v>313</v>
      </c>
      <c r="B2814" s="1" t="s">
        <v>314</v>
      </c>
      <c r="C2814" s="1">
        <v>2020</v>
      </c>
      <c r="D2814" s="1">
        <v>24755</v>
      </c>
      <c r="E2814" s="1">
        <v>286</v>
      </c>
      <c r="F2814" s="1">
        <v>69</v>
      </c>
      <c r="G2814" s="1">
        <v>529685</v>
      </c>
      <c r="H2814" s="1">
        <v>4</v>
      </c>
    </row>
    <row r="2815" spans="1:8" x14ac:dyDescent="0.3">
      <c r="A2815" s="1" t="s">
        <v>315</v>
      </c>
      <c r="B2815" s="1" t="s">
        <v>316</v>
      </c>
      <c r="C2815" s="1">
        <v>2020</v>
      </c>
      <c r="D2815" s="1">
        <v>49044</v>
      </c>
      <c r="E2815" s="1">
        <v>438</v>
      </c>
      <c r="F2815" s="1">
        <v>282</v>
      </c>
      <c r="G2815" s="1">
        <v>966189</v>
      </c>
      <c r="H2815" s="1">
        <v>24</v>
      </c>
    </row>
    <row r="2816" spans="1:8" x14ac:dyDescent="0.3">
      <c r="A2816" s="1" t="s">
        <v>317</v>
      </c>
      <c r="B2816" s="1" t="s">
        <v>318</v>
      </c>
      <c r="C2816" s="1">
        <v>2020</v>
      </c>
      <c r="D2816" s="1">
        <v>87086</v>
      </c>
      <c r="E2816" s="1">
        <v>2563</v>
      </c>
      <c r="F2816" s="1">
        <v>3121</v>
      </c>
      <c r="G2816" s="1">
        <v>1695671</v>
      </c>
      <c r="H2816" s="1">
        <v>48</v>
      </c>
    </row>
    <row r="2817" spans="1:8" x14ac:dyDescent="0.3">
      <c r="A2817" s="1" t="s">
        <v>319</v>
      </c>
      <c r="B2817" s="1" t="s">
        <v>320</v>
      </c>
      <c r="C2817" s="1">
        <v>2020</v>
      </c>
      <c r="D2817" s="1">
        <v>35315</v>
      </c>
      <c r="E2817" s="1">
        <v>406</v>
      </c>
      <c r="F2817" s="1">
        <v>67</v>
      </c>
      <c r="G2817" s="1">
        <v>313293</v>
      </c>
      <c r="H2817" s="1">
        <v>29</v>
      </c>
    </row>
    <row r="2818" spans="1:8" x14ac:dyDescent="0.3">
      <c r="A2818" s="1" t="s">
        <v>321</v>
      </c>
      <c r="B2818" s="1" t="s">
        <v>322</v>
      </c>
      <c r="C2818" s="1">
        <v>2020</v>
      </c>
      <c r="D2818" s="1">
        <v>31114</v>
      </c>
      <c r="E2818" s="1">
        <v>317</v>
      </c>
      <c r="F2818" s="1">
        <v>144</v>
      </c>
      <c r="G2818" s="1">
        <v>752860</v>
      </c>
      <c r="H2818" s="1">
        <v>254</v>
      </c>
    </row>
    <row r="2819" spans="1:8" x14ac:dyDescent="0.3">
      <c r="A2819" s="1" t="s">
        <v>323</v>
      </c>
      <c r="B2819" s="1" t="s">
        <v>324</v>
      </c>
      <c r="C2819" s="1">
        <v>2020</v>
      </c>
      <c r="D2819" s="1">
        <v>73644</v>
      </c>
      <c r="E2819" s="1">
        <v>2026</v>
      </c>
      <c r="F2819" s="1">
        <v>1099</v>
      </c>
      <c r="G2819" s="1">
        <v>1425708</v>
      </c>
      <c r="H2819" s="1">
        <v>56</v>
      </c>
    </row>
    <row r="2820" spans="1:8" x14ac:dyDescent="0.3">
      <c r="A2820" s="1" t="s">
        <v>325</v>
      </c>
      <c r="B2820" s="1" t="s">
        <v>326</v>
      </c>
      <c r="C2820" s="1">
        <v>2020</v>
      </c>
      <c r="D2820" s="1">
        <v>16681</v>
      </c>
      <c r="E2820" s="1">
        <v>165</v>
      </c>
      <c r="F2820" s="1">
        <v>140</v>
      </c>
      <c r="G2820" s="1">
        <v>294464</v>
      </c>
      <c r="H2820" s="1">
        <v>0</v>
      </c>
    </row>
    <row r="2821" spans="1:8" x14ac:dyDescent="0.3">
      <c r="A2821" s="1" t="s">
        <v>327</v>
      </c>
      <c r="B2821" s="1" t="s">
        <v>328</v>
      </c>
      <c r="C2821" s="1">
        <v>2020</v>
      </c>
      <c r="D2821" s="1">
        <v>14204</v>
      </c>
      <c r="E2821" s="1">
        <v>99</v>
      </c>
      <c r="F2821" s="1">
        <v>13</v>
      </c>
      <c r="G2821" s="1">
        <v>29081</v>
      </c>
      <c r="H2821" s="1">
        <v>25</v>
      </c>
    </row>
    <row r="2822" spans="1:8" x14ac:dyDescent="0.3">
      <c r="A2822" s="1" t="s">
        <v>329</v>
      </c>
      <c r="B2822" s="1" t="s">
        <v>330</v>
      </c>
      <c r="C2822" s="1">
        <v>2020</v>
      </c>
      <c r="D2822" s="1">
        <v>18603</v>
      </c>
      <c r="E2822" s="1">
        <v>170</v>
      </c>
      <c r="F2822" s="1">
        <v>89</v>
      </c>
      <c r="G2822" s="1">
        <v>1149561</v>
      </c>
      <c r="H2822" s="1">
        <v>16</v>
      </c>
    </row>
    <row r="2823" spans="1:8" x14ac:dyDescent="0.3">
      <c r="A2823" s="1" t="s">
        <v>331</v>
      </c>
      <c r="B2823" s="1" t="s">
        <v>332</v>
      </c>
      <c r="C2823" s="1">
        <v>2020</v>
      </c>
      <c r="D2823" s="1">
        <v>47060</v>
      </c>
      <c r="E2823" s="1">
        <v>641</v>
      </c>
      <c r="F2823" s="1">
        <v>53</v>
      </c>
      <c r="G2823" s="1">
        <v>536116</v>
      </c>
      <c r="H2823" s="1">
        <v>14</v>
      </c>
    </row>
    <row r="2824" spans="1:8" x14ac:dyDescent="0.3">
      <c r="A2824" s="1" t="s">
        <v>333</v>
      </c>
      <c r="B2824" s="1" t="s">
        <v>334</v>
      </c>
      <c r="C2824" s="1">
        <v>2020</v>
      </c>
      <c r="D2824" s="1">
        <v>26838</v>
      </c>
      <c r="E2824" s="1">
        <v>289</v>
      </c>
      <c r="F2824" s="1">
        <v>15</v>
      </c>
      <c r="G2824" s="1">
        <v>33080</v>
      </c>
      <c r="H2824" s="1">
        <v>0</v>
      </c>
    </row>
    <row r="2825" spans="1:8" x14ac:dyDescent="0.3">
      <c r="A2825" s="1" t="s">
        <v>335</v>
      </c>
      <c r="B2825" s="1" t="s">
        <v>336</v>
      </c>
      <c r="C2825" s="1">
        <v>2020</v>
      </c>
      <c r="D2825" s="1">
        <v>17190</v>
      </c>
      <c r="E2825" s="1">
        <v>193</v>
      </c>
      <c r="F2825" s="1">
        <v>99</v>
      </c>
      <c r="G2825" s="1">
        <v>979797</v>
      </c>
      <c r="H2825" s="1">
        <v>0</v>
      </c>
    </row>
    <row r="2826" spans="1:8" x14ac:dyDescent="0.3">
      <c r="A2826" s="1" t="s">
        <v>337</v>
      </c>
      <c r="B2826" s="1" t="s">
        <v>338</v>
      </c>
      <c r="C2826" s="1">
        <v>2020</v>
      </c>
      <c r="D2826" s="1">
        <v>30164</v>
      </c>
      <c r="E2826" s="1">
        <v>360</v>
      </c>
      <c r="F2826" s="1">
        <v>104</v>
      </c>
      <c r="G2826" s="1">
        <v>991797</v>
      </c>
      <c r="H2826" s="1">
        <v>4</v>
      </c>
    </row>
    <row r="2827" spans="1:8" x14ac:dyDescent="0.3">
      <c r="A2827" s="1" t="s">
        <v>339</v>
      </c>
      <c r="B2827" s="1" t="s">
        <v>340</v>
      </c>
      <c r="C2827" s="1">
        <v>2020</v>
      </c>
      <c r="D2827" s="1">
        <v>20251</v>
      </c>
      <c r="E2827" s="1">
        <v>154</v>
      </c>
      <c r="F2827" s="1">
        <v>83</v>
      </c>
      <c r="G2827" s="1">
        <v>142775</v>
      </c>
      <c r="H2827" s="1">
        <v>45</v>
      </c>
    </row>
    <row r="2828" spans="1:8" x14ac:dyDescent="0.3">
      <c r="A2828" s="1" t="s">
        <v>341</v>
      </c>
      <c r="B2828" s="1" t="s">
        <v>342</v>
      </c>
      <c r="C2828" s="1">
        <v>2020</v>
      </c>
      <c r="D2828" s="1">
        <v>13044</v>
      </c>
      <c r="E2828" s="1">
        <v>157</v>
      </c>
      <c r="F2828" s="1">
        <v>28</v>
      </c>
      <c r="G2828" s="1">
        <v>120142</v>
      </c>
      <c r="H2828" s="1">
        <v>0</v>
      </c>
    </row>
    <row r="2829" spans="1:8" x14ac:dyDescent="0.3">
      <c r="A2829" s="1" t="s">
        <v>343</v>
      </c>
      <c r="B2829" s="1" t="s">
        <v>344</v>
      </c>
      <c r="C2829" s="1">
        <v>2020</v>
      </c>
      <c r="D2829" s="1">
        <v>49557</v>
      </c>
      <c r="E2829" s="1">
        <v>1746</v>
      </c>
      <c r="F2829" s="1">
        <v>708</v>
      </c>
      <c r="G2829" s="1">
        <v>211373</v>
      </c>
      <c r="H2829" s="1">
        <v>32</v>
      </c>
    </row>
    <row r="2830" spans="1:8" x14ac:dyDescent="0.3">
      <c r="A2830" s="1" t="s">
        <v>345</v>
      </c>
      <c r="B2830" s="1" t="s">
        <v>346</v>
      </c>
      <c r="C2830" s="1">
        <v>2020</v>
      </c>
      <c r="D2830" s="1">
        <v>24303</v>
      </c>
      <c r="E2830" s="1">
        <v>242</v>
      </c>
      <c r="F2830" s="1">
        <v>47</v>
      </c>
      <c r="G2830" s="1">
        <v>693896</v>
      </c>
      <c r="H2830" s="1">
        <v>32</v>
      </c>
    </row>
    <row r="2831" spans="1:8" x14ac:dyDescent="0.3">
      <c r="A2831" s="1" t="s">
        <v>347</v>
      </c>
      <c r="B2831" s="1" t="s">
        <v>348</v>
      </c>
      <c r="C2831" s="1">
        <v>2020</v>
      </c>
      <c r="D2831" s="1">
        <v>96714</v>
      </c>
      <c r="E2831" s="1">
        <v>3190</v>
      </c>
      <c r="F2831" s="1">
        <v>1896</v>
      </c>
      <c r="G2831" s="1">
        <v>1952695</v>
      </c>
      <c r="H2831" s="1">
        <v>187</v>
      </c>
    </row>
    <row r="2832" spans="1:8" x14ac:dyDescent="0.3">
      <c r="A2832" s="1" t="s">
        <v>349</v>
      </c>
      <c r="B2832" s="1" t="s">
        <v>350</v>
      </c>
      <c r="C2832" s="1">
        <v>2020</v>
      </c>
      <c r="D2832" s="1">
        <v>24498</v>
      </c>
      <c r="E2832" s="1">
        <v>324</v>
      </c>
      <c r="F2832" s="1">
        <v>99</v>
      </c>
      <c r="G2832" s="1">
        <v>297649</v>
      </c>
      <c r="H2832" s="1">
        <v>0</v>
      </c>
    </row>
    <row r="2833" spans="1:8" x14ac:dyDescent="0.3">
      <c r="A2833" s="1" t="s">
        <v>351</v>
      </c>
      <c r="B2833" s="1" t="s">
        <v>352</v>
      </c>
      <c r="C2833" s="1">
        <v>2020</v>
      </c>
      <c r="D2833" s="1">
        <v>11773</v>
      </c>
      <c r="E2833" s="1">
        <v>113</v>
      </c>
      <c r="F2833" s="1">
        <v>11</v>
      </c>
      <c r="G2833" s="1">
        <v>129757</v>
      </c>
      <c r="H2833" s="1">
        <v>0</v>
      </c>
    </row>
    <row r="2834" spans="1:8" x14ac:dyDescent="0.3">
      <c r="A2834" s="1" t="s">
        <v>353</v>
      </c>
      <c r="B2834" s="1" t="s">
        <v>354</v>
      </c>
      <c r="C2834" s="1">
        <v>2020</v>
      </c>
      <c r="D2834" s="1">
        <v>12032</v>
      </c>
      <c r="E2834" s="1">
        <v>132</v>
      </c>
      <c r="F2834" s="1">
        <v>121</v>
      </c>
      <c r="G2834" s="1">
        <v>312976</v>
      </c>
      <c r="H2834" s="1">
        <v>0</v>
      </c>
    </row>
    <row r="2835" spans="1:8" x14ac:dyDescent="0.3">
      <c r="A2835" s="1" t="s">
        <v>355</v>
      </c>
      <c r="B2835" s="1" t="s">
        <v>356</v>
      </c>
      <c r="C2835" s="1">
        <v>2020</v>
      </c>
      <c r="D2835" s="1">
        <v>32160</v>
      </c>
      <c r="E2835" s="1">
        <v>460</v>
      </c>
      <c r="F2835" s="1">
        <v>370</v>
      </c>
      <c r="G2835" s="1">
        <v>1516425</v>
      </c>
      <c r="H2835" s="1">
        <v>0</v>
      </c>
    </row>
    <row r="2836" spans="1:8" x14ac:dyDescent="0.3">
      <c r="A2836" s="1" t="s">
        <v>357</v>
      </c>
      <c r="B2836" s="1" t="s">
        <v>358</v>
      </c>
      <c r="C2836" s="1">
        <v>2020</v>
      </c>
      <c r="D2836" s="1">
        <v>19929</v>
      </c>
      <c r="E2836" s="1">
        <v>222</v>
      </c>
      <c r="F2836" s="1">
        <v>353</v>
      </c>
      <c r="G2836" s="1">
        <v>1128871</v>
      </c>
      <c r="H2836" s="1">
        <v>0</v>
      </c>
    </row>
    <row r="2837" spans="1:8" x14ac:dyDescent="0.3">
      <c r="A2837" s="1" t="s">
        <v>359</v>
      </c>
      <c r="B2837" s="1" t="s">
        <v>360</v>
      </c>
      <c r="C2837" s="1">
        <v>2020</v>
      </c>
      <c r="D2837" s="1">
        <v>52874</v>
      </c>
      <c r="E2837" s="1">
        <v>417</v>
      </c>
      <c r="F2837" s="1">
        <v>967</v>
      </c>
      <c r="G2837" s="1">
        <v>5264453</v>
      </c>
      <c r="H2837" s="1">
        <v>0</v>
      </c>
    </row>
    <row r="2838" spans="1:8" x14ac:dyDescent="0.3">
      <c r="A2838" s="1" t="s">
        <v>361</v>
      </c>
      <c r="B2838" s="1" t="s">
        <v>362</v>
      </c>
      <c r="C2838" s="1">
        <v>2020</v>
      </c>
      <c r="D2838" s="1">
        <v>86669</v>
      </c>
      <c r="E2838" s="1">
        <v>452</v>
      </c>
      <c r="F2838" s="1">
        <v>1025</v>
      </c>
      <c r="G2838" s="1">
        <v>5492340</v>
      </c>
      <c r="H2838" s="1">
        <v>0</v>
      </c>
    </row>
    <row r="2839" spans="1:8" x14ac:dyDescent="0.3">
      <c r="A2839" s="1" t="s">
        <v>363</v>
      </c>
      <c r="B2839" s="1" t="s">
        <v>364</v>
      </c>
      <c r="C2839" s="1">
        <v>2020</v>
      </c>
      <c r="D2839" s="1">
        <v>34847</v>
      </c>
      <c r="E2839" s="1">
        <v>549</v>
      </c>
      <c r="F2839" s="1">
        <v>820</v>
      </c>
      <c r="G2839" s="1">
        <v>2167478</v>
      </c>
      <c r="H2839" s="1">
        <v>0</v>
      </c>
    </row>
    <row r="2840" spans="1:8" x14ac:dyDescent="0.3">
      <c r="A2840" s="1" t="s">
        <v>365</v>
      </c>
      <c r="B2840" s="1" t="s">
        <v>366</v>
      </c>
      <c r="C2840" s="1">
        <v>2020</v>
      </c>
      <c r="D2840" s="1">
        <v>1033448</v>
      </c>
      <c r="E2840" s="1">
        <v>23543</v>
      </c>
      <c r="F2840" s="1">
        <v>21691</v>
      </c>
      <c r="G2840" s="1">
        <v>21297063</v>
      </c>
      <c r="H2840" s="1">
        <v>3692</v>
      </c>
    </row>
    <row r="2841" spans="1:8" x14ac:dyDescent="0.3">
      <c r="A2841" s="1" t="s">
        <v>367</v>
      </c>
      <c r="B2841" s="1" t="s">
        <v>242</v>
      </c>
      <c r="C2841" s="1">
        <v>2020</v>
      </c>
      <c r="D2841" s="1">
        <v>33594</v>
      </c>
      <c r="E2841" s="1">
        <v>261</v>
      </c>
      <c r="F2841" s="1">
        <v>499</v>
      </c>
      <c r="G2841" s="1">
        <v>1416834</v>
      </c>
      <c r="H2841" s="1">
        <v>16</v>
      </c>
    </row>
    <row r="2842" spans="1:8" x14ac:dyDescent="0.3">
      <c r="A2842" s="1" t="s">
        <v>368</v>
      </c>
      <c r="B2842" s="1" t="s">
        <v>369</v>
      </c>
      <c r="C2842" s="1">
        <v>2020</v>
      </c>
      <c r="D2842" s="1">
        <v>16878</v>
      </c>
      <c r="E2842" s="1">
        <v>38</v>
      </c>
      <c r="F2842" s="1">
        <v>308</v>
      </c>
      <c r="G2842" s="1">
        <v>425064</v>
      </c>
      <c r="H2842" s="1">
        <v>2</v>
      </c>
    </row>
    <row r="2843" spans="1:8" x14ac:dyDescent="0.3">
      <c r="A2843" s="1" t="s">
        <v>370</v>
      </c>
      <c r="B2843" s="1" t="s">
        <v>371</v>
      </c>
      <c r="C2843" s="1">
        <v>2020</v>
      </c>
      <c r="D2843" s="1">
        <v>36058</v>
      </c>
      <c r="E2843" s="1">
        <v>108</v>
      </c>
      <c r="F2843" s="1">
        <v>293</v>
      </c>
      <c r="G2843" s="1">
        <v>1497191</v>
      </c>
      <c r="H2843" s="1">
        <v>30</v>
      </c>
    </row>
    <row r="2844" spans="1:8" x14ac:dyDescent="0.3">
      <c r="A2844" s="1" t="s">
        <v>372</v>
      </c>
      <c r="B2844" s="1" t="s">
        <v>373</v>
      </c>
      <c r="C2844" s="1">
        <v>2020</v>
      </c>
      <c r="D2844" s="1">
        <v>23122</v>
      </c>
      <c r="E2844" s="1">
        <v>112</v>
      </c>
      <c r="F2844" s="1">
        <v>226</v>
      </c>
      <c r="G2844" s="1">
        <v>753462</v>
      </c>
      <c r="H2844" s="1">
        <v>4</v>
      </c>
    </row>
    <row r="2845" spans="1:8" x14ac:dyDescent="0.3">
      <c r="A2845" s="1" t="s">
        <v>374</v>
      </c>
      <c r="B2845" s="1" t="s">
        <v>375</v>
      </c>
      <c r="C2845" s="1">
        <v>2020</v>
      </c>
      <c r="D2845" s="1">
        <v>21286</v>
      </c>
      <c r="E2845" s="1">
        <v>108</v>
      </c>
      <c r="F2845" s="1">
        <v>120</v>
      </c>
      <c r="G2845" s="1">
        <v>485071</v>
      </c>
      <c r="H2845" s="1">
        <v>12</v>
      </c>
    </row>
    <row r="2846" spans="1:8" x14ac:dyDescent="0.3">
      <c r="A2846" s="1" t="s">
        <v>376</v>
      </c>
      <c r="B2846" s="1" t="s">
        <v>377</v>
      </c>
      <c r="C2846" s="1">
        <v>2020</v>
      </c>
      <c r="D2846" s="1">
        <v>16099</v>
      </c>
      <c r="E2846" s="1">
        <v>222</v>
      </c>
      <c r="F2846" s="1">
        <v>191</v>
      </c>
      <c r="G2846" s="1">
        <v>539978</v>
      </c>
      <c r="H2846" s="1">
        <v>0</v>
      </c>
    </row>
    <row r="2847" spans="1:8" x14ac:dyDescent="0.3">
      <c r="A2847" s="1" t="s">
        <v>378</v>
      </c>
      <c r="B2847" s="1" t="s">
        <v>379</v>
      </c>
      <c r="C2847" s="1">
        <v>2020</v>
      </c>
      <c r="D2847" s="1">
        <v>48994</v>
      </c>
      <c r="E2847" s="1">
        <v>250</v>
      </c>
      <c r="F2847" s="1">
        <v>524</v>
      </c>
      <c r="G2847" s="1">
        <v>981455</v>
      </c>
      <c r="H2847" s="1">
        <v>32</v>
      </c>
    </row>
    <row r="2848" spans="1:8" x14ac:dyDescent="0.3">
      <c r="A2848" s="1" t="s">
        <v>380</v>
      </c>
      <c r="B2848" s="1" t="s">
        <v>381</v>
      </c>
      <c r="C2848" s="1">
        <v>2020</v>
      </c>
      <c r="D2848" s="1">
        <v>21019</v>
      </c>
      <c r="E2848" s="1">
        <v>92</v>
      </c>
      <c r="F2848" s="1">
        <v>44</v>
      </c>
      <c r="G2848" s="1">
        <v>347610</v>
      </c>
      <c r="H2848" s="1">
        <v>6</v>
      </c>
    </row>
    <row r="2849" spans="1:8" x14ac:dyDescent="0.3">
      <c r="A2849" s="1" t="s">
        <v>382</v>
      </c>
      <c r="B2849" s="1" t="s">
        <v>140</v>
      </c>
      <c r="C2849" s="1">
        <v>2020</v>
      </c>
      <c r="D2849" s="1">
        <v>40194</v>
      </c>
      <c r="E2849" s="1">
        <v>339</v>
      </c>
      <c r="F2849" s="1">
        <v>125</v>
      </c>
      <c r="G2849" s="1">
        <v>488537</v>
      </c>
      <c r="H2849" s="1">
        <v>8</v>
      </c>
    </row>
    <row r="2850" spans="1:8" x14ac:dyDescent="0.3">
      <c r="A2850" s="1" t="s">
        <v>383</v>
      </c>
      <c r="B2850" s="1" t="s">
        <v>384</v>
      </c>
      <c r="C2850" s="1">
        <v>2020</v>
      </c>
      <c r="D2850" s="1">
        <v>20116</v>
      </c>
      <c r="E2850" s="1">
        <v>64</v>
      </c>
      <c r="F2850" s="1">
        <v>160</v>
      </c>
      <c r="G2850" s="1">
        <v>1173073</v>
      </c>
      <c r="H2850" s="1">
        <v>63</v>
      </c>
    </row>
    <row r="2851" spans="1:8" x14ac:dyDescent="0.3">
      <c r="A2851" s="1" t="s">
        <v>385</v>
      </c>
      <c r="B2851" s="1" t="s">
        <v>386</v>
      </c>
      <c r="C2851" s="1">
        <v>2020</v>
      </c>
      <c r="D2851" s="1">
        <v>24142</v>
      </c>
      <c r="E2851" s="1">
        <v>93</v>
      </c>
      <c r="F2851" s="1">
        <v>80</v>
      </c>
      <c r="G2851" s="1">
        <v>911131</v>
      </c>
      <c r="H2851" s="1">
        <v>21</v>
      </c>
    </row>
    <row r="2852" spans="1:8" x14ac:dyDescent="0.3">
      <c r="A2852" s="1" t="s">
        <v>387</v>
      </c>
      <c r="B2852" s="1" t="s">
        <v>388</v>
      </c>
      <c r="C2852" s="1">
        <v>2020</v>
      </c>
      <c r="D2852" s="1">
        <v>58898</v>
      </c>
      <c r="E2852" s="1">
        <v>929</v>
      </c>
      <c r="F2852" s="1">
        <v>1707</v>
      </c>
      <c r="G2852" s="1">
        <v>1705631</v>
      </c>
      <c r="H2852" s="1">
        <v>0</v>
      </c>
    </row>
    <row r="2853" spans="1:8" x14ac:dyDescent="0.3">
      <c r="A2853" s="1" t="s">
        <v>389</v>
      </c>
      <c r="B2853" s="1" t="s">
        <v>390</v>
      </c>
      <c r="C2853" s="1">
        <v>2020</v>
      </c>
      <c r="D2853" s="1">
        <v>7322</v>
      </c>
      <c r="E2853" s="1">
        <v>94</v>
      </c>
      <c r="F2853" s="1">
        <v>50</v>
      </c>
      <c r="G2853" s="1">
        <v>698374</v>
      </c>
      <c r="H2853" s="1">
        <v>0</v>
      </c>
    </row>
    <row r="2854" spans="1:8" x14ac:dyDescent="0.3">
      <c r="A2854" s="1" t="s">
        <v>391</v>
      </c>
      <c r="B2854" s="1" t="s">
        <v>392</v>
      </c>
      <c r="C2854" s="1">
        <v>2020</v>
      </c>
      <c r="D2854" s="1">
        <v>18805</v>
      </c>
      <c r="E2854" s="1">
        <v>165</v>
      </c>
      <c r="F2854" s="1">
        <v>26</v>
      </c>
      <c r="G2854" s="1">
        <v>82653</v>
      </c>
      <c r="H2854" s="1">
        <v>6</v>
      </c>
    </row>
    <row r="2855" spans="1:8" x14ac:dyDescent="0.3">
      <c r="A2855" s="1" t="s">
        <v>393</v>
      </c>
      <c r="B2855" s="1" t="s">
        <v>394</v>
      </c>
      <c r="C2855" s="1">
        <v>2020</v>
      </c>
      <c r="D2855" s="1">
        <v>39891</v>
      </c>
      <c r="E2855" s="1">
        <v>547</v>
      </c>
      <c r="F2855" s="1">
        <v>155</v>
      </c>
      <c r="G2855" s="1">
        <v>947625</v>
      </c>
      <c r="H2855" s="1">
        <v>0</v>
      </c>
    </row>
    <row r="2856" spans="1:8" x14ac:dyDescent="0.3">
      <c r="A2856" s="1" t="s">
        <v>395</v>
      </c>
      <c r="B2856" s="1" t="s">
        <v>396</v>
      </c>
      <c r="C2856" s="1">
        <v>2020</v>
      </c>
      <c r="D2856" s="1">
        <v>36554</v>
      </c>
      <c r="E2856" s="1">
        <v>272</v>
      </c>
      <c r="F2856" s="1">
        <v>209</v>
      </c>
      <c r="G2856" s="1">
        <v>1522015</v>
      </c>
      <c r="H2856" s="1">
        <v>4</v>
      </c>
    </row>
    <row r="2857" spans="1:8" x14ac:dyDescent="0.3">
      <c r="A2857" s="1" t="s">
        <v>397</v>
      </c>
      <c r="B2857" s="1" t="s">
        <v>398</v>
      </c>
      <c r="C2857" s="1">
        <v>2020</v>
      </c>
      <c r="D2857" s="1">
        <v>34096</v>
      </c>
      <c r="E2857" s="1">
        <v>176</v>
      </c>
      <c r="F2857" s="1">
        <v>65</v>
      </c>
      <c r="G2857" s="1">
        <v>1334803</v>
      </c>
      <c r="H2857" s="1">
        <v>4</v>
      </c>
    </row>
    <row r="2858" spans="1:8" x14ac:dyDescent="0.3">
      <c r="A2858" s="1" t="s">
        <v>399</v>
      </c>
      <c r="B2858" s="1" t="s">
        <v>400</v>
      </c>
      <c r="C2858" s="1">
        <v>2020</v>
      </c>
      <c r="D2858" s="1">
        <v>17933</v>
      </c>
      <c r="E2858" s="1">
        <v>219</v>
      </c>
      <c r="F2858" s="1">
        <v>20</v>
      </c>
      <c r="G2858" s="1">
        <v>183741</v>
      </c>
      <c r="H2858" s="1">
        <v>0</v>
      </c>
    </row>
    <row r="2859" spans="1:8" x14ac:dyDescent="0.3">
      <c r="A2859" s="1" t="s">
        <v>401</v>
      </c>
      <c r="B2859" s="1" t="s">
        <v>167</v>
      </c>
      <c r="C2859" s="1">
        <v>2020</v>
      </c>
      <c r="D2859" s="1">
        <v>32497</v>
      </c>
      <c r="E2859" s="1">
        <v>291</v>
      </c>
      <c r="F2859" s="1">
        <v>30</v>
      </c>
      <c r="G2859" s="1">
        <v>189801</v>
      </c>
      <c r="H2859" s="1">
        <v>3</v>
      </c>
    </row>
    <row r="2860" spans="1:8" x14ac:dyDescent="0.3">
      <c r="A2860" s="1" t="s">
        <v>402</v>
      </c>
      <c r="B2860" s="1" t="s">
        <v>403</v>
      </c>
      <c r="C2860" s="1">
        <v>2020</v>
      </c>
      <c r="D2860" s="1">
        <v>20498</v>
      </c>
      <c r="E2860" s="1">
        <v>139</v>
      </c>
      <c r="F2860" s="1">
        <v>35</v>
      </c>
      <c r="G2860" s="1">
        <v>473495</v>
      </c>
      <c r="H2860" s="1">
        <v>0</v>
      </c>
    </row>
    <row r="2861" spans="1:8" x14ac:dyDescent="0.3">
      <c r="A2861" s="1" t="s">
        <v>404</v>
      </c>
      <c r="B2861" s="1" t="s">
        <v>405</v>
      </c>
      <c r="C2861" s="1">
        <v>2020</v>
      </c>
      <c r="D2861" s="1">
        <v>17273</v>
      </c>
      <c r="E2861" s="1">
        <v>117</v>
      </c>
      <c r="F2861" s="1">
        <v>41</v>
      </c>
      <c r="G2861" s="1">
        <v>234444</v>
      </c>
      <c r="H2861" s="1">
        <v>2</v>
      </c>
    </row>
    <row r="2862" spans="1:8" x14ac:dyDescent="0.3">
      <c r="A2862" s="1" t="s">
        <v>406</v>
      </c>
      <c r="B2862" s="1" t="s">
        <v>407</v>
      </c>
      <c r="C2862" s="1">
        <v>2020</v>
      </c>
      <c r="D2862" s="1">
        <v>24900</v>
      </c>
      <c r="E2862" s="1">
        <v>335</v>
      </c>
      <c r="F2862" s="1">
        <v>53</v>
      </c>
      <c r="G2862" s="1">
        <v>249876</v>
      </c>
      <c r="H2862" s="1">
        <v>7</v>
      </c>
    </row>
    <row r="2863" spans="1:8" x14ac:dyDescent="0.3">
      <c r="A2863" s="1" t="s">
        <v>408</v>
      </c>
      <c r="B2863" s="1" t="s">
        <v>409</v>
      </c>
      <c r="C2863" s="1">
        <v>2020</v>
      </c>
      <c r="D2863" s="1">
        <v>43849</v>
      </c>
      <c r="E2863" s="1">
        <v>570</v>
      </c>
      <c r="F2863" s="1">
        <v>227</v>
      </c>
      <c r="G2863" s="1">
        <v>754181</v>
      </c>
      <c r="H2863" s="1">
        <v>9</v>
      </c>
    </row>
    <row r="2864" spans="1:8" x14ac:dyDescent="0.3">
      <c r="A2864" s="1" t="s">
        <v>410</v>
      </c>
      <c r="B2864" s="1" t="s">
        <v>411</v>
      </c>
      <c r="C2864" s="1">
        <v>2020</v>
      </c>
      <c r="D2864" s="1">
        <v>20451</v>
      </c>
      <c r="E2864" s="1">
        <v>165</v>
      </c>
      <c r="F2864" s="1">
        <v>23</v>
      </c>
      <c r="G2864" s="1">
        <v>281310</v>
      </c>
      <c r="H2864" s="1">
        <v>0</v>
      </c>
    </row>
    <row r="2865" spans="1:8" x14ac:dyDescent="0.3">
      <c r="A2865" s="1" t="s">
        <v>412</v>
      </c>
      <c r="B2865" s="1" t="s">
        <v>413</v>
      </c>
      <c r="C2865" s="1">
        <v>2020</v>
      </c>
      <c r="D2865" s="1">
        <v>21176</v>
      </c>
      <c r="E2865" s="1">
        <v>229</v>
      </c>
      <c r="F2865" s="1">
        <v>51</v>
      </c>
      <c r="G2865" s="1">
        <v>82768</v>
      </c>
      <c r="H2865" s="1">
        <v>0</v>
      </c>
    </row>
    <row r="2866" spans="1:8" x14ac:dyDescent="0.3">
      <c r="A2866" s="1" t="s">
        <v>414</v>
      </c>
      <c r="B2866" s="1" t="s">
        <v>415</v>
      </c>
      <c r="C2866" s="1">
        <v>2020</v>
      </c>
      <c r="D2866" s="1">
        <v>24046</v>
      </c>
      <c r="E2866" s="1">
        <v>196</v>
      </c>
      <c r="F2866" s="1">
        <v>32</v>
      </c>
      <c r="G2866" s="1">
        <v>235727</v>
      </c>
      <c r="H2866" s="1">
        <v>0</v>
      </c>
    </row>
    <row r="2867" spans="1:8" x14ac:dyDescent="0.3">
      <c r="A2867" s="1" t="s">
        <v>416</v>
      </c>
      <c r="B2867" s="1" t="s">
        <v>417</v>
      </c>
      <c r="C2867" s="1">
        <v>2020</v>
      </c>
      <c r="D2867" s="1">
        <v>21526</v>
      </c>
      <c r="E2867" s="1">
        <v>287</v>
      </c>
      <c r="F2867" s="1">
        <v>80</v>
      </c>
      <c r="G2867" s="1">
        <v>101533</v>
      </c>
      <c r="H2867" s="1">
        <v>0</v>
      </c>
    </row>
    <row r="2868" spans="1:8" x14ac:dyDescent="0.3">
      <c r="A2868" s="1" t="s">
        <v>418</v>
      </c>
      <c r="B2868" s="1" t="s">
        <v>419</v>
      </c>
      <c r="C2868" s="1">
        <v>2020</v>
      </c>
      <c r="D2868" s="1">
        <v>52292</v>
      </c>
      <c r="E2868" s="1">
        <v>1003</v>
      </c>
      <c r="F2868" s="1">
        <v>312</v>
      </c>
      <c r="G2868" s="1">
        <v>198585</v>
      </c>
      <c r="H2868" s="1">
        <v>2</v>
      </c>
    </row>
    <row r="2869" spans="1:8" x14ac:dyDescent="0.3">
      <c r="A2869" s="1" t="s">
        <v>420</v>
      </c>
      <c r="B2869" s="1" t="s">
        <v>421</v>
      </c>
      <c r="C2869" s="1">
        <v>2020</v>
      </c>
      <c r="D2869" s="1">
        <v>29938</v>
      </c>
      <c r="E2869" s="1">
        <v>195</v>
      </c>
      <c r="F2869" s="1">
        <v>67</v>
      </c>
      <c r="G2869" s="1">
        <v>944239</v>
      </c>
      <c r="H2869" s="1">
        <v>0</v>
      </c>
    </row>
    <row r="2870" spans="1:8" x14ac:dyDescent="0.3">
      <c r="A2870" s="1" t="s">
        <v>422</v>
      </c>
      <c r="B2870" s="1" t="s">
        <v>423</v>
      </c>
      <c r="C2870" s="1">
        <v>2020</v>
      </c>
      <c r="D2870" s="1">
        <v>37476</v>
      </c>
      <c r="E2870" s="1">
        <v>224</v>
      </c>
      <c r="F2870" s="1">
        <v>188</v>
      </c>
      <c r="G2870" s="1">
        <v>339774</v>
      </c>
      <c r="H2870" s="1">
        <v>15</v>
      </c>
    </row>
    <row r="2871" spans="1:8" x14ac:dyDescent="0.3">
      <c r="A2871" s="1" t="s">
        <v>424</v>
      </c>
      <c r="B2871" s="1" t="s">
        <v>425</v>
      </c>
      <c r="C2871" s="1">
        <v>2020</v>
      </c>
      <c r="D2871" s="1">
        <v>18065</v>
      </c>
      <c r="E2871" s="1">
        <v>168</v>
      </c>
      <c r="F2871" s="1">
        <v>17</v>
      </c>
      <c r="G2871" s="1">
        <v>175378</v>
      </c>
      <c r="H2871" s="1">
        <v>10</v>
      </c>
    </row>
    <row r="2872" spans="1:8" x14ac:dyDescent="0.3">
      <c r="A2872" s="1" t="s">
        <v>426</v>
      </c>
      <c r="B2872" s="1" t="s">
        <v>427</v>
      </c>
      <c r="C2872" s="1">
        <v>2020</v>
      </c>
      <c r="D2872" s="1">
        <v>16584</v>
      </c>
      <c r="E2872" s="1">
        <v>140</v>
      </c>
      <c r="F2872" s="1">
        <v>67</v>
      </c>
      <c r="G2872" s="1">
        <v>378752</v>
      </c>
      <c r="H2872" s="1">
        <v>6</v>
      </c>
    </row>
    <row r="2873" spans="1:8" x14ac:dyDescent="0.3">
      <c r="A2873" s="1" t="s">
        <v>428</v>
      </c>
      <c r="B2873" s="1" t="s">
        <v>429</v>
      </c>
      <c r="C2873" s="1">
        <v>2020</v>
      </c>
      <c r="D2873" s="1">
        <v>8509</v>
      </c>
      <c r="E2873" s="1">
        <v>126</v>
      </c>
      <c r="F2873" s="1">
        <v>47</v>
      </c>
      <c r="G2873" s="1">
        <v>186376</v>
      </c>
      <c r="H2873" s="1">
        <v>3</v>
      </c>
    </row>
    <row r="2874" spans="1:8" x14ac:dyDescent="0.3">
      <c r="A2874" s="1" t="s">
        <v>430</v>
      </c>
      <c r="B2874" s="1" t="s">
        <v>431</v>
      </c>
      <c r="C2874" s="1">
        <v>2020</v>
      </c>
      <c r="D2874" s="1">
        <v>18253</v>
      </c>
      <c r="E2874" s="1">
        <v>231</v>
      </c>
      <c r="F2874" s="1">
        <v>158</v>
      </c>
      <c r="G2874" s="1">
        <v>471403</v>
      </c>
      <c r="H2874" s="1">
        <v>0</v>
      </c>
    </row>
    <row r="2875" spans="1:8" x14ac:dyDescent="0.3">
      <c r="A2875" s="1" t="s">
        <v>432</v>
      </c>
      <c r="B2875" s="1" t="s">
        <v>433</v>
      </c>
      <c r="C2875" s="1">
        <v>2020</v>
      </c>
      <c r="D2875" s="1">
        <v>25107</v>
      </c>
      <c r="E2875" s="1">
        <v>216</v>
      </c>
      <c r="F2875" s="1">
        <v>440</v>
      </c>
      <c r="G2875" s="1">
        <v>2449516</v>
      </c>
      <c r="H2875" s="1">
        <v>0</v>
      </c>
    </row>
    <row r="2876" spans="1:8" x14ac:dyDescent="0.3">
      <c r="A2876" s="1" t="s">
        <v>434</v>
      </c>
      <c r="B2876" s="1" t="s">
        <v>435</v>
      </c>
      <c r="C2876" s="1">
        <v>2020</v>
      </c>
      <c r="D2876" s="1">
        <v>90994</v>
      </c>
      <c r="E2876" s="1">
        <v>3837</v>
      </c>
      <c r="F2876" s="1">
        <v>3740</v>
      </c>
      <c r="G2876" s="1">
        <v>5073161</v>
      </c>
      <c r="H2876" s="1">
        <v>0</v>
      </c>
    </row>
    <row r="2877" spans="1:8" x14ac:dyDescent="0.3">
      <c r="A2877" s="1" t="s">
        <v>436</v>
      </c>
      <c r="B2877" s="1" t="s">
        <v>437</v>
      </c>
      <c r="C2877" s="1">
        <v>2020</v>
      </c>
      <c r="D2877" s="1">
        <v>17962</v>
      </c>
      <c r="E2877" s="1">
        <v>101</v>
      </c>
      <c r="F2877" s="1">
        <v>99</v>
      </c>
      <c r="G2877" s="1">
        <v>1129497</v>
      </c>
      <c r="H2877" s="1">
        <v>0</v>
      </c>
    </row>
    <row r="2878" spans="1:8" x14ac:dyDescent="0.3">
      <c r="A2878" s="1" t="s">
        <v>438</v>
      </c>
      <c r="B2878" s="1" t="s">
        <v>439</v>
      </c>
      <c r="C2878" s="1">
        <v>2020</v>
      </c>
      <c r="D2878" s="1">
        <v>20089</v>
      </c>
      <c r="E2878" s="1">
        <v>147</v>
      </c>
      <c r="F2878" s="1">
        <v>79</v>
      </c>
      <c r="G2878" s="1">
        <v>419484</v>
      </c>
      <c r="H2878" s="1">
        <v>0</v>
      </c>
    </row>
    <row r="2879" spans="1:8" x14ac:dyDescent="0.3">
      <c r="A2879" s="1" t="s">
        <v>440</v>
      </c>
      <c r="B2879" s="1" t="s">
        <v>441</v>
      </c>
      <c r="C2879" s="1">
        <v>2020</v>
      </c>
      <c r="D2879" s="1">
        <v>57541</v>
      </c>
      <c r="E2879" s="1">
        <v>1228</v>
      </c>
      <c r="F2879" s="1">
        <v>392</v>
      </c>
      <c r="G2879" s="1">
        <v>1304068</v>
      </c>
      <c r="H2879" s="1">
        <v>4</v>
      </c>
    </row>
    <row r="2880" spans="1:8" x14ac:dyDescent="0.3">
      <c r="A2880" s="1" t="s">
        <v>442</v>
      </c>
      <c r="B2880" s="1" t="s">
        <v>443</v>
      </c>
      <c r="C2880" s="1">
        <v>2020</v>
      </c>
      <c r="D2880" s="1">
        <v>23581</v>
      </c>
      <c r="E2880" s="1">
        <v>127</v>
      </c>
      <c r="F2880" s="1">
        <v>51</v>
      </c>
      <c r="G2880" s="1">
        <v>611665</v>
      </c>
      <c r="H2880" s="1">
        <v>3</v>
      </c>
    </row>
    <row r="2881" spans="1:8" x14ac:dyDescent="0.3">
      <c r="A2881" s="1" t="s">
        <v>444</v>
      </c>
      <c r="B2881" s="1" t="s">
        <v>445</v>
      </c>
      <c r="C2881" s="1">
        <v>2020</v>
      </c>
      <c r="D2881" s="1">
        <v>15655</v>
      </c>
      <c r="E2881" s="1">
        <v>124</v>
      </c>
      <c r="F2881" s="1">
        <v>133</v>
      </c>
      <c r="G2881" s="1">
        <v>638560</v>
      </c>
      <c r="H2881" s="1">
        <v>36</v>
      </c>
    </row>
    <row r="2882" spans="1:8" x14ac:dyDescent="0.3">
      <c r="A2882" s="1" t="s">
        <v>446</v>
      </c>
      <c r="B2882" s="1" t="s">
        <v>447</v>
      </c>
      <c r="C2882" s="1">
        <v>2020</v>
      </c>
      <c r="D2882" s="1">
        <v>21638</v>
      </c>
      <c r="E2882" s="1">
        <v>111</v>
      </c>
      <c r="F2882" s="1">
        <v>69</v>
      </c>
      <c r="G2882" s="1">
        <v>896844</v>
      </c>
      <c r="H2882" s="1">
        <v>0</v>
      </c>
    </row>
    <row r="2883" spans="1:8" x14ac:dyDescent="0.3">
      <c r="A2883" s="1" t="s">
        <v>448</v>
      </c>
      <c r="B2883" s="1" t="s">
        <v>449</v>
      </c>
      <c r="C2883" s="1">
        <v>2020</v>
      </c>
      <c r="D2883" s="1">
        <v>10803</v>
      </c>
      <c r="E2883" s="1">
        <v>75</v>
      </c>
      <c r="F2883" s="1">
        <v>50</v>
      </c>
      <c r="G2883" s="1">
        <v>254674</v>
      </c>
      <c r="H2883" s="1">
        <v>105</v>
      </c>
    </row>
    <row r="2884" spans="1:8" x14ac:dyDescent="0.3">
      <c r="A2884" s="1" t="s">
        <v>450</v>
      </c>
      <c r="B2884" s="1" t="s">
        <v>451</v>
      </c>
      <c r="C2884" s="1">
        <v>2020</v>
      </c>
      <c r="D2884" s="1">
        <v>15184</v>
      </c>
      <c r="E2884" s="1">
        <v>218</v>
      </c>
      <c r="F2884" s="1">
        <v>25</v>
      </c>
      <c r="G2884" s="1">
        <v>89456</v>
      </c>
      <c r="H2884" s="1">
        <v>0</v>
      </c>
    </row>
    <row r="2885" spans="1:8" x14ac:dyDescent="0.3">
      <c r="A2885" s="1" t="s">
        <v>452</v>
      </c>
      <c r="B2885" s="1" t="s">
        <v>453</v>
      </c>
      <c r="C2885" s="1">
        <v>2020</v>
      </c>
      <c r="D2885" s="1">
        <v>13357</v>
      </c>
      <c r="E2885" s="1">
        <v>191</v>
      </c>
      <c r="F2885" s="1">
        <v>113</v>
      </c>
      <c r="G2885" s="1">
        <v>286291</v>
      </c>
      <c r="H2885" s="1">
        <v>0</v>
      </c>
    </row>
    <row r="2886" spans="1:8" x14ac:dyDescent="0.3">
      <c r="A2886" s="1" t="s">
        <v>454</v>
      </c>
      <c r="B2886" s="1" t="s">
        <v>455</v>
      </c>
      <c r="C2886" s="1">
        <v>2020</v>
      </c>
      <c r="D2886" s="1">
        <v>7006</v>
      </c>
      <c r="E2886" s="1">
        <v>56</v>
      </c>
      <c r="F2886" s="1">
        <v>11</v>
      </c>
      <c r="G2886" s="1">
        <v>134166</v>
      </c>
      <c r="H2886" s="1">
        <v>0</v>
      </c>
    </row>
    <row r="2887" spans="1:8" x14ac:dyDescent="0.3">
      <c r="A2887" s="1" t="s">
        <v>456</v>
      </c>
      <c r="B2887" s="1" t="s">
        <v>457</v>
      </c>
      <c r="C2887" s="1">
        <v>2020</v>
      </c>
      <c r="D2887" s="1">
        <v>17491</v>
      </c>
      <c r="E2887" s="1">
        <v>62</v>
      </c>
      <c r="F2887" s="1">
        <v>13</v>
      </c>
      <c r="G2887" s="1">
        <v>150439</v>
      </c>
      <c r="H2887" s="1">
        <v>0</v>
      </c>
    </row>
    <row r="2888" spans="1:8" x14ac:dyDescent="0.3">
      <c r="A2888" s="1" t="s">
        <v>458</v>
      </c>
      <c r="B2888" s="1" t="s">
        <v>459</v>
      </c>
      <c r="C2888" s="1">
        <v>2020</v>
      </c>
      <c r="D2888" s="1">
        <v>24430</v>
      </c>
      <c r="E2888" s="1">
        <v>108</v>
      </c>
      <c r="F2888" s="1">
        <v>45</v>
      </c>
      <c r="G2888" s="1">
        <v>641399</v>
      </c>
      <c r="H2888" s="1">
        <v>0</v>
      </c>
    </row>
    <row r="2889" spans="1:8" x14ac:dyDescent="0.3">
      <c r="A2889" s="1" t="s">
        <v>460</v>
      </c>
      <c r="B2889" s="1" t="s">
        <v>461</v>
      </c>
      <c r="C2889" s="1">
        <v>2020</v>
      </c>
      <c r="D2889" s="1">
        <v>11425</v>
      </c>
      <c r="E2889" s="1">
        <v>143</v>
      </c>
      <c r="F2889" s="1">
        <v>7</v>
      </c>
      <c r="G2889" s="1">
        <v>195572</v>
      </c>
      <c r="H2889" s="1">
        <v>0</v>
      </c>
    </row>
    <row r="2890" spans="1:8" x14ac:dyDescent="0.3">
      <c r="A2890" s="1" t="s">
        <v>462</v>
      </c>
      <c r="B2890" s="1" t="s">
        <v>463</v>
      </c>
      <c r="C2890" s="1">
        <v>2020</v>
      </c>
      <c r="D2890" s="1">
        <v>17965</v>
      </c>
      <c r="E2890" s="1">
        <v>177</v>
      </c>
      <c r="F2890" s="1">
        <v>36</v>
      </c>
      <c r="G2890" s="1">
        <v>137328</v>
      </c>
      <c r="H2890" s="1">
        <v>0</v>
      </c>
    </row>
    <row r="2891" spans="1:8" x14ac:dyDescent="0.3">
      <c r="A2891" s="1" t="s">
        <v>464</v>
      </c>
      <c r="B2891" s="1" t="s">
        <v>465</v>
      </c>
      <c r="C2891" s="1">
        <v>2020</v>
      </c>
      <c r="D2891" s="1">
        <v>14572</v>
      </c>
      <c r="E2891" s="1">
        <v>111</v>
      </c>
      <c r="F2891" s="1">
        <v>105</v>
      </c>
      <c r="G2891" s="1">
        <v>355964</v>
      </c>
      <c r="H2891" s="1">
        <v>0</v>
      </c>
    </row>
    <row r="2892" spans="1:8" x14ac:dyDescent="0.3">
      <c r="A2892" s="1" t="s">
        <v>466</v>
      </c>
      <c r="B2892" s="1" t="s">
        <v>467</v>
      </c>
      <c r="C2892" s="1">
        <v>2020</v>
      </c>
      <c r="D2892" s="1">
        <v>137074</v>
      </c>
      <c r="E2892" s="1">
        <v>2832</v>
      </c>
      <c r="F2892" s="1">
        <v>3402</v>
      </c>
      <c r="G2892" s="1">
        <v>9240509</v>
      </c>
      <c r="H2892" s="1">
        <v>0</v>
      </c>
    </row>
    <row r="2893" spans="1:8" x14ac:dyDescent="0.3">
      <c r="A2893" s="1" t="s">
        <v>468</v>
      </c>
      <c r="B2893" s="1" t="s">
        <v>469</v>
      </c>
      <c r="C2893" s="1">
        <v>2020</v>
      </c>
      <c r="D2893" s="1">
        <v>24559</v>
      </c>
      <c r="E2893" s="1">
        <v>227</v>
      </c>
      <c r="F2893" s="1">
        <v>396</v>
      </c>
      <c r="G2893" s="1">
        <v>1307992</v>
      </c>
      <c r="H2893" s="1">
        <v>0</v>
      </c>
    </row>
    <row r="2894" spans="1:8" x14ac:dyDescent="0.3">
      <c r="A2894" s="1" t="s">
        <v>470</v>
      </c>
      <c r="B2894" s="1" t="s">
        <v>471</v>
      </c>
      <c r="C2894" s="1">
        <v>2020</v>
      </c>
      <c r="D2894" s="1">
        <v>27406</v>
      </c>
      <c r="E2894" s="1">
        <v>487</v>
      </c>
      <c r="F2894" s="1">
        <v>625</v>
      </c>
      <c r="G2894" s="1">
        <v>1789595</v>
      </c>
      <c r="H2894" s="1">
        <v>153</v>
      </c>
    </row>
    <row r="2895" spans="1:8" x14ac:dyDescent="0.3">
      <c r="A2895" s="1" t="s">
        <v>472</v>
      </c>
      <c r="B2895" s="1" t="s">
        <v>473</v>
      </c>
      <c r="C2895" s="1">
        <v>2020</v>
      </c>
      <c r="D2895" s="1">
        <v>24696</v>
      </c>
      <c r="E2895" s="1">
        <v>309</v>
      </c>
      <c r="F2895" s="1">
        <v>277</v>
      </c>
      <c r="G2895" s="1">
        <v>633707</v>
      </c>
      <c r="H2895" s="1">
        <v>82</v>
      </c>
    </row>
    <row r="2896" spans="1:8" x14ac:dyDescent="0.3">
      <c r="A2896" s="1" t="s">
        <v>474</v>
      </c>
      <c r="B2896" s="1" t="s">
        <v>475</v>
      </c>
      <c r="C2896" s="1">
        <v>2020</v>
      </c>
      <c r="D2896" s="1">
        <v>31491</v>
      </c>
      <c r="E2896" s="1">
        <v>523</v>
      </c>
      <c r="F2896" s="1">
        <v>383</v>
      </c>
      <c r="G2896" s="1">
        <v>1847227</v>
      </c>
      <c r="H2896" s="1">
        <v>48</v>
      </c>
    </row>
    <row r="2897" spans="1:8" x14ac:dyDescent="0.3">
      <c r="A2897" s="1" t="s">
        <v>476</v>
      </c>
      <c r="B2897" s="1" t="s">
        <v>477</v>
      </c>
      <c r="C2897" s="1">
        <v>2020</v>
      </c>
      <c r="D2897" s="1">
        <v>18695</v>
      </c>
      <c r="E2897" s="1">
        <v>187</v>
      </c>
      <c r="F2897" s="1">
        <v>236</v>
      </c>
      <c r="G2897" s="1">
        <v>1512559</v>
      </c>
      <c r="H2897" s="1">
        <v>117</v>
      </c>
    </row>
    <row r="2898" spans="1:8" x14ac:dyDescent="0.3">
      <c r="A2898" s="1" t="s">
        <v>478</v>
      </c>
      <c r="B2898" s="1" t="s">
        <v>479</v>
      </c>
      <c r="C2898" s="1">
        <v>2020</v>
      </c>
      <c r="D2898" s="1">
        <v>44626</v>
      </c>
      <c r="E2898" s="1">
        <v>1787</v>
      </c>
      <c r="F2898" s="1">
        <v>1017</v>
      </c>
      <c r="G2898" s="1">
        <v>1987879</v>
      </c>
      <c r="H2898" s="1">
        <v>109</v>
      </c>
    </row>
    <row r="2899" spans="1:8" x14ac:dyDescent="0.3">
      <c r="A2899" s="1" t="s">
        <v>480</v>
      </c>
      <c r="B2899" s="1" t="s">
        <v>481</v>
      </c>
      <c r="C2899" s="1">
        <v>2020</v>
      </c>
      <c r="D2899" s="1">
        <v>43439</v>
      </c>
      <c r="E2899" s="1">
        <v>1126</v>
      </c>
      <c r="F2899" s="1">
        <v>523</v>
      </c>
      <c r="G2899" s="1">
        <v>2148574</v>
      </c>
      <c r="H2899" s="1">
        <v>57</v>
      </c>
    </row>
    <row r="2900" spans="1:8" x14ac:dyDescent="0.3">
      <c r="A2900" s="1" t="s">
        <v>482</v>
      </c>
      <c r="B2900" s="1" t="s">
        <v>483</v>
      </c>
      <c r="C2900" s="1">
        <v>2020</v>
      </c>
      <c r="D2900" s="1">
        <v>22517</v>
      </c>
      <c r="E2900" s="1">
        <v>333</v>
      </c>
      <c r="F2900" s="1">
        <v>236</v>
      </c>
      <c r="G2900" s="1">
        <v>1650116</v>
      </c>
      <c r="H2900" s="1">
        <v>67</v>
      </c>
    </row>
    <row r="2901" spans="1:8" x14ac:dyDescent="0.3">
      <c r="A2901" s="1" t="s">
        <v>484</v>
      </c>
      <c r="B2901" s="1" t="s">
        <v>485</v>
      </c>
      <c r="C2901" s="1">
        <v>2020</v>
      </c>
      <c r="D2901" s="1">
        <v>27218</v>
      </c>
      <c r="E2901" s="1">
        <v>229</v>
      </c>
      <c r="F2901" s="1">
        <v>296</v>
      </c>
      <c r="G2901" s="1">
        <v>1197728</v>
      </c>
      <c r="H2901" s="1">
        <v>23</v>
      </c>
    </row>
    <row r="2902" spans="1:8" x14ac:dyDescent="0.3">
      <c r="A2902" s="1" t="s">
        <v>486</v>
      </c>
      <c r="B2902" s="1" t="s">
        <v>487</v>
      </c>
      <c r="C2902" s="1">
        <v>2020</v>
      </c>
      <c r="D2902" s="1">
        <v>23731</v>
      </c>
      <c r="E2902" s="1">
        <v>253</v>
      </c>
      <c r="F2902" s="1">
        <v>530</v>
      </c>
      <c r="G2902" s="1">
        <v>836789</v>
      </c>
      <c r="H2902" s="1">
        <v>0</v>
      </c>
    </row>
    <row r="2903" spans="1:8" x14ac:dyDescent="0.3">
      <c r="A2903" s="1" t="s">
        <v>488</v>
      </c>
      <c r="B2903" s="1" t="s">
        <v>489</v>
      </c>
      <c r="C2903" s="1">
        <v>2020</v>
      </c>
      <c r="D2903" s="1">
        <v>22697</v>
      </c>
      <c r="E2903" s="1">
        <v>232</v>
      </c>
      <c r="F2903" s="1">
        <v>380</v>
      </c>
      <c r="G2903" s="1">
        <v>2113825</v>
      </c>
      <c r="H2903" s="1">
        <v>32</v>
      </c>
    </row>
    <row r="2904" spans="1:8" x14ac:dyDescent="0.3">
      <c r="A2904" s="1" t="s">
        <v>490</v>
      </c>
      <c r="B2904" s="1" t="s">
        <v>310</v>
      </c>
      <c r="C2904" s="1">
        <v>2020</v>
      </c>
      <c r="D2904" s="1">
        <v>13282</v>
      </c>
      <c r="E2904" s="1">
        <v>294</v>
      </c>
      <c r="F2904" s="1">
        <v>257</v>
      </c>
      <c r="G2904" s="1">
        <v>723070</v>
      </c>
      <c r="H2904" s="1">
        <v>0</v>
      </c>
    </row>
    <row r="2905" spans="1:8" x14ac:dyDescent="0.3">
      <c r="A2905" s="1" t="s">
        <v>491</v>
      </c>
      <c r="B2905" s="1" t="s">
        <v>492</v>
      </c>
      <c r="C2905" s="1">
        <v>2020</v>
      </c>
      <c r="D2905" s="1">
        <v>33059</v>
      </c>
      <c r="E2905" s="1">
        <v>1183</v>
      </c>
      <c r="F2905" s="1">
        <v>914</v>
      </c>
      <c r="G2905" s="1">
        <v>1082813</v>
      </c>
      <c r="H2905" s="1">
        <v>80</v>
      </c>
    </row>
    <row r="2906" spans="1:8" x14ac:dyDescent="0.3">
      <c r="A2906" s="1" t="s">
        <v>493</v>
      </c>
      <c r="B2906" s="1" t="s">
        <v>494</v>
      </c>
      <c r="C2906" s="1">
        <v>2020</v>
      </c>
      <c r="D2906" s="1">
        <v>34881</v>
      </c>
      <c r="E2906" s="1">
        <v>532</v>
      </c>
      <c r="F2906" s="1">
        <v>351</v>
      </c>
      <c r="G2906" s="1">
        <v>747157</v>
      </c>
      <c r="H2906" s="1">
        <v>29</v>
      </c>
    </row>
    <row r="2907" spans="1:8" x14ac:dyDescent="0.3">
      <c r="A2907" s="1" t="s">
        <v>495</v>
      </c>
      <c r="B2907" s="1" t="s">
        <v>496</v>
      </c>
      <c r="C2907" s="1">
        <v>2020</v>
      </c>
      <c r="D2907" s="1">
        <v>41735</v>
      </c>
      <c r="E2907" s="1">
        <v>666</v>
      </c>
      <c r="F2907" s="1">
        <v>467</v>
      </c>
      <c r="G2907" s="1">
        <v>3464529</v>
      </c>
      <c r="H2907" s="1">
        <v>20</v>
      </c>
    </row>
    <row r="2908" spans="1:8" x14ac:dyDescent="0.3">
      <c r="A2908" s="1" t="s">
        <v>497</v>
      </c>
      <c r="B2908" s="1" t="s">
        <v>498</v>
      </c>
      <c r="C2908" s="1">
        <v>2020</v>
      </c>
      <c r="D2908" s="1">
        <v>39783</v>
      </c>
      <c r="E2908" s="1">
        <v>433</v>
      </c>
      <c r="F2908" s="1">
        <v>678</v>
      </c>
      <c r="G2908" s="1">
        <v>3505602</v>
      </c>
      <c r="H2908" s="1">
        <v>89</v>
      </c>
    </row>
    <row r="2909" spans="1:8" x14ac:dyDescent="0.3">
      <c r="A2909" s="1" t="s">
        <v>499</v>
      </c>
      <c r="B2909" s="1" t="s">
        <v>500</v>
      </c>
      <c r="C2909" s="1">
        <v>2020</v>
      </c>
      <c r="D2909" s="1">
        <v>77639</v>
      </c>
      <c r="E2909" s="1">
        <v>1745</v>
      </c>
      <c r="F2909" s="1">
        <v>2110</v>
      </c>
      <c r="G2909" s="1">
        <v>2050420</v>
      </c>
      <c r="H2909" s="1">
        <v>4</v>
      </c>
    </row>
    <row r="2910" spans="1:8" x14ac:dyDescent="0.3">
      <c r="A2910" s="1" t="s">
        <v>501</v>
      </c>
      <c r="B2910" s="1" t="s">
        <v>502</v>
      </c>
      <c r="C2910" s="1">
        <v>2020</v>
      </c>
      <c r="D2910" s="1">
        <v>13262</v>
      </c>
      <c r="E2910" s="1">
        <v>58</v>
      </c>
      <c r="F2910" s="1">
        <v>85</v>
      </c>
      <c r="G2910" s="1">
        <v>1271633</v>
      </c>
      <c r="H2910" s="1">
        <v>34</v>
      </c>
    </row>
    <row r="2911" spans="1:8" x14ac:dyDescent="0.3">
      <c r="A2911" s="1" t="s">
        <v>503</v>
      </c>
      <c r="B2911" s="1" t="s">
        <v>504</v>
      </c>
      <c r="C2911" s="1">
        <v>2020</v>
      </c>
      <c r="D2911" s="1">
        <v>243910</v>
      </c>
      <c r="E2911" s="1">
        <v>6558</v>
      </c>
      <c r="F2911" s="1">
        <v>8475</v>
      </c>
      <c r="G2911" s="1">
        <v>9260050</v>
      </c>
      <c r="H2911" s="1">
        <v>703</v>
      </c>
    </row>
    <row r="2912" spans="1:8" x14ac:dyDescent="0.3">
      <c r="A2912" s="1" t="s">
        <v>505</v>
      </c>
      <c r="B2912" s="1" t="s">
        <v>506</v>
      </c>
      <c r="C2912" s="1">
        <v>2020</v>
      </c>
      <c r="D2912" s="1">
        <v>117890</v>
      </c>
      <c r="E2912" s="1">
        <v>1985</v>
      </c>
      <c r="F2912" s="1">
        <v>3053</v>
      </c>
      <c r="G2912" s="1">
        <v>4538286</v>
      </c>
      <c r="H2912" s="1">
        <v>373</v>
      </c>
    </row>
    <row r="2913" spans="1:8" x14ac:dyDescent="0.3">
      <c r="A2913" s="1" t="s">
        <v>507</v>
      </c>
      <c r="B2913" s="1" t="s">
        <v>508</v>
      </c>
      <c r="C2913" s="1">
        <v>2020</v>
      </c>
      <c r="D2913" s="1">
        <v>40660</v>
      </c>
      <c r="E2913" s="1">
        <v>614</v>
      </c>
      <c r="F2913" s="1">
        <v>1177</v>
      </c>
      <c r="G2913" s="1">
        <v>1067474</v>
      </c>
      <c r="H2913" s="1">
        <v>78</v>
      </c>
    </row>
    <row r="2914" spans="1:8" x14ac:dyDescent="0.3">
      <c r="A2914" s="1" t="s">
        <v>509</v>
      </c>
      <c r="B2914" s="1" t="s">
        <v>510</v>
      </c>
      <c r="C2914" s="1">
        <v>2020</v>
      </c>
      <c r="D2914" s="1">
        <v>19393</v>
      </c>
      <c r="E2914" s="1">
        <v>41</v>
      </c>
      <c r="F2914" s="1">
        <v>455</v>
      </c>
      <c r="G2914" s="1">
        <v>388065</v>
      </c>
      <c r="H2914" s="1">
        <v>4</v>
      </c>
    </row>
    <row r="2915" spans="1:8" x14ac:dyDescent="0.3">
      <c r="A2915" s="1" t="s">
        <v>511</v>
      </c>
      <c r="B2915" s="1" t="s">
        <v>512</v>
      </c>
      <c r="C2915" s="1">
        <v>2020</v>
      </c>
      <c r="D2915" s="1">
        <v>62529</v>
      </c>
      <c r="E2915" s="1">
        <v>322</v>
      </c>
      <c r="F2915" s="1">
        <v>497</v>
      </c>
      <c r="G2915" s="1">
        <v>3444817</v>
      </c>
      <c r="H2915" s="1">
        <v>228</v>
      </c>
    </row>
    <row r="2916" spans="1:8" x14ac:dyDescent="0.3">
      <c r="A2916" s="1" t="s">
        <v>513</v>
      </c>
      <c r="B2916" s="1" t="s">
        <v>443</v>
      </c>
      <c r="C2916" s="1">
        <v>2020</v>
      </c>
      <c r="D2916" s="1">
        <v>53999</v>
      </c>
      <c r="E2916" s="1">
        <v>602</v>
      </c>
      <c r="F2916" s="1">
        <v>238</v>
      </c>
      <c r="G2916" s="1">
        <v>624002</v>
      </c>
      <c r="H2916" s="1">
        <v>12</v>
      </c>
    </row>
    <row r="2917" spans="1:8" x14ac:dyDescent="0.3">
      <c r="A2917" s="1" t="s">
        <v>514</v>
      </c>
      <c r="B2917" s="1" t="s">
        <v>515</v>
      </c>
      <c r="C2917" s="1">
        <v>2020</v>
      </c>
      <c r="D2917" s="1">
        <v>64335</v>
      </c>
      <c r="E2917" s="1">
        <v>726</v>
      </c>
      <c r="F2917" s="1">
        <v>264</v>
      </c>
      <c r="G2917" s="1">
        <v>1277078</v>
      </c>
      <c r="H2917" s="1">
        <v>58</v>
      </c>
    </row>
    <row r="2918" spans="1:8" x14ac:dyDescent="0.3">
      <c r="A2918" s="1" t="s">
        <v>516</v>
      </c>
      <c r="B2918" s="1" t="s">
        <v>517</v>
      </c>
      <c r="C2918" s="1">
        <v>2020</v>
      </c>
      <c r="D2918" s="1">
        <v>47213</v>
      </c>
      <c r="E2918" s="1">
        <v>513</v>
      </c>
      <c r="F2918" s="1">
        <v>53</v>
      </c>
      <c r="G2918" s="1">
        <v>274452</v>
      </c>
      <c r="H2918" s="1">
        <v>8</v>
      </c>
    </row>
    <row r="2919" spans="1:8" x14ac:dyDescent="0.3">
      <c r="A2919" s="1" t="s">
        <v>518</v>
      </c>
      <c r="B2919" s="1" t="s">
        <v>519</v>
      </c>
      <c r="C2919" s="1">
        <v>2020</v>
      </c>
      <c r="D2919" s="1">
        <v>40353</v>
      </c>
      <c r="E2919" s="1">
        <v>554</v>
      </c>
      <c r="F2919" s="1">
        <v>326</v>
      </c>
      <c r="G2919" s="1">
        <v>1752729</v>
      </c>
      <c r="H2919" s="1">
        <v>2</v>
      </c>
    </row>
    <row r="2920" spans="1:8" x14ac:dyDescent="0.3">
      <c r="A2920" s="1" t="s">
        <v>520</v>
      </c>
      <c r="B2920" s="1" t="s">
        <v>521</v>
      </c>
      <c r="C2920" s="1">
        <v>2020</v>
      </c>
      <c r="D2920" s="1">
        <v>27216</v>
      </c>
      <c r="E2920" s="1">
        <v>176</v>
      </c>
      <c r="F2920" s="1">
        <v>22</v>
      </c>
      <c r="G2920" s="1">
        <v>151306</v>
      </c>
      <c r="H2920" s="1">
        <v>2</v>
      </c>
    </row>
    <row r="2921" spans="1:8" x14ac:dyDescent="0.3">
      <c r="A2921" s="1" t="s">
        <v>522</v>
      </c>
      <c r="B2921" s="1" t="s">
        <v>523</v>
      </c>
      <c r="C2921" s="1">
        <v>2020</v>
      </c>
      <c r="D2921" s="1">
        <v>25289</v>
      </c>
      <c r="E2921" s="1">
        <v>279</v>
      </c>
      <c r="F2921" s="1">
        <v>53</v>
      </c>
      <c r="G2921" s="1">
        <v>442289</v>
      </c>
      <c r="H2921" s="1">
        <v>2</v>
      </c>
    </row>
    <row r="2922" spans="1:8" x14ac:dyDescent="0.3">
      <c r="A2922" s="1" t="s">
        <v>524</v>
      </c>
      <c r="B2922" s="1" t="s">
        <v>525</v>
      </c>
      <c r="C2922" s="1">
        <v>2020</v>
      </c>
      <c r="D2922" s="1">
        <v>35941</v>
      </c>
      <c r="E2922" s="1">
        <v>576</v>
      </c>
      <c r="F2922" s="1">
        <v>230</v>
      </c>
      <c r="G2922" s="1">
        <v>1630914</v>
      </c>
      <c r="H2922" s="1">
        <v>82</v>
      </c>
    </row>
    <row r="2923" spans="1:8" x14ac:dyDescent="0.3">
      <c r="A2923" s="1" t="s">
        <v>526</v>
      </c>
      <c r="B2923" s="1" t="s">
        <v>527</v>
      </c>
      <c r="C2923" s="1">
        <v>2020</v>
      </c>
      <c r="D2923" s="1">
        <v>26219</v>
      </c>
      <c r="E2923" s="1">
        <v>146</v>
      </c>
      <c r="F2923" s="1">
        <v>94</v>
      </c>
      <c r="G2923" s="1">
        <v>701632</v>
      </c>
      <c r="H2923" s="1">
        <v>0</v>
      </c>
    </row>
    <row r="2924" spans="1:8" x14ac:dyDescent="0.3">
      <c r="A2924" s="1" t="s">
        <v>528</v>
      </c>
      <c r="B2924" s="1" t="s">
        <v>529</v>
      </c>
      <c r="C2924" s="1">
        <v>2020</v>
      </c>
      <c r="D2924" s="1">
        <v>34033</v>
      </c>
      <c r="E2924" s="1">
        <v>416</v>
      </c>
      <c r="F2924" s="1">
        <v>236</v>
      </c>
      <c r="G2924" s="1">
        <v>595854</v>
      </c>
      <c r="H2924" s="1">
        <v>31</v>
      </c>
    </row>
    <row r="2925" spans="1:8" x14ac:dyDescent="0.3">
      <c r="A2925" s="1" t="s">
        <v>530</v>
      </c>
      <c r="B2925" s="1" t="s">
        <v>531</v>
      </c>
      <c r="C2925" s="1">
        <v>2020</v>
      </c>
      <c r="D2925" s="1">
        <v>36710</v>
      </c>
      <c r="E2925" s="1">
        <v>185</v>
      </c>
      <c r="F2925" s="1">
        <v>261</v>
      </c>
      <c r="G2925" s="1">
        <v>2417174</v>
      </c>
      <c r="H2925" s="1">
        <v>190</v>
      </c>
    </row>
    <row r="2926" spans="1:8" x14ac:dyDescent="0.3">
      <c r="A2926" s="1" t="s">
        <v>532</v>
      </c>
      <c r="B2926" s="1" t="s">
        <v>533</v>
      </c>
      <c r="C2926" s="1">
        <v>2020</v>
      </c>
      <c r="D2926" s="1">
        <v>24512</v>
      </c>
      <c r="E2926" s="1">
        <v>273</v>
      </c>
      <c r="F2926" s="1">
        <v>75</v>
      </c>
      <c r="G2926" s="1">
        <v>544342</v>
      </c>
      <c r="H2926" s="1">
        <v>0</v>
      </c>
    </row>
    <row r="2927" spans="1:8" x14ac:dyDescent="0.3">
      <c r="A2927" s="1" t="s">
        <v>534</v>
      </c>
      <c r="B2927" s="1" t="s">
        <v>535</v>
      </c>
      <c r="C2927" s="1">
        <v>2020</v>
      </c>
      <c r="D2927" s="1">
        <v>50937</v>
      </c>
      <c r="E2927" s="1">
        <v>774</v>
      </c>
      <c r="F2927" s="1">
        <v>357</v>
      </c>
      <c r="G2927" s="1">
        <v>2374206</v>
      </c>
      <c r="H2927" s="1">
        <v>300</v>
      </c>
    </row>
    <row r="2928" spans="1:8" x14ac:dyDescent="0.3">
      <c r="A2928" s="1" t="s">
        <v>536</v>
      </c>
      <c r="B2928" s="1" t="s">
        <v>537</v>
      </c>
      <c r="C2928" s="1">
        <v>2020</v>
      </c>
      <c r="D2928" s="1">
        <v>18802</v>
      </c>
      <c r="E2928" s="1">
        <v>254</v>
      </c>
      <c r="F2928" s="1">
        <v>104</v>
      </c>
      <c r="G2928" s="1">
        <v>218955</v>
      </c>
      <c r="H2928" s="1">
        <v>15</v>
      </c>
    </row>
    <row r="2929" spans="1:8" x14ac:dyDescent="0.3">
      <c r="A2929" s="1" t="s">
        <v>538</v>
      </c>
      <c r="B2929" s="1" t="s">
        <v>539</v>
      </c>
      <c r="C2929" s="1">
        <v>2020</v>
      </c>
      <c r="D2929" s="1">
        <v>49929</v>
      </c>
      <c r="E2929" s="1">
        <v>377</v>
      </c>
      <c r="F2929" s="1">
        <v>230</v>
      </c>
      <c r="G2929" s="1">
        <v>2666395</v>
      </c>
      <c r="H2929" s="1">
        <v>28</v>
      </c>
    </row>
    <row r="2930" spans="1:8" x14ac:dyDescent="0.3">
      <c r="A2930" s="1" t="s">
        <v>540</v>
      </c>
      <c r="B2930" s="1" t="s">
        <v>541</v>
      </c>
      <c r="C2930" s="1">
        <v>2020</v>
      </c>
      <c r="D2930" s="1">
        <v>48059</v>
      </c>
      <c r="E2930" s="1">
        <v>217</v>
      </c>
      <c r="F2930" s="1">
        <v>198</v>
      </c>
      <c r="G2930" s="1">
        <v>2050924</v>
      </c>
      <c r="H2930" s="1">
        <v>16</v>
      </c>
    </row>
    <row r="2931" spans="1:8" x14ac:dyDescent="0.3">
      <c r="A2931" s="1" t="s">
        <v>542</v>
      </c>
      <c r="B2931" s="1" t="s">
        <v>543</v>
      </c>
      <c r="C2931" s="1">
        <v>2020</v>
      </c>
      <c r="D2931" s="1">
        <v>52917</v>
      </c>
      <c r="E2931" s="1">
        <v>580</v>
      </c>
      <c r="F2931" s="1">
        <v>80</v>
      </c>
      <c r="G2931" s="1">
        <v>846845</v>
      </c>
      <c r="H2931" s="1">
        <v>20</v>
      </c>
    </row>
    <row r="2932" spans="1:8" x14ac:dyDescent="0.3">
      <c r="A2932" s="1" t="s">
        <v>544</v>
      </c>
      <c r="B2932" s="1" t="s">
        <v>545</v>
      </c>
      <c r="C2932" s="1">
        <v>2020</v>
      </c>
      <c r="D2932" s="1">
        <v>74579</v>
      </c>
      <c r="E2932" s="1">
        <v>1062</v>
      </c>
      <c r="F2932" s="1">
        <v>888</v>
      </c>
      <c r="G2932" s="1">
        <v>3766892</v>
      </c>
      <c r="H2932" s="1">
        <v>422</v>
      </c>
    </row>
    <row r="2933" spans="1:8" x14ac:dyDescent="0.3">
      <c r="A2933" s="1" t="s">
        <v>546</v>
      </c>
      <c r="B2933" s="1" t="s">
        <v>547</v>
      </c>
      <c r="C2933" s="1">
        <v>2020</v>
      </c>
      <c r="D2933" s="1">
        <v>74130</v>
      </c>
      <c r="E2933" s="1">
        <v>182</v>
      </c>
      <c r="F2933" s="1">
        <v>1353</v>
      </c>
      <c r="G2933" s="1">
        <v>4316847</v>
      </c>
      <c r="H2933" s="1">
        <v>0</v>
      </c>
    </row>
    <row r="2934" spans="1:8" x14ac:dyDescent="0.3">
      <c r="A2934" s="1" t="s">
        <v>548</v>
      </c>
      <c r="B2934" s="1" t="s">
        <v>549</v>
      </c>
      <c r="C2934" s="1">
        <v>2020</v>
      </c>
      <c r="D2934" s="1">
        <v>53880</v>
      </c>
      <c r="E2934" s="1">
        <v>253</v>
      </c>
      <c r="F2934" s="1">
        <v>789</v>
      </c>
      <c r="G2934" s="1">
        <v>9386621</v>
      </c>
      <c r="H2934" s="1">
        <v>168</v>
      </c>
    </row>
    <row r="2935" spans="1:8" x14ac:dyDescent="0.3">
      <c r="A2935" s="1" t="s">
        <v>550</v>
      </c>
      <c r="B2935" s="1" t="s">
        <v>551</v>
      </c>
      <c r="C2935" s="1">
        <v>2020</v>
      </c>
      <c r="D2935" s="1">
        <v>99705</v>
      </c>
      <c r="E2935" s="1">
        <v>588</v>
      </c>
      <c r="F2935" s="1">
        <v>1265</v>
      </c>
      <c r="G2935" s="1">
        <v>7998983</v>
      </c>
      <c r="H2935" s="1">
        <v>40</v>
      </c>
    </row>
    <row r="2936" spans="1:8" x14ac:dyDescent="0.3">
      <c r="A2936" s="1" t="s">
        <v>552</v>
      </c>
      <c r="B2936" s="1" t="s">
        <v>553</v>
      </c>
      <c r="C2936" s="1">
        <v>2020</v>
      </c>
      <c r="D2936" s="1">
        <v>51109</v>
      </c>
      <c r="E2936" s="1">
        <v>404</v>
      </c>
      <c r="F2936" s="1">
        <v>484</v>
      </c>
      <c r="G2936" s="1">
        <v>1827809</v>
      </c>
      <c r="H2936" s="1">
        <v>0</v>
      </c>
    </row>
    <row r="2937" spans="1:8" x14ac:dyDescent="0.3">
      <c r="A2937" s="1" t="s">
        <v>554</v>
      </c>
      <c r="B2937" s="1" t="s">
        <v>555</v>
      </c>
      <c r="C2937" s="1">
        <v>2020</v>
      </c>
      <c r="D2937" s="1">
        <v>81119</v>
      </c>
      <c r="E2937" s="1">
        <v>1272</v>
      </c>
      <c r="F2937" s="1">
        <v>1609</v>
      </c>
      <c r="G2937" s="1">
        <v>4974145</v>
      </c>
      <c r="H2937" s="1">
        <v>932</v>
      </c>
    </row>
    <row r="2938" spans="1:8" x14ac:dyDescent="0.3">
      <c r="A2938" s="1" t="s">
        <v>556</v>
      </c>
      <c r="B2938" s="1" t="s">
        <v>557</v>
      </c>
      <c r="C2938" s="1">
        <v>2020</v>
      </c>
      <c r="D2938" s="1">
        <v>32660</v>
      </c>
      <c r="E2938" s="1">
        <v>117</v>
      </c>
      <c r="F2938" s="1">
        <v>240</v>
      </c>
      <c r="G2938" s="1">
        <v>1687638</v>
      </c>
      <c r="H2938" s="1">
        <v>0</v>
      </c>
    </row>
    <row r="2939" spans="1:8" x14ac:dyDescent="0.3">
      <c r="A2939" s="1" t="s">
        <v>558</v>
      </c>
      <c r="B2939" s="1" t="s">
        <v>559</v>
      </c>
      <c r="C2939" s="1">
        <v>2020</v>
      </c>
      <c r="D2939" s="1">
        <v>36241</v>
      </c>
      <c r="E2939" s="1">
        <v>223</v>
      </c>
      <c r="F2939" s="1">
        <v>322</v>
      </c>
      <c r="G2939" s="1">
        <v>1109691</v>
      </c>
      <c r="H2939" s="1">
        <v>0</v>
      </c>
    </row>
    <row r="2940" spans="1:8" x14ac:dyDescent="0.3">
      <c r="A2940" s="1" t="s">
        <v>560</v>
      </c>
      <c r="B2940" s="1" t="s">
        <v>561</v>
      </c>
      <c r="C2940" s="1">
        <v>2020</v>
      </c>
      <c r="D2940" s="1">
        <v>152260</v>
      </c>
      <c r="E2940" s="1">
        <v>3451</v>
      </c>
      <c r="F2940" s="1">
        <v>1531</v>
      </c>
      <c r="G2940" s="1">
        <v>10216599</v>
      </c>
      <c r="H2940" s="1">
        <v>265</v>
      </c>
    </row>
    <row r="2941" spans="1:8" x14ac:dyDescent="0.3">
      <c r="A2941" s="1" t="s">
        <v>562</v>
      </c>
      <c r="B2941" s="1" t="s">
        <v>563</v>
      </c>
      <c r="C2941" s="1">
        <v>2020</v>
      </c>
      <c r="D2941" s="1">
        <v>29987</v>
      </c>
      <c r="E2941" s="1">
        <v>303</v>
      </c>
      <c r="F2941" s="1">
        <v>242</v>
      </c>
      <c r="G2941" s="1">
        <v>2762836</v>
      </c>
      <c r="H2941" s="1">
        <v>0</v>
      </c>
    </row>
    <row r="2942" spans="1:8" x14ac:dyDescent="0.3">
      <c r="A2942" s="1" t="s">
        <v>564</v>
      </c>
      <c r="B2942" s="1" t="s">
        <v>565</v>
      </c>
      <c r="C2942" s="1">
        <v>2020</v>
      </c>
      <c r="D2942" s="1">
        <v>22693</v>
      </c>
      <c r="E2942" s="1">
        <v>85</v>
      </c>
      <c r="F2942" s="1">
        <v>238</v>
      </c>
      <c r="G2942" s="1">
        <v>2494625</v>
      </c>
      <c r="H2942" s="1">
        <v>50</v>
      </c>
    </row>
    <row r="2943" spans="1:8" x14ac:dyDescent="0.3">
      <c r="A2943" s="1" t="s">
        <v>566</v>
      </c>
      <c r="B2943" s="1" t="s">
        <v>567</v>
      </c>
      <c r="C2943" s="1">
        <v>2020</v>
      </c>
      <c r="D2943" s="1">
        <v>60652</v>
      </c>
      <c r="E2943" s="1">
        <v>253</v>
      </c>
      <c r="F2943" s="1">
        <v>755</v>
      </c>
      <c r="G2943" s="1">
        <v>4128187</v>
      </c>
      <c r="H2943" s="1">
        <v>327</v>
      </c>
    </row>
    <row r="2944" spans="1:8" x14ac:dyDescent="0.3">
      <c r="A2944" s="1" t="s">
        <v>568</v>
      </c>
      <c r="B2944" s="1" t="s">
        <v>569</v>
      </c>
      <c r="C2944" s="1">
        <v>2020</v>
      </c>
      <c r="D2944" s="1">
        <v>51656</v>
      </c>
      <c r="E2944" s="1">
        <v>429</v>
      </c>
      <c r="F2944" s="1">
        <v>385</v>
      </c>
      <c r="G2944" s="1">
        <v>3879046</v>
      </c>
      <c r="H2944" s="1">
        <v>0</v>
      </c>
    </row>
    <row r="2945" spans="1:8" x14ac:dyDescent="0.3">
      <c r="A2945" s="1" t="s">
        <v>570</v>
      </c>
      <c r="B2945" s="1" t="s">
        <v>571</v>
      </c>
      <c r="C2945" s="1">
        <v>2020</v>
      </c>
      <c r="D2945" s="1">
        <v>31370</v>
      </c>
      <c r="E2945" s="1">
        <v>203</v>
      </c>
      <c r="F2945" s="1">
        <v>402</v>
      </c>
      <c r="G2945" s="1">
        <v>2758975</v>
      </c>
      <c r="H2945" s="1">
        <v>62</v>
      </c>
    </row>
    <row r="2946" spans="1:8" x14ac:dyDescent="0.3">
      <c r="A2946" s="1" t="s">
        <v>572</v>
      </c>
      <c r="B2946" s="1" t="s">
        <v>573</v>
      </c>
      <c r="C2946" s="1">
        <v>2020</v>
      </c>
      <c r="D2946" s="1">
        <v>93245</v>
      </c>
      <c r="E2946" s="1">
        <v>434</v>
      </c>
      <c r="F2946" s="1">
        <v>934</v>
      </c>
      <c r="G2946" s="1">
        <v>8635040</v>
      </c>
      <c r="H2946" s="1">
        <v>40</v>
      </c>
    </row>
    <row r="2947" spans="1:8" x14ac:dyDescent="0.3">
      <c r="A2947" s="1" t="s">
        <v>574</v>
      </c>
      <c r="B2947" s="1" t="s">
        <v>575</v>
      </c>
      <c r="C2947" s="1">
        <v>2020</v>
      </c>
      <c r="D2947" s="1">
        <v>22862</v>
      </c>
      <c r="E2947" s="1">
        <v>141</v>
      </c>
      <c r="F2947" s="1">
        <v>262</v>
      </c>
      <c r="G2947" s="1">
        <v>1170062</v>
      </c>
      <c r="H2947" s="1">
        <v>0</v>
      </c>
    </row>
    <row r="2948" spans="1:8" x14ac:dyDescent="0.3">
      <c r="A2948" s="1" t="s">
        <v>576</v>
      </c>
      <c r="B2948" s="1" t="s">
        <v>577</v>
      </c>
      <c r="C2948" s="1">
        <v>2020</v>
      </c>
      <c r="D2948" s="1">
        <v>52444</v>
      </c>
      <c r="E2948" s="1">
        <v>850</v>
      </c>
      <c r="F2948" s="1">
        <v>1172</v>
      </c>
      <c r="G2948" s="1">
        <v>3596001</v>
      </c>
      <c r="H2948" s="1">
        <v>340</v>
      </c>
    </row>
    <row r="2949" spans="1:8" x14ac:dyDescent="0.3">
      <c r="A2949" s="1" t="s">
        <v>578</v>
      </c>
      <c r="B2949" s="1" t="s">
        <v>579</v>
      </c>
      <c r="C2949" s="1">
        <v>2020</v>
      </c>
      <c r="D2949" s="1">
        <v>71006</v>
      </c>
      <c r="E2949" s="1">
        <v>349</v>
      </c>
      <c r="F2949" s="1">
        <v>1154</v>
      </c>
      <c r="G2949" s="1">
        <v>8260178</v>
      </c>
      <c r="H2949" s="1">
        <v>102</v>
      </c>
    </row>
    <row r="2950" spans="1:8" x14ac:dyDescent="0.3">
      <c r="A2950" s="1" t="s">
        <v>580</v>
      </c>
      <c r="B2950" s="1" t="s">
        <v>581</v>
      </c>
      <c r="C2950" s="1">
        <v>2020</v>
      </c>
      <c r="D2950" s="1">
        <v>22297</v>
      </c>
      <c r="E2950" s="1">
        <v>706</v>
      </c>
      <c r="F2950" s="1">
        <v>198</v>
      </c>
      <c r="G2950" s="1">
        <v>688530</v>
      </c>
      <c r="H2950" s="1">
        <v>0</v>
      </c>
    </row>
    <row r="2951" spans="1:8" x14ac:dyDescent="0.3">
      <c r="A2951" s="1" t="s">
        <v>582</v>
      </c>
      <c r="B2951" s="1" t="s">
        <v>583</v>
      </c>
      <c r="C2951" s="1">
        <v>2020</v>
      </c>
      <c r="D2951" s="1">
        <v>25229</v>
      </c>
      <c r="E2951" s="1">
        <v>210</v>
      </c>
      <c r="F2951" s="1">
        <v>59</v>
      </c>
      <c r="G2951" s="1">
        <v>381541</v>
      </c>
      <c r="H2951" s="1">
        <v>2</v>
      </c>
    </row>
    <row r="2952" spans="1:8" x14ac:dyDescent="0.3">
      <c r="A2952" s="1" t="s">
        <v>584</v>
      </c>
      <c r="B2952" s="1" t="s">
        <v>585</v>
      </c>
      <c r="C2952" s="1">
        <v>2020</v>
      </c>
      <c r="D2952" s="1">
        <v>30299</v>
      </c>
      <c r="E2952" s="1">
        <v>306</v>
      </c>
      <c r="F2952" s="1">
        <v>136</v>
      </c>
      <c r="G2952" s="1">
        <v>392628</v>
      </c>
      <c r="H2952" s="1">
        <v>32</v>
      </c>
    </row>
    <row r="2953" spans="1:8" x14ac:dyDescent="0.3">
      <c r="A2953" s="1" t="s">
        <v>586</v>
      </c>
      <c r="B2953" s="1" t="s">
        <v>587</v>
      </c>
      <c r="C2953" s="1">
        <v>2020</v>
      </c>
      <c r="D2953" s="1">
        <v>10876</v>
      </c>
      <c r="E2953" s="1">
        <v>43</v>
      </c>
      <c r="F2953" s="1">
        <v>15</v>
      </c>
      <c r="G2953" s="1">
        <v>76019</v>
      </c>
      <c r="H2953" s="1">
        <v>0</v>
      </c>
    </row>
    <row r="2954" spans="1:8" x14ac:dyDescent="0.3">
      <c r="A2954" s="1" t="s">
        <v>588</v>
      </c>
      <c r="B2954" s="1" t="s">
        <v>589</v>
      </c>
      <c r="C2954" s="1">
        <v>2020</v>
      </c>
      <c r="D2954" s="1">
        <v>63095</v>
      </c>
      <c r="E2954" s="1">
        <v>715</v>
      </c>
      <c r="F2954" s="1">
        <v>37</v>
      </c>
      <c r="G2954" s="1">
        <v>168421</v>
      </c>
      <c r="H2954" s="1">
        <v>58</v>
      </c>
    </row>
    <row r="2955" spans="1:8" x14ac:dyDescent="0.3">
      <c r="A2955" s="1" t="s">
        <v>590</v>
      </c>
      <c r="B2955" s="1" t="s">
        <v>591</v>
      </c>
      <c r="C2955" s="1">
        <v>2020</v>
      </c>
      <c r="D2955" s="1">
        <v>29862</v>
      </c>
      <c r="E2955" s="1">
        <v>118</v>
      </c>
      <c r="F2955" s="1">
        <v>48</v>
      </c>
      <c r="G2955" s="1">
        <v>315925</v>
      </c>
      <c r="H2955" s="1">
        <v>2</v>
      </c>
    </row>
    <row r="2956" spans="1:8" x14ac:dyDescent="0.3">
      <c r="A2956" s="1" t="s">
        <v>592</v>
      </c>
      <c r="B2956" s="1" t="s">
        <v>593</v>
      </c>
      <c r="C2956" s="1">
        <v>2020</v>
      </c>
      <c r="D2956" s="1">
        <v>18389</v>
      </c>
      <c r="E2956" s="1">
        <v>72</v>
      </c>
      <c r="F2956" s="1">
        <v>40</v>
      </c>
      <c r="G2956" s="1">
        <v>160620</v>
      </c>
      <c r="H2956" s="1">
        <v>4</v>
      </c>
    </row>
    <row r="2957" spans="1:8" x14ac:dyDescent="0.3">
      <c r="A2957" s="1" t="s">
        <v>594</v>
      </c>
      <c r="B2957" s="1" t="s">
        <v>595</v>
      </c>
      <c r="C2957" s="1">
        <v>2020</v>
      </c>
      <c r="D2957" s="1">
        <v>41148</v>
      </c>
      <c r="E2957" s="1">
        <v>142</v>
      </c>
      <c r="F2957" s="1">
        <v>145</v>
      </c>
      <c r="G2957" s="1">
        <v>624433</v>
      </c>
      <c r="H2957" s="1">
        <v>2</v>
      </c>
    </row>
    <row r="2958" spans="1:8" x14ac:dyDescent="0.3">
      <c r="A2958" s="1" t="s">
        <v>596</v>
      </c>
      <c r="B2958" s="1" t="s">
        <v>597</v>
      </c>
      <c r="C2958" s="1">
        <v>2020</v>
      </c>
      <c r="D2958" s="1">
        <v>14617</v>
      </c>
      <c r="E2958" s="1">
        <v>47</v>
      </c>
      <c r="F2958" s="1">
        <v>28</v>
      </c>
      <c r="G2958" s="1">
        <v>324078</v>
      </c>
      <c r="H2958" s="1">
        <v>22</v>
      </c>
    </row>
    <row r="2959" spans="1:8" x14ac:dyDescent="0.3">
      <c r="A2959" s="1" t="s">
        <v>598</v>
      </c>
      <c r="B2959" s="1" t="s">
        <v>599</v>
      </c>
      <c r="C2959" s="1">
        <v>2020</v>
      </c>
      <c r="D2959" s="1">
        <v>25951</v>
      </c>
      <c r="E2959" s="1">
        <v>151</v>
      </c>
      <c r="F2959" s="1">
        <v>28</v>
      </c>
      <c r="G2959" s="1">
        <v>413255</v>
      </c>
      <c r="H2959" s="1">
        <v>12</v>
      </c>
    </row>
    <row r="2960" spans="1:8" x14ac:dyDescent="0.3">
      <c r="A2960" s="1" t="s">
        <v>600</v>
      </c>
      <c r="B2960" s="1" t="s">
        <v>601</v>
      </c>
      <c r="C2960" s="1">
        <v>2020</v>
      </c>
      <c r="D2960" s="1">
        <v>30083</v>
      </c>
      <c r="E2960" s="1">
        <v>108</v>
      </c>
      <c r="F2960" s="1">
        <v>113</v>
      </c>
      <c r="G2960" s="1">
        <v>991303</v>
      </c>
      <c r="H2960" s="1">
        <v>0</v>
      </c>
    </row>
    <row r="2961" spans="1:8" x14ac:dyDescent="0.3">
      <c r="A2961" s="1" t="s">
        <v>602</v>
      </c>
      <c r="B2961" s="1" t="s">
        <v>603</v>
      </c>
      <c r="C2961" s="1">
        <v>2020</v>
      </c>
      <c r="D2961" s="1">
        <v>32772</v>
      </c>
      <c r="E2961" s="1">
        <v>140</v>
      </c>
      <c r="F2961" s="1">
        <v>182</v>
      </c>
      <c r="G2961" s="1">
        <v>1480139</v>
      </c>
      <c r="H2961" s="1">
        <v>65</v>
      </c>
    </row>
    <row r="2962" spans="1:8" x14ac:dyDescent="0.3">
      <c r="A2962" s="1" t="s">
        <v>604</v>
      </c>
      <c r="B2962" s="1" t="s">
        <v>605</v>
      </c>
      <c r="C2962" s="1">
        <v>2020</v>
      </c>
      <c r="D2962" s="1">
        <v>24215</v>
      </c>
      <c r="E2962" s="1">
        <v>249</v>
      </c>
      <c r="F2962" s="1">
        <v>76</v>
      </c>
      <c r="G2962" s="1">
        <v>307690</v>
      </c>
      <c r="H2962" s="1">
        <v>4</v>
      </c>
    </row>
    <row r="2963" spans="1:8" x14ac:dyDescent="0.3">
      <c r="A2963" s="1" t="s">
        <v>606</v>
      </c>
      <c r="B2963" s="1" t="s">
        <v>607</v>
      </c>
      <c r="C2963" s="1">
        <v>2020</v>
      </c>
      <c r="D2963" s="1">
        <v>16595</v>
      </c>
      <c r="E2963" s="1">
        <v>128</v>
      </c>
      <c r="F2963" s="1">
        <v>20</v>
      </c>
      <c r="G2963" s="1">
        <v>93330</v>
      </c>
      <c r="H2963" s="1">
        <v>0</v>
      </c>
    </row>
    <row r="2964" spans="1:8" x14ac:dyDescent="0.3">
      <c r="A2964" s="1" t="s">
        <v>608</v>
      </c>
      <c r="B2964" s="1" t="s">
        <v>609</v>
      </c>
      <c r="C2964" s="1">
        <v>2020</v>
      </c>
      <c r="D2964" s="1">
        <v>89159</v>
      </c>
      <c r="E2964" s="1">
        <v>1545</v>
      </c>
      <c r="F2964" s="1">
        <v>2160</v>
      </c>
      <c r="G2964" s="1">
        <v>2065220</v>
      </c>
      <c r="H2964" s="1">
        <v>119</v>
      </c>
    </row>
    <row r="2965" spans="1:8" x14ac:dyDescent="0.3">
      <c r="A2965" s="1" t="s">
        <v>610</v>
      </c>
      <c r="B2965" s="1" t="s">
        <v>611</v>
      </c>
      <c r="C2965" s="1">
        <v>2020</v>
      </c>
      <c r="D2965" s="1">
        <v>20770</v>
      </c>
      <c r="E2965" s="1">
        <v>70</v>
      </c>
      <c r="F2965" s="1">
        <v>209</v>
      </c>
      <c r="G2965" s="1">
        <v>2064585</v>
      </c>
      <c r="H2965" s="1">
        <v>14</v>
      </c>
    </row>
    <row r="2966" spans="1:8" x14ac:dyDescent="0.3">
      <c r="A2966" s="1" t="s">
        <v>612</v>
      </c>
      <c r="B2966" s="1" t="s">
        <v>613</v>
      </c>
      <c r="C2966" s="1">
        <v>2020</v>
      </c>
      <c r="D2966" s="1">
        <v>14411</v>
      </c>
      <c r="E2966" s="1">
        <v>69</v>
      </c>
      <c r="F2966" s="1">
        <v>168</v>
      </c>
      <c r="G2966" s="1">
        <v>919286</v>
      </c>
      <c r="H2966" s="1">
        <v>5</v>
      </c>
    </row>
    <row r="2967" spans="1:8" x14ac:dyDescent="0.3">
      <c r="A2967" s="1" t="s">
        <v>614</v>
      </c>
      <c r="B2967" s="1" t="s">
        <v>615</v>
      </c>
      <c r="C2967" s="1">
        <v>2020</v>
      </c>
      <c r="D2967" s="1">
        <v>22034</v>
      </c>
      <c r="E2967" s="1">
        <v>223</v>
      </c>
      <c r="F2967" s="1">
        <v>282</v>
      </c>
      <c r="G2967" s="1">
        <v>946965</v>
      </c>
      <c r="H2967" s="1">
        <v>2</v>
      </c>
    </row>
    <row r="2968" spans="1:8" x14ac:dyDescent="0.3">
      <c r="A2968" s="1" t="s">
        <v>616</v>
      </c>
      <c r="B2968" s="1" t="s">
        <v>617</v>
      </c>
      <c r="C2968" s="1">
        <v>2020</v>
      </c>
      <c r="D2968" s="1">
        <v>18518</v>
      </c>
      <c r="E2968" s="1">
        <v>127</v>
      </c>
      <c r="F2968" s="1">
        <v>116</v>
      </c>
      <c r="G2968" s="1">
        <v>398189</v>
      </c>
      <c r="H2968" s="1">
        <v>24</v>
      </c>
    </row>
    <row r="2969" spans="1:8" x14ac:dyDescent="0.3">
      <c r="A2969" s="1" t="s">
        <v>618</v>
      </c>
      <c r="B2969" s="1" t="s">
        <v>619</v>
      </c>
      <c r="C2969" s="1">
        <v>2020</v>
      </c>
      <c r="D2969" s="1">
        <v>34051</v>
      </c>
      <c r="E2969" s="1">
        <v>602</v>
      </c>
      <c r="F2969" s="1">
        <v>755</v>
      </c>
      <c r="G2969" s="1">
        <v>1162934</v>
      </c>
      <c r="H2969" s="1">
        <v>52</v>
      </c>
    </row>
    <row r="2970" spans="1:8" x14ac:dyDescent="0.3">
      <c r="A2970" s="1" t="s">
        <v>620</v>
      </c>
      <c r="B2970" s="1" t="s">
        <v>621</v>
      </c>
      <c r="C2970" s="1">
        <v>2020</v>
      </c>
      <c r="D2970" s="1">
        <v>22211</v>
      </c>
      <c r="E2970" s="1">
        <v>282</v>
      </c>
      <c r="F2970" s="1">
        <v>545</v>
      </c>
      <c r="G2970" s="1">
        <v>1225995</v>
      </c>
      <c r="H2970" s="1">
        <v>6</v>
      </c>
    </row>
    <row r="2971" spans="1:8" x14ac:dyDescent="0.3">
      <c r="A2971" s="1" t="s">
        <v>622</v>
      </c>
      <c r="B2971" s="1" t="s">
        <v>623</v>
      </c>
      <c r="C2971" s="1">
        <v>2020</v>
      </c>
      <c r="D2971" s="1">
        <v>31836</v>
      </c>
      <c r="E2971" s="1">
        <v>482</v>
      </c>
      <c r="F2971" s="1">
        <v>469</v>
      </c>
      <c r="G2971" s="1">
        <v>690481</v>
      </c>
      <c r="H2971" s="1">
        <v>7</v>
      </c>
    </row>
    <row r="2972" spans="1:8" x14ac:dyDescent="0.3">
      <c r="A2972" s="1" t="s">
        <v>624</v>
      </c>
      <c r="B2972" s="1" t="s">
        <v>625</v>
      </c>
      <c r="C2972" s="1">
        <v>2020</v>
      </c>
      <c r="D2972" s="1">
        <v>23680</v>
      </c>
      <c r="E2972" s="1">
        <v>58</v>
      </c>
      <c r="F2972" s="1">
        <v>275</v>
      </c>
      <c r="G2972" s="1">
        <v>1639289</v>
      </c>
      <c r="H2972" s="1">
        <v>10</v>
      </c>
    </row>
    <row r="2973" spans="1:8" x14ac:dyDescent="0.3">
      <c r="A2973" s="1" t="s">
        <v>626</v>
      </c>
      <c r="B2973" s="1" t="s">
        <v>627</v>
      </c>
      <c r="C2973" s="1">
        <v>2020</v>
      </c>
      <c r="D2973" s="1">
        <v>15104</v>
      </c>
      <c r="E2973" s="1">
        <v>66</v>
      </c>
      <c r="F2973" s="1">
        <v>165</v>
      </c>
      <c r="G2973" s="1">
        <v>993675</v>
      </c>
      <c r="H2973" s="1">
        <v>44</v>
      </c>
    </row>
    <row r="2974" spans="1:8" x14ac:dyDescent="0.3">
      <c r="A2974" s="1" t="s">
        <v>628</v>
      </c>
      <c r="B2974" s="1" t="s">
        <v>629</v>
      </c>
      <c r="C2974" s="1">
        <v>2020</v>
      </c>
      <c r="D2974" s="1">
        <v>18303</v>
      </c>
      <c r="E2974" s="1">
        <v>96</v>
      </c>
      <c r="F2974" s="1">
        <v>197</v>
      </c>
      <c r="G2974" s="1">
        <v>1205133</v>
      </c>
      <c r="H2974" s="1">
        <v>0</v>
      </c>
    </row>
    <row r="2975" spans="1:8" x14ac:dyDescent="0.3">
      <c r="A2975" s="1" t="s">
        <v>630</v>
      </c>
      <c r="B2975" s="1" t="s">
        <v>631</v>
      </c>
      <c r="C2975" s="1">
        <v>2020</v>
      </c>
      <c r="D2975" s="1">
        <v>10877</v>
      </c>
      <c r="E2975" s="1">
        <v>117</v>
      </c>
      <c r="F2975" s="1">
        <v>118</v>
      </c>
      <c r="G2975" s="1">
        <v>582967</v>
      </c>
      <c r="H2975" s="1">
        <v>0</v>
      </c>
    </row>
    <row r="2976" spans="1:8" x14ac:dyDescent="0.3">
      <c r="A2976" s="1" t="s">
        <v>632</v>
      </c>
      <c r="B2976" s="1" t="s">
        <v>633</v>
      </c>
      <c r="C2976" s="1">
        <v>2020</v>
      </c>
      <c r="D2976" s="1">
        <v>13954</v>
      </c>
      <c r="E2976" s="1">
        <v>205</v>
      </c>
      <c r="F2976" s="1">
        <v>56</v>
      </c>
      <c r="G2976" s="1">
        <v>328868</v>
      </c>
      <c r="H2976" s="1">
        <v>2</v>
      </c>
    </row>
    <row r="2977" spans="1:8" x14ac:dyDescent="0.3">
      <c r="A2977" s="1" t="s">
        <v>634</v>
      </c>
      <c r="B2977" s="1" t="s">
        <v>635</v>
      </c>
      <c r="C2977" s="1">
        <v>2020</v>
      </c>
      <c r="D2977" s="1">
        <v>12050</v>
      </c>
      <c r="E2977" s="1">
        <v>78</v>
      </c>
      <c r="F2977" s="1">
        <v>171</v>
      </c>
      <c r="G2977" s="1">
        <v>1006379</v>
      </c>
      <c r="H2977" s="1">
        <v>8</v>
      </c>
    </row>
    <row r="2978" spans="1:8" x14ac:dyDescent="0.3">
      <c r="A2978" s="1" t="s">
        <v>636</v>
      </c>
      <c r="B2978" s="1" t="s">
        <v>637</v>
      </c>
      <c r="C2978" s="1">
        <v>2020</v>
      </c>
      <c r="D2978" s="1">
        <v>45411</v>
      </c>
      <c r="E2978" s="1">
        <v>854</v>
      </c>
      <c r="F2978" s="1">
        <v>720</v>
      </c>
      <c r="G2978" s="1">
        <v>1573059</v>
      </c>
      <c r="H2978" s="1">
        <v>6</v>
      </c>
    </row>
    <row r="2979" spans="1:8" x14ac:dyDescent="0.3">
      <c r="A2979" s="1" t="s">
        <v>638</v>
      </c>
      <c r="B2979" s="1" t="s">
        <v>639</v>
      </c>
      <c r="C2979" s="1">
        <v>2020</v>
      </c>
      <c r="D2979" s="1">
        <v>37108</v>
      </c>
      <c r="E2979" s="1">
        <v>482</v>
      </c>
      <c r="F2979" s="1">
        <v>623</v>
      </c>
      <c r="G2979" s="1">
        <v>1103708</v>
      </c>
      <c r="H2979" s="1">
        <v>22</v>
      </c>
    </row>
    <row r="2980" spans="1:8" x14ac:dyDescent="0.3">
      <c r="A2980" s="1" t="s">
        <v>640</v>
      </c>
      <c r="B2980" s="1" t="s">
        <v>641</v>
      </c>
      <c r="C2980" s="1">
        <v>2020</v>
      </c>
      <c r="D2980" s="1">
        <v>19297</v>
      </c>
      <c r="E2980" s="1">
        <v>111</v>
      </c>
      <c r="F2980" s="1">
        <v>173</v>
      </c>
      <c r="G2980" s="1">
        <v>1487348</v>
      </c>
      <c r="H2980" s="1">
        <v>0</v>
      </c>
    </row>
    <row r="2981" spans="1:8" x14ac:dyDescent="0.3">
      <c r="A2981" s="1" t="s">
        <v>642</v>
      </c>
      <c r="B2981" s="1" t="s">
        <v>643</v>
      </c>
      <c r="C2981" s="1">
        <v>2020</v>
      </c>
      <c r="D2981" s="1">
        <v>23686</v>
      </c>
      <c r="E2981" s="1">
        <v>319</v>
      </c>
      <c r="F2981" s="1">
        <v>273</v>
      </c>
      <c r="G2981" s="1">
        <v>496179</v>
      </c>
      <c r="H2981" s="1">
        <v>2</v>
      </c>
    </row>
    <row r="2982" spans="1:8" x14ac:dyDescent="0.3">
      <c r="A2982" s="1" t="s">
        <v>644</v>
      </c>
      <c r="B2982" s="1" t="s">
        <v>645</v>
      </c>
      <c r="C2982" s="1">
        <v>2020</v>
      </c>
      <c r="D2982" s="1">
        <v>9275</v>
      </c>
      <c r="E2982" s="1">
        <v>29</v>
      </c>
      <c r="F2982" s="1">
        <v>92</v>
      </c>
      <c r="G2982" s="1">
        <v>1438658</v>
      </c>
      <c r="H2982" s="1">
        <v>0</v>
      </c>
    </row>
    <row r="2983" spans="1:8" x14ac:dyDescent="0.3">
      <c r="A2983" s="1" t="s">
        <v>646</v>
      </c>
      <c r="B2983" s="1" t="s">
        <v>647</v>
      </c>
      <c r="C2983" s="1">
        <v>2020</v>
      </c>
      <c r="D2983" s="1">
        <v>8493</v>
      </c>
      <c r="E2983" s="1">
        <v>73</v>
      </c>
      <c r="F2983" s="1">
        <v>94</v>
      </c>
      <c r="G2983" s="1">
        <v>467923</v>
      </c>
      <c r="H2983" s="1">
        <v>6</v>
      </c>
    </row>
    <row r="2984" spans="1:8" x14ac:dyDescent="0.3">
      <c r="A2984" s="1" t="s">
        <v>648</v>
      </c>
      <c r="B2984" s="1" t="s">
        <v>649</v>
      </c>
      <c r="C2984" s="1">
        <v>2020</v>
      </c>
      <c r="D2984" s="1">
        <v>48245</v>
      </c>
      <c r="E2984" s="1">
        <v>608</v>
      </c>
      <c r="F2984" s="1">
        <v>1325</v>
      </c>
      <c r="G2984" s="1">
        <v>3963780</v>
      </c>
      <c r="H2984" s="1">
        <v>0</v>
      </c>
    </row>
    <row r="2985" spans="1:8" x14ac:dyDescent="0.3">
      <c r="A2985" s="1" t="s">
        <v>650</v>
      </c>
      <c r="B2985" s="1" t="s">
        <v>651</v>
      </c>
      <c r="C2985" s="1">
        <v>2020</v>
      </c>
      <c r="D2985" s="1">
        <v>81152</v>
      </c>
      <c r="E2985" s="1">
        <v>1509</v>
      </c>
      <c r="F2985" s="1">
        <v>2121</v>
      </c>
      <c r="G2985" s="1">
        <v>4713240</v>
      </c>
      <c r="H2985" s="1">
        <v>22</v>
      </c>
    </row>
    <row r="2986" spans="1:8" x14ac:dyDescent="0.3">
      <c r="A2986" s="1" t="s">
        <v>652</v>
      </c>
      <c r="B2986" s="1" t="s">
        <v>653</v>
      </c>
      <c r="C2986" s="1">
        <v>2020</v>
      </c>
      <c r="D2986" s="1">
        <v>15505</v>
      </c>
      <c r="E2986" s="1">
        <v>166</v>
      </c>
      <c r="F2986" s="1">
        <v>68</v>
      </c>
      <c r="G2986" s="1">
        <v>784249</v>
      </c>
      <c r="H2986" s="1">
        <v>16</v>
      </c>
    </row>
    <row r="2987" spans="1:8" x14ac:dyDescent="0.3">
      <c r="A2987" s="1" t="s">
        <v>654</v>
      </c>
      <c r="B2987" s="1" t="s">
        <v>655</v>
      </c>
      <c r="C2987" s="1">
        <v>2020</v>
      </c>
      <c r="D2987" s="1">
        <v>28223</v>
      </c>
      <c r="E2987" s="1">
        <v>208</v>
      </c>
      <c r="F2987" s="1">
        <v>113</v>
      </c>
      <c r="G2987" s="1">
        <v>1260757</v>
      </c>
      <c r="H2987" s="1">
        <v>30</v>
      </c>
    </row>
    <row r="2988" spans="1:8" x14ac:dyDescent="0.3">
      <c r="A2988" s="1" t="s">
        <v>656</v>
      </c>
      <c r="B2988" s="1" t="s">
        <v>657</v>
      </c>
      <c r="C2988" s="1">
        <v>2020</v>
      </c>
      <c r="D2988" s="1">
        <v>53211</v>
      </c>
      <c r="E2988" s="1">
        <v>903</v>
      </c>
      <c r="F2988" s="1">
        <v>488</v>
      </c>
      <c r="G2988" s="1">
        <v>5932204</v>
      </c>
      <c r="H2988" s="1">
        <v>34</v>
      </c>
    </row>
    <row r="2989" spans="1:8" x14ac:dyDescent="0.3">
      <c r="A2989" s="1" t="s">
        <v>658</v>
      </c>
      <c r="B2989" s="1" t="s">
        <v>659</v>
      </c>
      <c r="C2989" s="1">
        <v>2020</v>
      </c>
      <c r="D2989" s="1">
        <v>23025</v>
      </c>
      <c r="E2989" s="1">
        <v>329</v>
      </c>
      <c r="F2989" s="1">
        <v>127</v>
      </c>
      <c r="G2989" s="1">
        <v>892221</v>
      </c>
      <c r="H2989" s="1">
        <v>0</v>
      </c>
    </row>
    <row r="2990" spans="1:8" x14ac:dyDescent="0.3">
      <c r="A2990" s="1" t="s">
        <v>660</v>
      </c>
      <c r="B2990" s="1" t="s">
        <v>292</v>
      </c>
      <c r="C2990" s="1">
        <v>2020</v>
      </c>
      <c r="D2990" s="1">
        <v>15506</v>
      </c>
      <c r="E2990" s="1">
        <v>197</v>
      </c>
      <c r="F2990" s="1">
        <v>152</v>
      </c>
      <c r="G2990" s="1">
        <v>1046433</v>
      </c>
      <c r="H2990" s="1">
        <v>0</v>
      </c>
    </row>
    <row r="2991" spans="1:8" x14ac:dyDescent="0.3">
      <c r="A2991" s="1" t="s">
        <v>661</v>
      </c>
      <c r="B2991" s="1" t="s">
        <v>662</v>
      </c>
      <c r="C2991" s="1">
        <v>2020</v>
      </c>
      <c r="D2991" s="1">
        <v>22960</v>
      </c>
      <c r="E2991" s="1">
        <v>560</v>
      </c>
      <c r="F2991" s="1">
        <v>297</v>
      </c>
      <c r="G2991" s="1">
        <v>823383</v>
      </c>
      <c r="H2991" s="1">
        <v>8</v>
      </c>
    </row>
    <row r="2992" spans="1:8" x14ac:dyDescent="0.3">
      <c r="A2992" s="1" t="s">
        <v>663</v>
      </c>
      <c r="B2992" s="1" t="s">
        <v>664</v>
      </c>
      <c r="C2992" s="1">
        <v>2020</v>
      </c>
      <c r="D2992" s="1">
        <v>24091</v>
      </c>
      <c r="E2992" s="1">
        <v>231</v>
      </c>
      <c r="F2992" s="1">
        <v>10</v>
      </c>
      <c r="G2992" s="1">
        <v>100521</v>
      </c>
      <c r="H2992" s="1">
        <v>2</v>
      </c>
    </row>
    <row r="2993" spans="1:8" x14ac:dyDescent="0.3">
      <c r="A2993" s="1" t="s">
        <v>665</v>
      </c>
      <c r="B2993" s="1" t="s">
        <v>666</v>
      </c>
      <c r="C2993" s="1">
        <v>2020</v>
      </c>
      <c r="D2993" s="1">
        <v>18250</v>
      </c>
      <c r="E2993" s="1">
        <v>361</v>
      </c>
      <c r="F2993" s="1">
        <v>148</v>
      </c>
      <c r="G2993" s="1">
        <v>451524</v>
      </c>
      <c r="H2993" s="1">
        <v>6</v>
      </c>
    </row>
    <row r="2994" spans="1:8" x14ac:dyDescent="0.3">
      <c r="A2994" s="1" t="s">
        <v>667</v>
      </c>
      <c r="B2994" s="1" t="s">
        <v>668</v>
      </c>
      <c r="C2994" s="1">
        <v>2020</v>
      </c>
      <c r="D2994" s="1">
        <v>29734</v>
      </c>
      <c r="E2994" s="1">
        <v>239</v>
      </c>
      <c r="F2994" s="1">
        <v>108</v>
      </c>
      <c r="G2994" s="1">
        <v>1153394</v>
      </c>
      <c r="H2994" s="1">
        <v>0</v>
      </c>
    </row>
    <row r="2995" spans="1:8" x14ac:dyDescent="0.3">
      <c r="A2995" s="1" t="s">
        <v>669</v>
      </c>
      <c r="B2995" s="1" t="s">
        <v>670</v>
      </c>
      <c r="C2995" s="1">
        <v>2020</v>
      </c>
      <c r="D2995" s="1">
        <v>38418</v>
      </c>
      <c r="E2995" s="1">
        <v>505</v>
      </c>
      <c r="F2995" s="1">
        <v>56</v>
      </c>
      <c r="G2995" s="1">
        <v>355465</v>
      </c>
      <c r="H2995" s="1">
        <v>8</v>
      </c>
    </row>
    <row r="2996" spans="1:8" x14ac:dyDescent="0.3">
      <c r="A2996" s="1" t="s">
        <v>671</v>
      </c>
      <c r="B2996" s="1" t="s">
        <v>672</v>
      </c>
      <c r="C2996" s="1">
        <v>2020</v>
      </c>
      <c r="D2996" s="1">
        <v>26141</v>
      </c>
      <c r="E2996" s="1">
        <v>399</v>
      </c>
      <c r="F2996" s="1">
        <v>344</v>
      </c>
      <c r="G2996" s="1">
        <v>1924017</v>
      </c>
      <c r="H2996" s="1">
        <v>20</v>
      </c>
    </row>
    <row r="2997" spans="1:8" x14ac:dyDescent="0.3">
      <c r="A2997" s="1" t="s">
        <v>673</v>
      </c>
      <c r="B2997" s="1" t="s">
        <v>674</v>
      </c>
      <c r="C2997" s="1">
        <v>2020</v>
      </c>
      <c r="D2997" s="1">
        <v>24514</v>
      </c>
      <c r="E2997" s="1">
        <v>244</v>
      </c>
      <c r="F2997" s="1">
        <v>221</v>
      </c>
      <c r="G2997" s="1">
        <v>1681219</v>
      </c>
      <c r="H2997" s="1">
        <v>5</v>
      </c>
    </row>
    <row r="2998" spans="1:8" x14ac:dyDescent="0.3">
      <c r="A2998" s="1" t="s">
        <v>675</v>
      </c>
      <c r="B2998" s="1" t="s">
        <v>676</v>
      </c>
      <c r="C2998" s="1">
        <v>2020</v>
      </c>
      <c r="D2998" s="1">
        <v>17994</v>
      </c>
      <c r="E2998" s="1">
        <v>640</v>
      </c>
      <c r="F2998" s="1">
        <v>260</v>
      </c>
      <c r="G2998" s="1">
        <v>99102</v>
      </c>
      <c r="H2998" s="1">
        <v>13</v>
      </c>
    </row>
    <row r="2999" spans="1:8" x14ac:dyDescent="0.3">
      <c r="A2999" s="1" t="s">
        <v>677</v>
      </c>
      <c r="B2999" s="1" t="s">
        <v>678</v>
      </c>
      <c r="C2999" s="1">
        <v>2020</v>
      </c>
      <c r="D2999" s="1">
        <v>12973</v>
      </c>
      <c r="E2999" s="1">
        <v>126</v>
      </c>
      <c r="F2999" s="1">
        <v>89</v>
      </c>
      <c r="G2999" s="1">
        <v>606662</v>
      </c>
      <c r="H2999" s="1">
        <v>10</v>
      </c>
    </row>
    <row r="3000" spans="1:8" x14ac:dyDescent="0.3">
      <c r="A3000" s="1" t="s">
        <v>679</v>
      </c>
      <c r="B3000" s="1" t="s">
        <v>680</v>
      </c>
      <c r="C3000" s="1">
        <v>2020</v>
      </c>
      <c r="D3000" s="1">
        <v>24990</v>
      </c>
      <c r="E3000" s="1">
        <v>382</v>
      </c>
      <c r="F3000" s="1">
        <v>196</v>
      </c>
      <c r="G3000" s="1">
        <v>397573</v>
      </c>
      <c r="H3000" s="1">
        <v>9</v>
      </c>
    </row>
    <row r="3001" spans="1:8" x14ac:dyDescent="0.3">
      <c r="A3001" s="1" t="s">
        <v>681</v>
      </c>
      <c r="B3001" s="1" t="s">
        <v>682</v>
      </c>
      <c r="C3001" s="1">
        <v>2020</v>
      </c>
      <c r="D3001" s="1">
        <v>20078</v>
      </c>
      <c r="E3001" s="1">
        <v>389</v>
      </c>
      <c r="F3001" s="1">
        <v>368</v>
      </c>
      <c r="G3001" s="1">
        <v>792620</v>
      </c>
      <c r="H3001" s="1">
        <v>10</v>
      </c>
    </row>
    <row r="3002" spans="1:8" x14ac:dyDescent="0.3">
      <c r="A3002" s="1" t="s">
        <v>683</v>
      </c>
      <c r="B3002" s="1" t="s">
        <v>314</v>
      </c>
      <c r="C3002" s="1">
        <v>2020</v>
      </c>
      <c r="D3002" s="1">
        <v>55331</v>
      </c>
      <c r="E3002" s="1">
        <v>900</v>
      </c>
      <c r="F3002" s="1">
        <v>487</v>
      </c>
      <c r="G3002" s="1">
        <v>3053355</v>
      </c>
      <c r="H3002" s="1">
        <v>68</v>
      </c>
    </row>
    <row r="3003" spans="1:8" x14ac:dyDescent="0.3">
      <c r="A3003" s="1" t="s">
        <v>684</v>
      </c>
      <c r="B3003" s="1" t="s">
        <v>685</v>
      </c>
      <c r="C3003" s="1">
        <v>2020</v>
      </c>
      <c r="D3003" s="1">
        <v>17773</v>
      </c>
      <c r="E3003" s="1">
        <v>298</v>
      </c>
      <c r="F3003" s="1">
        <v>89</v>
      </c>
      <c r="G3003" s="1">
        <v>611473</v>
      </c>
      <c r="H3003" s="1">
        <v>0</v>
      </c>
    </row>
    <row r="3004" spans="1:8" x14ac:dyDescent="0.3">
      <c r="A3004" s="1" t="s">
        <v>686</v>
      </c>
      <c r="B3004" s="1" t="s">
        <v>687</v>
      </c>
      <c r="C3004" s="1">
        <v>2020</v>
      </c>
      <c r="D3004" s="1">
        <v>47804</v>
      </c>
      <c r="E3004" s="1">
        <v>519</v>
      </c>
      <c r="F3004" s="1">
        <v>718</v>
      </c>
      <c r="G3004" s="1">
        <v>2786447</v>
      </c>
      <c r="H3004" s="1">
        <v>12</v>
      </c>
    </row>
    <row r="3005" spans="1:8" x14ac:dyDescent="0.3">
      <c r="A3005" s="1" t="s">
        <v>688</v>
      </c>
      <c r="B3005" s="1" t="s">
        <v>689</v>
      </c>
      <c r="C3005" s="1">
        <v>2020</v>
      </c>
      <c r="D3005" s="1">
        <v>19356</v>
      </c>
      <c r="E3005" s="1">
        <v>239</v>
      </c>
      <c r="F3005" s="1">
        <v>55</v>
      </c>
      <c r="G3005" s="1">
        <v>1337114</v>
      </c>
      <c r="H3005" s="1">
        <v>80</v>
      </c>
    </row>
    <row r="3006" spans="1:8" x14ac:dyDescent="0.3">
      <c r="A3006" s="1" t="s">
        <v>690</v>
      </c>
      <c r="B3006" s="1" t="s">
        <v>691</v>
      </c>
      <c r="C3006" s="1">
        <v>2020</v>
      </c>
      <c r="D3006" s="1">
        <v>148704</v>
      </c>
      <c r="E3006" s="1">
        <v>4653</v>
      </c>
      <c r="F3006" s="1">
        <v>3485</v>
      </c>
      <c r="G3006" s="1">
        <v>2818228</v>
      </c>
      <c r="H3006" s="1">
        <v>66</v>
      </c>
    </row>
    <row r="3007" spans="1:8" x14ac:dyDescent="0.3">
      <c r="A3007" s="1" t="s">
        <v>692</v>
      </c>
      <c r="B3007" s="1" t="s">
        <v>693</v>
      </c>
      <c r="C3007" s="1">
        <v>2020</v>
      </c>
      <c r="D3007" s="1">
        <v>20156</v>
      </c>
      <c r="E3007" s="1">
        <v>174</v>
      </c>
      <c r="F3007" s="1">
        <v>165</v>
      </c>
      <c r="G3007" s="1">
        <v>691689</v>
      </c>
      <c r="H3007" s="1">
        <v>0</v>
      </c>
    </row>
    <row r="3008" spans="1:8" x14ac:dyDescent="0.3">
      <c r="A3008" s="1" t="s">
        <v>694</v>
      </c>
      <c r="B3008" s="1" t="s">
        <v>695</v>
      </c>
      <c r="C3008" s="1">
        <v>2020</v>
      </c>
      <c r="D3008" s="1">
        <v>19435</v>
      </c>
      <c r="E3008" s="1">
        <v>271</v>
      </c>
      <c r="F3008" s="1">
        <v>82</v>
      </c>
      <c r="G3008" s="1">
        <v>670714</v>
      </c>
      <c r="H3008" s="1">
        <v>0</v>
      </c>
    </row>
    <row r="3009" spans="1:8" x14ac:dyDescent="0.3">
      <c r="A3009" s="1" t="s">
        <v>696</v>
      </c>
      <c r="B3009" s="1" t="s">
        <v>697</v>
      </c>
      <c r="C3009" s="1">
        <v>2020</v>
      </c>
      <c r="D3009" s="1">
        <v>31639</v>
      </c>
      <c r="E3009" s="1">
        <v>579</v>
      </c>
      <c r="F3009" s="1">
        <v>449</v>
      </c>
      <c r="G3009" s="1">
        <v>1161017</v>
      </c>
      <c r="H3009" s="1">
        <v>27</v>
      </c>
    </row>
    <row r="3010" spans="1:8" x14ac:dyDescent="0.3">
      <c r="A3010" s="1" t="s">
        <v>698</v>
      </c>
      <c r="B3010" s="1" t="s">
        <v>45</v>
      </c>
      <c r="C3010" s="1">
        <v>2020</v>
      </c>
      <c r="D3010" s="1">
        <v>20638</v>
      </c>
      <c r="E3010" s="1">
        <v>531</v>
      </c>
      <c r="F3010" s="1">
        <v>97</v>
      </c>
      <c r="G3010" s="1">
        <v>389742</v>
      </c>
      <c r="H3010" s="1">
        <v>0</v>
      </c>
    </row>
    <row r="3011" spans="1:8" x14ac:dyDescent="0.3">
      <c r="A3011" s="1" t="s">
        <v>699</v>
      </c>
      <c r="B3011" s="1" t="s">
        <v>700</v>
      </c>
      <c r="C3011" s="1">
        <v>2020</v>
      </c>
      <c r="D3011" s="1">
        <v>21224</v>
      </c>
      <c r="E3011" s="1">
        <v>331</v>
      </c>
      <c r="F3011" s="1">
        <v>331</v>
      </c>
      <c r="G3011" s="1">
        <v>1609761</v>
      </c>
      <c r="H3011" s="1">
        <v>77</v>
      </c>
    </row>
    <row r="3012" spans="1:8" x14ac:dyDescent="0.3">
      <c r="A3012" s="1" t="s">
        <v>701</v>
      </c>
      <c r="B3012" s="1" t="s">
        <v>702</v>
      </c>
      <c r="C3012" s="1">
        <v>2020</v>
      </c>
      <c r="D3012" s="1">
        <v>27605</v>
      </c>
      <c r="E3012" s="1">
        <v>122</v>
      </c>
      <c r="F3012" s="1">
        <v>121</v>
      </c>
      <c r="G3012" s="1">
        <v>948051</v>
      </c>
      <c r="H3012" s="1">
        <v>12</v>
      </c>
    </row>
    <row r="3013" spans="1:8" x14ac:dyDescent="0.3">
      <c r="A3013" s="1" t="s">
        <v>703</v>
      </c>
      <c r="B3013" s="1" t="s">
        <v>704</v>
      </c>
      <c r="C3013" s="1">
        <v>2020</v>
      </c>
      <c r="D3013" s="1">
        <v>23799</v>
      </c>
      <c r="E3013" s="1">
        <v>439</v>
      </c>
      <c r="F3013" s="1">
        <v>163</v>
      </c>
      <c r="G3013" s="1">
        <v>1433978</v>
      </c>
      <c r="H3013" s="1">
        <v>17</v>
      </c>
    </row>
    <row r="3014" spans="1:8" x14ac:dyDescent="0.3">
      <c r="A3014" s="1" t="s">
        <v>705</v>
      </c>
      <c r="B3014" s="1" t="s">
        <v>706</v>
      </c>
      <c r="C3014" s="1">
        <v>2020</v>
      </c>
      <c r="D3014" s="1">
        <v>17490</v>
      </c>
      <c r="E3014" s="1">
        <v>306</v>
      </c>
      <c r="F3014" s="1">
        <v>126</v>
      </c>
      <c r="G3014" s="1">
        <v>515064</v>
      </c>
      <c r="H3014" s="1">
        <v>0</v>
      </c>
    </row>
    <row r="3015" spans="1:8" x14ac:dyDescent="0.3">
      <c r="A3015" s="1" t="s">
        <v>707</v>
      </c>
      <c r="B3015" s="1" t="s">
        <v>708</v>
      </c>
      <c r="C3015" s="1">
        <v>2020</v>
      </c>
      <c r="D3015" s="1">
        <v>28547</v>
      </c>
      <c r="E3015" s="1">
        <v>705</v>
      </c>
      <c r="F3015" s="1">
        <v>754</v>
      </c>
      <c r="G3015" s="1">
        <v>1462028</v>
      </c>
      <c r="H3015" s="1">
        <v>0</v>
      </c>
    </row>
    <row r="3016" spans="1:8" x14ac:dyDescent="0.3">
      <c r="A3016" s="1" t="s">
        <v>709</v>
      </c>
      <c r="B3016" s="1" t="s">
        <v>710</v>
      </c>
      <c r="C3016" s="1">
        <v>2020</v>
      </c>
      <c r="D3016" s="1">
        <v>23021</v>
      </c>
      <c r="E3016" s="1">
        <v>216</v>
      </c>
      <c r="F3016" s="1">
        <v>240</v>
      </c>
      <c r="G3016" s="1">
        <v>2370502</v>
      </c>
      <c r="H3016" s="1">
        <v>32</v>
      </c>
    </row>
    <row r="3017" spans="1:8" x14ac:dyDescent="0.3">
      <c r="A3017" s="1" t="s">
        <v>711</v>
      </c>
      <c r="B3017" s="1" t="s">
        <v>712</v>
      </c>
      <c r="C3017" s="1">
        <v>2020</v>
      </c>
      <c r="D3017" s="1">
        <v>45095</v>
      </c>
      <c r="E3017" s="1">
        <v>365</v>
      </c>
      <c r="F3017" s="1">
        <v>654</v>
      </c>
      <c r="G3017" s="1">
        <v>3853463</v>
      </c>
      <c r="H3017" s="1">
        <v>0</v>
      </c>
    </row>
    <row r="3018" spans="1:8" x14ac:dyDescent="0.3">
      <c r="A3018" s="1" t="s">
        <v>713</v>
      </c>
      <c r="B3018" s="1" t="s">
        <v>714</v>
      </c>
      <c r="C3018" s="1">
        <v>2020</v>
      </c>
      <c r="D3018" s="1">
        <v>30305</v>
      </c>
      <c r="E3018" s="1">
        <v>191</v>
      </c>
      <c r="F3018" s="1">
        <v>399</v>
      </c>
      <c r="G3018" s="1">
        <v>2587938</v>
      </c>
      <c r="H3018" s="1">
        <v>0</v>
      </c>
    </row>
    <row r="3019" spans="1:8" x14ac:dyDescent="0.3">
      <c r="A3019" s="1" t="s">
        <v>715</v>
      </c>
      <c r="B3019" s="1" t="s">
        <v>716</v>
      </c>
      <c r="C3019" s="1">
        <v>2020</v>
      </c>
      <c r="D3019" s="1">
        <v>26045</v>
      </c>
      <c r="E3019" s="1">
        <v>386</v>
      </c>
      <c r="F3019" s="1">
        <v>519</v>
      </c>
      <c r="G3019" s="1">
        <v>1508169</v>
      </c>
      <c r="H3019" s="1">
        <v>0</v>
      </c>
    </row>
    <row r="3020" spans="1:8" x14ac:dyDescent="0.3">
      <c r="A3020" s="1" t="s">
        <v>717</v>
      </c>
      <c r="B3020" s="1" t="s">
        <v>718</v>
      </c>
      <c r="C3020" s="1">
        <v>2020</v>
      </c>
      <c r="D3020" s="1">
        <v>287732</v>
      </c>
      <c r="E3020" s="1">
        <v>4927</v>
      </c>
      <c r="F3020" s="1">
        <v>4529</v>
      </c>
      <c r="G3020" s="1">
        <v>12874517</v>
      </c>
      <c r="H3020" s="1">
        <v>2099</v>
      </c>
    </row>
    <row r="3021" spans="1:8" x14ac:dyDescent="0.3">
      <c r="A3021" s="1" t="s">
        <v>719</v>
      </c>
      <c r="B3021" s="1" t="s">
        <v>720</v>
      </c>
      <c r="C3021" s="1">
        <v>2020</v>
      </c>
      <c r="D3021" s="1">
        <v>17250</v>
      </c>
      <c r="E3021" s="1">
        <v>89</v>
      </c>
      <c r="F3021" s="1">
        <v>182</v>
      </c>
      <c r="G3021" s="1">
        <v>1328448</v>
      </c>
      <c r="H3021" s="1">
        <v>0</v>
      </c>
    </row>
    <row r="3022" spans="1:8" x14ac:dyDescent="0.3">
      <c r="A3022" s="1" t="s">
        <v>721</v>
      </c>
      <c r="B3022" s="1" t="s">
        <v>722</v>
      </c>
      <c r="C3022" s="1">
        <v>2020</v>
      </c>
      <c r="D3022" s="1">
        <v>17084</v>
      </c>
      <c r="E3022" s="1">
        <v>107</v>
      </c>
      <c r="F3022" s="1">
        <v>174</v>
      </c>
      <c r="G3022" s="1">
        <v>714500</v>
      </c>
      <c r="H3022" s="1">
        <v>0</v>
      </c>
    </row>
    <row r="3023" spans="1:8" x14ac:dyDescent="0.3">
      <c r="A3023" s="1" t="s">
        <v>723</v>
      </c>
      <c r="B3023" s="1" t="s">
        <v>724</v>
      </c>
      <c r="C3023" s="1">
        <v>2020</v>
      </c>
      <c r="D3023" s="1">
        <v>20516</v>
      </c>
      <c r="E3023" s="1">
        <v>105</v>
      </c>
      <c r="F3023" s="1">
        <v>178</v>
      </c>
      <c r="G3023" s="1">
        <v>2487584</v>
      </c>
      <c r="H3023" s="1">
        <v>18</v>
      </c>
    </row>
    <row r="3024" spans="1:8" x14ac:dyDescent="0.3">
      <c r="A3024" s="1" t="s">
        <v>725</v>
      </c>
      <c r="B3024" s="1" t="s">
        <v>726</v>
      </c>
      <c r="C3024" s="1">
        <v>2020</v>
      </c>
      <c r="D3024" s="1">
        <v>29687</v>
      </c>
      <c r="E3024" s="1">
        <v>282</v>
      </c>
      <c r="F3024" s="1">
        <v>284</v>
      </c>
      <c r="G3024" s="1">
        <v>633642</v>
      </c>
      <c r="H3024" s="1">
        <v>0</v>
      </c>
    </row>
    <row r="3025" spans="1:8" x14ac:dyDescent="0.3">
      <c r="A3025" s="1" t="s">
        <v>727</v>
      </c>
      <c r="B3025" s="1" t="s">
        <v>728</v>
      </c>
      <c r="C3025" s="1">
        <v>2020</v>
      </c>
      <c r="D3025" s="1">
        <v>21810</v>
      </c>
      <c r="E3025" s="1">
        <v>100</v>
      </c>
      <c r="F3025" s="1">
        <v>250</v>
      </c>
      <c r="G3025" s="1">
        <v>1264425</v>
      </c>
      <c r="H3025" s="1">
        <v>0</v>
      </c>
    </row>
    <row r="3026" spans="1:8" x14ac:dyDescent="0.3">
      <c r="A3026" s="1" t="s">
        <v>729</v>
      </c>
      <c r="B3026" s="1" t="s">
        <v>730</v>
      </c>
      <c r="C3026" s="1">
        <v>2020</v>
      </c>
      <c r="D3026" s="1">
        <v>28265</v>
      </c>
      <c r="E3026" s="1">
        <v>190</v>
      </c>
      <c r="F3026" s="1">
        <v>256</v>
      </c>
      <c r="G3026" s="1">
        <v>713353</v>
      </c>
      <c r="H3026" s="1">
        <v>0</v>
      </c>
    </row>
    <row r="3027" spans="1:8" x14ac:dyDescent="0.3">
      <c r="A3027" s="1" t="s">
        <v>731</v>
      </c>
      <c r="B3027" s="1" t="s">
        <v>732</v>
      </c>
      <c r="C3027" s="1">
        <v>2020</v>
      </c>
      <c r="D3027" s="1">
        <v>22770</v>
      </c>
      <c r="E3027" s="1">
        <v>890</v>
      </c>
      <c r="F3027" s="1">
        <v>480</v>
      </c>
      <c r="G3027" s="1">
        <v>521411</v>
      </c>
      <c r="H3027" s="1">
        <v>10</v>
      </c>
    </row>
    <row r="3028" spans="1:8" x14ac:dyDescent="0.3">
      <c r="A3028" s="1" t="s">
        <v>733</v>
      </c>
      <c r="B3028" s="1" t="s">
        <v>734</v>
      </c>
      <c r="C3028" s="1">
        <v>2020</v>
      </c>
      <c r="D3028" s="1">
        <v>38714</v>
      </c>
      <c r="E3028" s="1">
        <v>904</v>
      </c>
      <c r="F3028" s="1">
        <v>411</v>
      </c>
      <c r="G3028" s="1">
        <v>1035104</v>
      </c>
      <c r="H3028" s="1">
        <v>0</v>
      </c>
    </row>
    <row r="3029" spans="1:8" x14ac:dyDescent="0.3">
      <c r="A3029" s="1" t="s">
        <v>735</v>
      </c>
      <c r="B3029" s="1" t="s">
        <v>736</v>
      </c>
      <c r="C3029" s="1">
        <v>2020</v>
      </c>
      <c r="D3029" s="1">
        <v>24896</v>
      </c>
      <c r="E3029" s="1">
        <v>560</v>
      </c>
      <c r="F3029" s="1">
        <v>509</v>
      </c>
      <c r="G3029" s="1">
        <v>466663</v>
      </c>
      <c r="H3029" s="1">
        <v>0</v>
      </c>
    </row>
    <row r="3030" spans="1:8" x14ac:dyDescent="0.3">
      <c r="A3030" s="1" t="s">
        <v>737</v>
      </c>
      <c r="B3030" s="1" t="s">
        <v>738</v>
      </c>
      <c r="C3030" s="1">
        <v>2020</v>
      </c>
      <c r="D3030" s="1">
        <v>23225</v>
      </c>
      <c r="E3030" s="1">
        <v>132</v>
      </c>
      <c r="F3030" s="1">
        <v>226</v>
      </c>
      <c r="G3030" s="1">
        <v>1038540</v>
      </c>
      <c r="H3030" s="1">
        <v>0</v>
      </c>
    </row>
    <row r="3031" spans="1:8" x14ac:dyDescent="0.3">
      <c r="A3031" s="1" t="s">
        <v>739</v>
      </c>
      <c r="B3031" s="1" t="s">
        <v>740</v>
      </c>
      <c r="C3031" s="1">
        <v>2020</v>
      </c>
      <c r="D3031" s="1">
        <v>30403</v>
      </c>
      <c r="E3031" s="1">
        <v>582</v>
      </c>
      <c r="F3031" s="1">
        <v>376</v>
      </c>
      <c r="G3031" s="1">
        <v>704644</v>
      </c>
      <c r="H3031" s="1">
        <v>6</v>
      </c>
    </row>
    <row r="3032" spans="1:8" x14ac:dyDescent="0.3">
      <c r="A3032" s="1" t="s">
        <v>741</v>
      </c>
      <c r="B3032" s="1" t="s">
        <v>742</v>
      </c>
      <c r="C3032" s="1">
        <v>2020</v>
      </c>
      <c r="D3032" s="1">
        <v>13165</v>
      </c>
      <c r="E3032" s="1">
        <v>69</v>
      </c>
      <c r="F3032" s="1">
        <v>130</v>
      </c>
      <c r="G3032" s="1">
        <v>607326</v>
      </c>
      <c r="H3032" s="1">
        <v>0</v>
      </c>
    </row>
    <row r="3033" spans="1:8" x14ac:dyDescent="0.3">
      <c r="A3033" s="1" t="s">
        <v>743</v>
      </c>
      <c r="B3033" s="1" t="s">
        <v>744</v>
      </c>
      <c r="C3033" s="1">
        <v>2020</v>
      </c>
      <c r="D3033" s="1">
        <v>19798</v>
      </c>
      <c r="E3033" s="1">
        <v>373</v>
      </c>
      <c r="F3033" s="1">
        <v>349</v>
      </c>
      <c r="G3033" s="1">
        <v>738644</v>
      </c>
      <c r="H3033" s="1">
        <v>0</v>
      </c>
    </row>
    <row r="3034" spans="1:8" x14ac:dyDescent="0.3">
      <c r="A3034" s="1" t="s">
        <v>745</v>
      </c>
      <c r="B3034" s="1" t="s">
        <v>746</v>
      </c>
      <c r="C3034" s="1">
        <v>2020</v>
      </c>
      <c r="D3034" s="1">
        <v>45249</v>
      </c>
      <c r="E3034" s="1">
        <v>244</v>
      </c>
      <c r="F3034" s="1">
        <v>951</v>
      </c>
      <c r="G3034" s="1">
        <v>2464367</v>
      </c>
      <c r="H3034" s="1">
        <v>42</v>
      </c>
    </row>
    <row r="3035" spans="1:8" x14ac:dyDescent="0.3">
      <c r="A3035" s="1" t="s">
        <v>747</v>
      </c>
      <c r="B3035" s="1" t="s">
        <v>748</v>
      </c>
      <c r="C3035" s="1">
        <v>2020</v>
      </c>
      <c r="D3035" s="1">
        <v>29352</v>
      </c>
      <c r="E3035" s="1">
        <v>499</v>
      </c>
      <c r="F3035" s="1">
        <v>598</v>
      </c>
      <c r="G3035" s="1">
        <v>2580721</v>
      </c>
      <c r="H3035" s="1">
        <v>28</v>
      </c>
    </row>
    <row r="3036" spans="1:8" x14ac:dyDescent="0.3">
      <c r="A3036" s="1" t="s">
        <v>749</v>
      </c>
      <c r="B3036" s="1" t="s">
        <v>750</v>
      </c>
      <c r="C3036" s="1">
        <v>2020</v>
      </c>
      <c r="D3036" s="1">
        <v>16847</v>
      </c>
      <c r="E3036" s="1">
        <v>45</v>
      </c>
      <c r="F3036" s="1">
        <v>202</v>
      </c>
      <c r="G3036" s="1">
        <v>1228428</v>
      </c>
      <c r="H3036" s="1">
        <v>0</v>
      </c>
    </row>
    <row r="3037" spans="1:8" x14ac:dyDescent="0.3">
      <c r="A3037" s="1" t="s">
        <v>751</v>
      </c>
      <c r="B3037" s="1" t="s">
        <v>752</v>
      </c>
      <c r="C3037" s="1">
        <v>2020</v>
      </c>
      <c r="D3037" s="1">
        <v>19527</v>
      </c>
      <c r="E3037" s="1">
        <v>183</v>
      </c>
      <c r="F3037" s="1">
        <v>244</v>
      </c>
      <c r="G3037" s="1">
        <v>1054156</v>
      </c>
      <c r="H3037" s="1">
        <v>24</v>
      </c>
    </row>
    <row r="3038" spans="1:8" x14ac:dyDescent="0.3">
      <c r="A3038" s="1" t="s">
        <v>753</v>
      </c>
      <c r="B3038" s="1" t="s">
        <v>754</v>
      </c>
      <c r="C3038" s="1">
        <v>2020</v>
      </c>
      <c r="D3038" s="1">
        <v>12967</v>
      </c>
      <c r="E3038" s="1">
        <v>63</v>
      </c>
      <c r="F3038" s="1">
        <v>93</v>
      </c>
      <c r="G3038" s="1">
        <v>543362</v>
      </c>
      <c r="H3038" s="1">
        <v>42</v>
      </c>
    </row>
    <row r="3039" spans="1:8" x14ac:dyDescent="0.3">
      <c r="A3039" s="1" t="s">
        <v>755</v>
      </c>
      <c r="B3039" s="1" t="s">
        <v>756</v>
      </c>
      <c r="C3039" s="1">
        <v>2020</v>
      </c>
      <c r="D3039" s="1">
        <v>47915</v>
      </c>
      <c r="E3039" s="1">
        <v>526</v>
      </c>
      <c r="F3039" s="1">
        <v>0</v>
      </c>
      <c r="G3039" s="1">
        <v>3347826</v>
      </c>
      <c r="H3039" s="1">
        <v>68</v>
      </c>
    </row>
    <row r="3040" spans="1:8" x14ac:dyDescent="0.3">
      <c r="A3040" s="1" t="s">
        <v>757</v>
      </c>
      <c r="B3040" s="1" t="s">
        <v>758</v>
      </c>
      <c r="C3040" s="1">
        <v>2020</v>
      </c>
      <c r="D3040" s="1">
        <v>188190</v>
      </c>
      <c r="E3040" s="1">
        <v>2659</v>
      </c>
      <c r="F3040" s="1">
        <v>230</v>
      </c>
      <c r="G3040" s="1">
        <v>7327239</v>
      </c>
      <c r="H3040" s="1">
        <v>0</v>
      </c>
    </row>
    <row r="3041" spans="1:8" x14ac:dyDescent="0.3">
      <c r="A3041" s="1" t="s">
        <v>759</v>
      </c>
      <c r="B3041" s="1" t="s">
        <v>760</v>
      </c>
      <c r="C3041" s="1">
        <v>2020</v>
      </c>
      <c r="D3041" s="1">
        <v>22332</v>
      </c>
      <c r="E3041" s="1">
        <v>392</v>
      </c>
      <c r="F3041" s="1">
        <v>369</v>
      </c>
      <c r="G3041" s="1">
        <v>827822</v>
      </c>
      <c r="H3041" s="1">
        <v>0</v>
      </c>
    </row>
    <row r="3042" spans="1:8" x14ac:dyDescent="0.3">
      <c r="A3042" s="2" t="s">
        <v>10</v>
      </c>
      <c r="B3042" s="2" t="s">
        <v>11</v>
      </c>
      <c r="C3042" s="1">
        <v>2021</v>
      </c>
      <c r="D3042" s="2">
        <v>34480</v>
      </c>
      <c r="E3042" s="2">
        <v>611</v>
      </c>
      <c r="F3042" s="2">
        <v>609</v>
      </c>
      <c r="G3042" s="2">
        <v>933787</v>
      </c>
      <c r="H3042" s="1" t="s">
        <v>70</v>
      </c>
    </row>
    <row r="3043" spans="1:8" x14ac:dyDescent="0.3">
      <c r="A3043" s="1" t="s">
        <v>12</v>
      </c>
      <c r="B3043" s="1" t="s">
        <v>13</v>
      </c>
      <c r="C3043" s="1">
        <v>2021</v>
      </c>
      <c r="D3043" s="1">
        <v>40736</v>
      </c>
      <c r="E3043" s="1">
        <v>366</v>
      </c>
      <c r="F3043" s="1">
        <v>724</v>
      </c>
      <c r="G3043" s="1">
        <v>2020289</v>
      </c>
      <c r="H3043" s="1" t="s">
        <v>70</v>
      </c>
    </row>
    <row r="3044" spans="1:8" x14ac:dyDescent="0.3">
      <c r="A3044" s="1" t="s">
        <v>14</v>
      </c>
      <c r="B3044" s="1" t="s">
        <v>15</v>
      </c>
      <c r="C3044" s="1">
        <v>2021</v>
      </c>
      <c r="D3044" s="1">
        <v>34323</v>
      </c>
      <c r="E3044" s="1">
        <v>669</v>
      </c>
      <c r="F3044" s="1">
        <v>760</v>
      </c>
      <c r="G3044" s="1">
        <v>1331254</v>
      </c>
      <c r="H3044" s="1" t="s">
        <v>70</v>
      </c>
    </row>
    <row r="3045" spans="1:8" x14ac:dyDescent="0.3">
      <c r="A3045" s="1" t="s">
        <v>16</v>
      </c>
      <c r="B3045" s="1" t="s">
        <v>17</v>
      </c>
      <c r="C3045" s="1">
        <v>2021</v>
      </c>
      <c r="D3045" s="1">
        <v>12182</v>
      </c>
      <c r="E3045" s="1">
        <v>63</v>
      </c>
      <c r="F3045" s="1">
        <v>90</v>
      </c>
      <c r="G3045" s="1">
        <v>531690</v>
      </c>
      <c r="H3045" s="1" t="s">
        <v>70</v>
      </c>
    </row>
    <row r="3046" spans="1:8" x14ac:dyDescent="0.3">
      <c r="A3046" s="1" t="s">
        <v>18</v>
      </c>
      <c r="B3046" s="1" t="s">
        <v>19</v>
      </c>
      <c r="C3046" s="1">
        <v>2021</v>
      </c>
      <c r="D3046" s="1">
        <v>18384</v>
      </c>
      <c r="E3046" s="1">
        <v>200</v>
      </c>
      <c r="F3046" s="1">
        <v>201</v>
      </c>
      <c r="G3046" s="1">
        <v>496381</v>
      </c>
      <c r="H3046" s="1" t="s">
        <v>70</v>
      </c>
    </row>
    <row r="3047" spans="1:8" x14ac:dyDescent="0.3">
      <c r="A3047" s="1" t="s">
        <v>20</v>
      </c>
      <c r="B3047" s="1" t="s">
        <v>21</v>
      </c>
      <c r="C3047" s="1">
        <v>2021</v>
      </c>
      <c r="D3047" s="1">
        <v>26994</v>
      </c>
      <c r="E3047" s="1">
        <v>289</v>
      </c>
      <c r="F3047" s="1">
        <v>492</v>
      </c>
      <c r="G3047" s="1">
        <v>828541</v>
      </c>
      <c r="H3047" s="1" t="s">
        <v>70</v>
      </c>
    </row>
    <row r="3048" spans="1:8" x14ac:dyDescent="0.3">
      <c r="A3048" s="1" t="s">
        <v>22</v>
      </c>
      <c r="B3048" s="1" t="s">
        <v>23</v>
      </c>
      <c r="C3048" s="1">
        <v>2021</v>
      </c>
      <c r="D3048" s="1">
        <v>17066</v>
      </c>
      <c r="E3048" s="1">
        <v>97</v>
      </c>
      <c r="F3048" s="1">
        <v>148</v>
      </c>
      <c r="G3048" s="1">
        <v>777481</v>
      </c>
      <c r="H3048" s="1" t="s">
        <v>70</v>
      </c>
    </row>
    <row r="3049" spans="1:8" x14ac:dyDescent="0.3">
      <c r="A3049" s="1" t="s">
        <v>24</v>
      </c>
      <c r="B3049" s="1" t="s">
        <v>25</v>
      </c>
      <c r="C3049" s="1">
        <v>2021</v>
      </c>
      <c r="D3049" s="1">
        <v>66032</v>
      </c>
      <c r="E3049" s="1">
        <v>624</v>
      </c>
      <c r="F3049" s="1">
        <v>958</v>
      </c>
      <c r="G3049" s="1">
        <v>3284965</v>
      </c>
      <c r="H3049" s="1" t="s">
        <v>70</v>
      </c>
    </row>
    <row r="3050" spans="1:8" x14ac:dyDescent="0.3">
      <c r="A3050" s="1" t="s">
        <v>26</v>
      </c>
      <c r="B3050" s="1" t="s">
        <v>27</v>
      </c>
      <c r="C3050" s="1">
        <v>2021</v>
      </c>
      <c r="D3050" s="1">
        <v>19701</v>
      </c>
      <c r="E3050" s="1">
        <v>361</v>
      </c>
      <c r="F3050" s="1">
        <v>197</v>
      </c>
      <c r="G3050" s="1">
        <v>487836</v>
      </c>
      <c r="H3050" s="1" t="s">
        <v>70</v>
      </c>
    </row>
    <row r="3051" spans="1:8" x14ac:dyDescent="0.3">
      <c r="A3051" s="1" t="s">
        <v>28</v>
      </c>
      <c r="B3051" s="1" t="s">
        <v>29</v>
      </c>
      <c r="C3051" s="1">
        <v>2021</v>
      </c>
      <c r="D3051" s="1">
        <v>21084</v>
      </c>
      <c r="E3051" s="1">
        <v>190</v>
      </c>
      <c r="F3051" s="1">
        <v>299</v>
      </c>
      <c r="G3051" s="1">
        <v>653481</v>
      </c>
      <c r="H3051" s="1" t="s">
        <v>70</v>
      </c>
    </row>
    <row r="3052" spans="1:8" x14ac:dyDescent="0.3">
      <c r="A3052" s="1" t="s">
        <v>30</v>
      </c>
      <c r="B3052" s="1" t="s">
        <v>31</v>
      </c>
      <c r="C3052" s="1">
        <v>2021</v>
      </c>
      <c r="D3052" s="1">
        <v>43144</v>
      </c>
      <c r="E3052" s="1">
        <v>491</v>
      </c>
      <c r="F3052" s="1">
        <v>972</v>
      </c>
      <c r="G3052" s="1">
        <v>1253292</v>
      </c>
      <c r="H3052" s="1" t="s">
        <v>70</v>
      </c>
    </row>
    <row r="3053" spans="1:8" x14ac:dyDescent="0.3">
      <c r="A3053" s="1" t="s">
        <v>32</v>
      </c>
      <c r="B3053" s="1" t="s">
        <v>33</v>
      </c>
      <c r="C3053" s="1">
        <v>2021</v>
      </c>
      <c r="D3053" s="1">
        <v>17272</v>
      </c>
      <c r="E3053" s="1">
        <v>69</v>
      </c>
      <c r="F3053" s="1">
        <v>154</v>
      </c>
      <c r="G3053" s="1">
        <v>517439</v>
      </c>
      <c r="H3053" s="1" t="s">
        <v>70</v>
      </c>
    </row>
    <row r="3054" spans="1:8" x14ac:dyDescent="0.3">
      <c r="A3054" s="1" t="s">
        <v>34</v>
      </c>
      <c r="B3054" s="1" t="s">
        <v>35</v>
      </c>
      <c r="C3054" s="1">
        <v>2021</v>
      </c>
      <c r="D3054" s="1">
        <v>12365</v>
      </c>
      <c r="E3054" s="1">
        <v>149</v>
      </c>
      <c r="F3054" s="1">
        <v>137</v>
      </c>
      <c r="G3054" s="1">
        <v>142983</v>
      </c>
      <c r="H3054" s="1" t="s">
        <v>70</v>
      </c>
    </row>
    <row r="3055" spans="1:8" x14ac:dyDescent="0.3">
      <c r="A3055" s="1" t="s">
        <v>36</v>
      </c>
      <c r="B3055" s="1" t="s">
        <v>37</v>
      </c>
      <c r="C3055" s="1">
        <v>2021</v>
      </c>
      <c r="D3055" s="1">
        <v>39211</v>
      </c>
      <c r="E3055" s="1">
        <v>819</v>
      </c>
      <c r="F3055" s="1">
        <v>621</v>
      </c>
      <c r="G3055" s="1">
        <v>1553039</v>
      </c>
      <c r="H3055" s="1" t="s">
        <v>70</v>
      </c>
    </row>
    <row r="3056" spans="1:8" x14ac:dyDescent="0.3">
      <c r="A3056" s="1" t="s">
        <v>38</v>
      </c>
      <c r="B3056" s="1" t="s">
        <v>39</v>
      </c>
      <c r="C3056" s="1">
        <v>2021</v>
      </c>
      <c r="D3056" s="1">
        <v>30490</v>
      </c>
      <c r="E3056" s="1">
        <v>662</v>
      </c>
      <c r="F3056" s="1">
        <v>673</v>
      </c>
      <c r="G3056" s="1">
        <v>1063401</v>
      </c>
      <c r="H3056" s="1" t="s">
        <v>70</v>
      </c>
    </row>
    <row r="3057" spans="1:8" x14ac:dyDescent="0.3">
      <c r="A3057" s="1" t="s">
        <v>40</v>
      </c>
      <c r="B3057" s="1" t="s">
        <v>41</v>
      </c>
      <c r="C3057" s="1">
        <v>2021</v>
      </c>
      <c r="D3057" s="1">
        <v>23009</v>
      </c>
      <c r="E3057" s="1">
        <v>299</v>
      </c>
      <c r="F3057" s="1">
        <v>339</v>
      </c>
      <c r="G3057" s="1">
        <v>1133137</v>
      </c>
      <c r="H3057" s="1" t="s">
        <v>70</v>
      </c>
    </row>
    <row r="3058" spans="1:8" x14ac:dyDescent="0.3">
      <c r="A3058" s="1" t="s">
        <v>42</v>
      </c>
      <c r="B3058" s="1" t="s">
        <v>43</v>
      </c>
      <c r="C3058" s="1">
        <v>2021</v>
      </c>
      <c r="D3058" s="1">
        <v>15666</v>
      </c>
      <c r="E3058" s="1">
        <v>142</v>
      </c>
      <c r="F3058" s="1">
        <v>144</v>
      </c>
      <c r="G3058" s="1">
        <v>630573</v>
      </c>
      <c r="H3058" s="1" t="s">
        <v>70</v>
      </c>
    </row>
    <row r="3059" spans="1:8" x14ac:dyDescent="0.3">
      <c r="A3059" s="1" t="s">
        <v>44</v>
      </c>
      <c r="B3059" s="1" t="s">
        <v>45</v>
      </c>
      <c r="C3059" s="1">
        <v>2021</v>
      </c>
      <c r="D3059" s="1">
        <v>20721</v>
      </c>
      <c r="E3059" s="1">
        <v>694</v>
      </c>
      <c r="F3059" s="1">
        <v>347</v>
      </c>
      <c r="G3059" s="1">
        <v>125142</v>
      </c>
      <c r="H3059" s="1" t="s">
        <v>70</v>
      </c>
    </row>
    <row r="3060" spans="1:8" x14ac:dyDescent="0.3">
      <c r="A3060" s="1" t="s">
        <v>46</v>
      </c>
      <c r="B3060" s="1" t="s">
        <v>47</v>
      </c>
      <c r="C3060" s="1">
        <v>2021</v>
      </c>
      <c r="D3060" s="1">
        <v>63291</v>
      </c>
      <c r="E3060" s="1">
        <v>505</v>
      </c>
      <c r="F3060" s="1">
        <v>1250</v>
      </c>
      <c r="G3060" s="1">
        <v>1051567</v>
      </c>
      <c r="H3060" s="1" t="s">
        <v>70</v>
      </c>
    </row>
    <row r="3061" spans="1:8" x14ac:dyDescent="0.3">
      <c r="A3061" s="1" t="s">
        <v>48</v>
      </c>
      <c r="B3061" s="1" t="s">
        <v>49</v>
      </c>
      <c r="C3061" s="1">
        <v>2021</v>
      </c>
      <c r="D3061" s="1">
        <v>30624</v>
      </c>
      <c r="E3061" s="1">
        <v>864</v>
      </c>
      <c r="F3061" s="1">
        <v>536</v>
      </c>
      <c r="G3061" s="1">
        <v>740643</v>
      </c>
      <c r="H3061" s="1" t="s">
        <v>70</v>
      </c>
    </row>
    <row r="3062" spans="1:8" x14ac:dyDescent="0.3">
      <c r="A3062" s="1" t="s">
        <v>50</v>
      </c>
      <c r="B3062" s="1" t="s">
        <v>51</v>
      </c>
      <c r="C3062" s="1">
        <v>2021</v>
      </c>
      <c r="D3062" s="1">
        <v>22856</v>
      </c>
      <c r="E3062" s="1">
        <v>80</v>
      </c>
      <c r="F3062" s="1">
        <v>488</v>
      </c>
      <c r="G3062" s="1">
        <v>984335</v>
      </c>
      <c r="H3062" s="1" t="s">
        <v>70</v>
      </c>
    </row>
    <row r="3063" spans="1:8" x14ac:dyDescent="0.3">
      <c r="A3063" s="1" t="s">
        <v>52</v>
      </c>
      <c r="B3063" s="1" t="s">
        <v>53</v>
      </c>
      <c r="C3063" s="1">
        <v>2021</v>
      </c>
      <c r="D3063" s="1">
        <v>17971</v>
      </c>
      <c r="E3063" s="1">
        <v>202</v>
      </c>
      <c r="F3063" s="1">
        <v>356</v>
      </c>
      <c r="G3063" s="1">
        <v>448878</v>
      </c>
      <c r="H3063" s="1" t="s">
        <v>70</v>
      </c>
    </row>
    <row r="3064" spans="1:8" x14ac:dyDescent="0.3">
      <c r="A3064" s="1" t="s">
        <v>54</v>
      </c>
      <c r="B3064" s="1" t="s">
        <v>55</v>
      </c>
      <c r="C3064" s="1">
        <v>2021</v>
      </c>
      <c r="D3064" s="1">
        <v>67522</v>
      </c>
      <c r="E3064" s="1">
        <v>3688</v>
      </c>
      <c r="F3064" s="1">
        <v>2402</v>
      </c>
      <c r="G3064" s="1">
        <v>452619</v>
      </c>
      <c r="H3064" s="1" t="s">
        <v>70</v>
      </c>
    </row>
    <row r="3065" spans="1:8" x14ac:dyDescent="0.3">
      <c r="A3065" s="1" t="s">
        <v>56</v>
      </c>
      <c r="B3065" s="1" t="s">
        <v>57</v>
      </c>
      <c r="C3065" s="1">
        <v>2021</v>
      </c>
      <c r="D3065" s="1">
        <v>24797</v>
      </c>
      <c r="E3065" s="1">
        <v>194</v>
      </c>
      <c r="F3065" s="1">
        <v>340</v>
      </c>
      <c r="G3065" s="1">
        <v>613412</v>
      </c>
      <c r="H3065" s="1" t="s">
        <v>70</v>
      </c>
    </row>
    <row r="3066" spans="1:8" x14ac:dyDescent="0.3">
      <c r="A3066" s="1" t="s">
        <v>58</v>
      </c>
      <c r="B3066" s="1" t="s">
        <v>59</v>
      </c>
      <c r="C3066" s="1">
        <v>2021</v>
      </c>
      <c r="D3066" s="1">
        <v>35618</v>
      </c>
      <c r="E3066" s="1">
        <v>380</v>
      </c>
      <c r="F3066" s="1">
        <v>415</v>
      </c>
      <c r="G3066" s="1">
        <v>872764</v>
      </c>
      <c r="H3066" s="1" t="s">
        <v>70</v>
      </c>
    </row>
    <row r="3067" spans="1:8" x14ac:dyDescent="0.3">
      <c r="A3067" s="1" t="s">
        <v>60</v>
      </c>
      <c r="B3067" s="1" t="s">
        <v>61</v>
      </c>
      <c r="C3067" s="1">
        <v>2021</v>
      </c>
      <c r="D3067" s="1">
        <v>16082</v>
      </c>
      <c r="E3067" s="1">
        <v>167</v>
      </c>
      <c r="F3067" s="1">
        <v>190</v>
      </c>
      <c r="G3067" s="1">
        <v>735283</v>
      </c>
      <c r="H3067" s="1" t="s">
        <v>70</v>
      </c>
    </row>
    <row r="3068" spans="1:8" x14ac:dyDescent="0.3">
      <c r="A3068" s="1" t="s">
        <v>62</v>
      </c>
      <c r="B3068" s="1" t="s">
        <v>63</v>
      </c>
      <c r="C3068" s="1">
        <v>2021</v>
      </c>
      <c r="D3068" s="1">
        <v>37268</v>
      </c>
      <c r="E3068" s="1">
        <v>314</v>
      </c>
      <c r="F3068" s="1">
        <v>1172</v>
      </c>
      <c r="G3068" s="1">
        <v>1007885</v>
      </c>
      <c r="H3068" s="1" t="s">
        <v>70</v>
      </c>
    </row>
    <row r="3069" spans="1:8" x14ac:dyDescent="0.3">
      <c r="A3069" s="1" t="s">
        <v>64</v>
      </c>
      <c r="B3069" s="1" t="s">
        <v>65</v>
      </c>
      <c r="C3069" s="1">
        <v>2021</v>
      </c>
      <c r="D3069" s="1">
        <v>44419</v>
      </c>
      <c r="E3069" s="1">
        <v>571</v>
      </c>
      <c r="F3069" s="1">
        <v>1132</v>
      </c>
      <c r="G3069" s="1">
        <v>2362837</v>
      </c>
      <c r="H3069" s="1" t="s">
        <v>70</v>
      </c>
    </row>
    <row r="3070" spans="1:8" x14ac:dyDescent="0.3">
      <c r="A3070" s="1" t="s">
        <v>66</v>
      </c>
      <c r="B3070" s="1" t="s">
        <v>67</v>
      </c>
      <c r="C3070" s="1">
        <v>2021</v>
      </c>
      <c r="D3070" s="1">
        <v>369840</v>
      </c>
      <c r="E3070" s="1">
        <v>11012</v>
      </c>
      <c r="F3070" s="1">
        <v>16380</v>
      </c>
      <c r="G3070" s="1">
        <v>7590025</v>
      </c>
      <c r="H3070" s="1" t="s">
        <v>70</v>
      </c>
    </row>
    <row r="3071" spans="1:8" x14ac:dyDescent="0.3">
      <c r="A3071" s="1" t="s">
        <v>68</v>
      </c>
      <c r="B3071" s="1" t="s">
        <v>69</v>
      </c>
      <c r="C3071" s="1">
        <v>2021</v>
      </c>
      <c r="D3071" s="1">
        <v>51066</v>
      </c>
      <c r="E3071" s="1">
        <v>203</v>
      </c>
      <c r="F3071" s="1">
        <v>1080</v>
      </c>
      <c r="G3071" s="1">
        <v>3785646</v>
      </c>
      <c r="H3071" s="1" t="s">
        <v>70</v>
      </c>
    </row>
    <row r="3072" spans="1:8" x14ac:dyDescent="0.3">
      <c r="A3072" s="1" t="s">
        <v>71</v>
      </c>
      <c r="B3072" s="1" t="s">
        <v>72</v>
      </c>
      <c r="C3072" s="1">
        <v>2021</v>
      </c>
      <c r="D3072" s="1">
        <v>20484</v>
      </c>
      <c r="E3072" s="1">
        <v>310</v>
      </c>
      <c r="F3072" s="1">
        <v>259</v>
      </c>
      <c r="G3072" s="1">
        <v>650685</v>
      </c>
      <c r="H3072" s="1" t="s">
        <v>70</v>
      </c>
    </row>
    <row r="3073" spans="1:8" x14ac:dyDescent="0.3">
      <c r="A3073" s="1" t="s">
        <v>73</v>
      </c>
      <c r="B3073" s="1" t="s">
        <v>74</v>
      </c>
      <c r="C3073" s="1">
        <v>2021</v>
      </c>
      <c r="D3073" s="1">
        <v>27710</v>
      </c>
      <c r="E3073" s="1">
        <v>529</v>
      </c>
      <c r="F3073" s="1">
        <v>402</v>
      </c>
      <c r="G3073" s="1">
        <v>1153970</v>
      </c>
      <c r="H3073" s="1" t="s">
        <v>70</v>
      </c>
    </row>
    <row r="3074" spans="1:8" x14ac:dyDescent="0.3">
      <c r="A3074" s="1" t="s">
        <v>75</v>
      </c>
      <c r="B3074" s="1" t="s">
        <v>76</v>
      </c>
      <c r="C3074" s="1">
        <v>2021</v>
      </c>
      <c r="D3074" s="1">
        <v>41507</v>
      </c>
      <c r="E3074" s="1">
        <v>1350</v>
      </c>
      <c r="F3074" s="1">
        <v>326</v>
      </c>
      <c r="G3074" s="1">
        <v>1701382</v>
      </c>
      <c r="H3074" s="1" t="s">
        <v>70</v>
      </c>
    </row>
    <row r="3075" spans="1:8" x14ac:dyDescent="0.3">
      <c r="A3075" s="1" t="s">
        <v>77</v>
      </c>
      <c r="B3075" s="1" t="s">
        <v>78</v>
      </c>
      <c r="C3075" s="1">
        <v>2021</v>
      </c>
      <c r="D3075" s="1">
        <v>16722</v>
      </c>
      <c r="E3075" s="1">
        <v>135</v>
      </c>
      <c r="F3075" s="1">
        <v>168</v>
      </c>
      <c r="G3075" s="1">
        <v>548800</v>
      </c>
      <c r="H3075" s="1" t="s">
        <v>70</v>
      </c>
    </row>
    <row r="3076" spans="1:8" x14ac:dyDescent="0.3">
      <c r="A3076" s="1" t="s">
        <v>79</v>
      </c>
      <c r="B3076" s="1" t="s">
        <v>80</v>
      </c>
      <c r="C3076" s="1">
        <v>2021</v>
      </c>
      <c r="D3076" s="1">
        <v>14671</v>
      </c>
      <c r="E3076" s="1">
        <v>129</v>
      </c>
      <c r="F3076" s="1">
        <v>111</v>
      </c>
      <c r="G3076" s="1">
        <v>1210486</v>
      </c>
      <c r="H3076" s="1" t="s">
        <v>70</v>
      </c>
    </row>
    <row r="3077" spans="1:8" x14ac:dyDescent="0.3">
      <c r="A3077" s="1" t="s">
        <v>81</v>
      </c>
      <c r="B3077" s="1" t="s">
        <v>82</v>
      </c>
      <c r="C3077" s="1">
        <v>2021</v>
      </c>
      <c r="D3077" s="1">
        <v>12774</v>
      </c>
      <c r="E3077" s="1">
        <v>176</v>
      </c>
      <c r="F3077" s="1">
        <v>76</v>
      </c>
      <c r="G3077" s="1">
        <v>696194</v>
      </c>
      <c r="H3077" s="1" t="s">
        <v>70</v>
      </c>
    </row>
    <row r="3078" spans="1:8" x14ac:dyDescent="0.3">
      <c r="A3078" s="1" t="s">
        <v>83</v>
      </c>
      <c r="B3078" s="1" t="s">
        <v>84</v>
      </c>
      <c r="C3078" s="1">
        <v>2021</v>
      </c>
      <c r="D3078" s="1">
        <v>59641</v>
      </c>
      <c r="E3078" s="1">
        <v>468</v>
      </c>
      <c r="F3078" s="1">
        <v>845</v>
      </c>
      <c r="G3078" s="1">
        <v>6265342</v>
      </c>
      <c r="H3078" s="1" t="s">
        <v>70</v>
      </c>
    </row>
    <row r="3079" spans="1:8" x14ac:dyDescent="0.3">
      <c r="A3079" s="1" t="s">
        <v>85</v>
      </c>
      <c r="B3079" s="1" t="s">
        <v>86</v>
      </c>
      <c r="C3079" s="1">
        <v>2021</v>
      </c>
      <c r="D3079" s="1">
        <v>20561</v>
      </c>
      <c r="E3079" s="1">
        <v>192</v>
      </c>
      <c r="F3079" s="1">
        <v>72</v>
      </c>
      <c r="G3079" s="1">
        <v>656826</v>
      </c>
      <c r="H3079" s="1" t="s">
        <v>70</v>
      </c>
    </row>
    <row r="3080" spans="1:8" x14ac:dyDescent="0.3">
      <c r="A3080" s="1" t="s">
        <v>87</v>
      </c>
      <c r="B3080" s="1" t="s">
        <v>88</v>
      </c>
      <c r="C3080" s="1">
        <v>2021</v>
      </c>
      <c r="D3080" s="1">
        <v>15072</v>
      </c>
      <c r="E3080" s="1">
        <v>148</v>
      </c>
      <c r="F3080" s="1">
        <v>65</v>
      </c>
      <c r="G3080" s="1">
        <v>1191649</v>
      </c>
      <c r="H3080" s="1" t="s">
        <v>70</v>
      </c>
    </row>
    <row r="3081" spans="1:8" x14ac:dyDescent="0.3">
      <c r="A3081" s="1" t="s">
        <v>89</v>
      </c>
      <c r="B3081" s="1" t="s">
        <v>90</v>
      </c>
      <c r="C3081" s="1">
        <v>2021</v>
      </c>
      <c r="D3081" s="1">
        <v>27707</v>
      </c>
      <c r="E3081" s="1">
        <v>333</v>
      </c>
      <c r="F3081" s="1">
        <v>229</v>
      </c>
      <c r="G3081" s="1">
        <v>2376230</v>
      </c>
      <c r="H3081" s="1" t="s">
        <v>70</v>
      </c>
    </row>
    <row r="3082" spans="1:8" x14ac:dyDescent="0.3">
      <c r="A3082" s="1" t="s">
        <v>91</v>
      </c>
      <c r="B3082" s="1" t="s">
        <v>92</v>
      </c>
      <c r="C3082" s="1">
        <v>2021</v>
      </c>
      <c r="D3082" s="1">
        <v>12422</v>
      </c>
      <c r="E3082" s="1">
        <v>75</v>
      </c>
      <c r="F3082" s="1">
        <v>48</v>
      </c>
      <c r="G3082" s="1">
        <v>358982</v>
      </c>
      <c r="H3082" s="1" t="s">
        <v>70</v>
      </c>
    </row>
    <row r="3083" spans="1:8" x14ac:dyDescent="0.3">
      <c r="A3083" s="1" t="s">
        <v>93</v>
      </c>
      <c r="B3083" s="1" t="s">
        <v>94</v>
      </c>
      <c r="C3083" s="1">
        <v>2021</v>
      </c>
      <c r="D3083" s="1">
        <v>14488</v>
      </c>
      <c r="E3083" s="1">
        <v>210</v>
      </c>
      <c r="F3083" s="1">
        <v>128</v>
      </c>
      <c r="G3083" s="1">
        <v>1028928</v>
      </c>
      <c r="H3083" s="1" t="s">
        <v>70</v>
      </c>
    </row>
    <row r="3084" spans="1:8" x14ac:dyDescent="0.3">
      <c r="A3084" s="1" t="s">
        <v>95</v>
      </c>
      <c r="B3084" s="1" t="s">
        <v>96</v>
      </c>
      <c r="C3084" s="1">
        <v>2021</v>
      </c>
      <c r="D3084" s="1">
        <v>12528</v>
      </c>
      <c r="E3084" s="1">
        <v>162</v>
      </c>
      <c r="F3084" s="1">
        <v>98</v>
      </c>
      <c r="G3084" s="1">
        <v>720194</v>
      </c>
      <c r="H3084" s="1" t="s">
        <v>70</v>
      </c>
    </row>
    <row r="3085" spans="1:8" x14ac:dyDescent="0.3">
      <c r="A3085" s="1" t="s">
        <v>97</v>
      </c>
      <c r="B3085" s="1" t="s">
        <v>98</v>
      </c>
      <c r="C3085" s="1">
        <v>2021</v>
      </c>
      <c r="D3085" s="1">
        <v>33037</v>
      </c>
      <c r="E3085" s="1">
        <v>403</v>
      </c>
      <c r="F3085" s="1">
        <v>349</v>
      </c>
      <c r="G3085" s="1">
        <v>1310694</v>
      </c>
      <c r="H3085" s="1" t="s">
        <v>70</v>
      </c>
    </row>
    <row r="3086" spans="1:8" x14ac:dyDescent="0.3">
      <c r="A3086" s="1" t="s">
        <v>99</v>
      </c>
      <c r="B3086" s="1" t="s">
        <v>100</v>
      </c>
      <c r="C3086" s="1">
        <v>2021</v>
      </c>
      <c r="D3086" s="1">
        <v>35868</v>
      </c>
      <c r="E3086" s="1">
        <v>909</v>
      </c>
      <c r="F3086" s="1">
        <v>289</v>
      </c>
      <c r="G3086" s="1">
        <v>1479709</v>
      </c>
      <c r="H3086" s="1" t="s">
        <v>70</v>
      </c>
    </row>
    <row r="3087" spans="1:8" x14ac:dyDescent="0.3">
      <c r="A3087" s="1" t="s">
        <v>101</v>
      </c>
      <c r="B3087" s="1" t="s">
        <v>102</v>
      </c>
      <c r="C3087" s="1">
        <v>2021</v>
      </c>
      <c r="D3087" s="1">
        <v>15528</v>
      </c>
      <c r="E3087" s="1">
        <v>200</v>
      </c>
      <c r="F3087" s="1">
        <v>88</v>
      </c>
      <c r="G3087" s="1">
        <v>929764</v>
      </c>
      <c r="H3087" s="1" t="s">
        <v>70</v>
      </c>
    </row>
    <row r="3088" spans="1:8" x14ac:dyDescent="0.3">
      <c r="A3088" s="1" t="s">
        <v>103</v>
      </c>
      <c r="B3088" s="1" t="s">
        <v>104</v>
      </c>
      <c r="C3088" s="1">
        <v>2021</v>
      </c>
      <c r="D3088" s="1">
        <v>11589</v>
      </c>
      <c r="E3088" s="1">
        <v>75</v>
      </c>
      <c r="F3088" s="1">
        <v>74</v>
      </c>
      <c r="G3088" s="1">
        <v>1144934</v>
      </c>
      <c r="H3088" s="1" t="s">
        <v>70</v>
      </c>
    </row>
    <row r="3089" spans="1:8" x14ac:dyDescent="0.3">
      <c r="A3089" s="1" t="s">
        <v>105</v>
      </c>
      <c r="B3089" s="1" t="s">
        <v>106</v>
      </c>
      <c r="C3089" s="1">
        <v>2021</v>
      </c>
      <c r="D3089" s="1">
        <v>27372</v>
      </c>
      <c r="E3089" s="1">
        <v>313</v>
      </c>
      <c r="F3089" s="1">
        <v>62</v>
      </c>
      <c r="G3089" s="1">
        <v>497865</v>
      </c>
      <c r="H3089" s="1" t="s">
        <v>70</v>
      </c>
    </row>
    <row r="3090" spans="1:8" x14ac:dyDescent="0.3">
      <c r="A3090" s="1" t="s">
        <v>107</v>
      </c>
      <c r="B3090" s="1" t="s">
        <v>108</v>
      </c>
      <c r="C3090" s="1">
        <v>2021</v>
      </c>
      <c r="D3090" s="1">
        <v>23337</v>
      </c>
      <c r="E3090" s="1">
        <v>335</v>
      </c>
      <c r="F3090" s="1">
        <v>216</v>
      </c>
      <c r="G3090" s="1">
        <v>1524053</v>
      </c>
      <c r="H3090" s="1" t="s">
        <v>70</v>
      </c>
    </row>
    <row r="3091" spans="1:8" x14ac:dyDescent="0.3">
      <c r="A3091" s="1" t="s">
        <v>109</v>
      </c>
      <c r="B3091" s="1" t="s">
        <v>110</v>
      </c>
      <c r="C3091" s="1">
        <v>2021</v>
      </c>
      <c r="D3091" s="1">
        <v>156157</v>
      </c>
      <c r="E3091" s="1">
        <v>1438</v>
      </c>
      <c r="F3091" s="1">
        <v>3729</v>
      </c>
      <c r="G3091" s="1">
        <v>16538940</v>
      </c>
      <c r="H3091" s="1" t="s">
        <v>70</v>
      </c>
    </row>
    <row r="3092" spans="1:8" x14ac:dyDescent="0.3">
      <c r="A3092" s="1" t="s">
        <v>111</v>
      </c>
      <c r="B3092" s="1" t="s">
        <v>112</v>
      </c>
      <c r="C3092" s="1">
        <v>2021</v>
      </c>
      <c r="D3092" s="1">
        <v>40629</v>
      </c>
      <c r="E3092" s="1">
        <v>393</v>
      </c>
      <c r="F3092" s="1">
        <v>847</v>
      </c>
      <c r="G3092" s="1">
        <v>5379989</v>
      </c>
      <c r="H3092" s="1" t="s">
        <v>70</v>
      </c>
    </row>
    <row r="3093" spans="1:8" x14ac:dyDescent="0.3">
      <c r="A3093" s="1" t="s">
        <v>113</v>
      </c>
      <c r="B3093" s="1" t="s">
        <v>114</v>
      </c>
      <c r="C3093" s="1">
        <v>2021</v>
      </c>
      <c r="D3093" s="1">
        <v>96681</v>
      </c>
      <c r="E3093" s="1">
        <v>1194</v>
      </c>
      <c r="F3093" s="1">
        <v>1655</v>
      </c>
      <c r="G3093" s="1">
        <v>3807383</v>
      </c>
      <c r="H3093" s="1" t="s">
        <v>70</v>
      </c>
    </row>
    <row r="3094" spans="1:8" x14ac:dyDescent="0.3">
      <c r="A3094" s="1" t="s">
        <v>115</v>
      </c>
      <c r="B3094" s="1" t="s">
        <v>116</v>
      </c>
      <c r="C3094" s="1">
        <v>2021</v>
      </c>
      <c r="D3094" s="1">
        <v>47066</v>
      </c>
      <c r="E3094" s="1">
        <v>321</v>
      </c>
      <c r="F3094" s="1">
        <v>503</v>
      </c>
      <c r="G3094" s="1">
        <v>2536459</v>
      </c>
      <c r="H3094" s="1" t="s">
        <v>70</v>
      </c>
    </row>
    <row r="3095" spans="1:8" x14ac:dyDescent="0.3">
      <c r="A3095" s="1" t="s">
        <v>117</v>
      </c>
      <c r="B3095" s="1" t="s">
        <v>118</v>
      </c>
      <c r="C3095" s="1">
        <v>2021</v>
      </c>
      <c r="D3095" s="1">
        <v>39282</v>
      </c>
      <c r="E3095" s="1">
        <v>438</v>
      </c>
      <c r="F3095" s="1">
        <v>129</v>
      </c>
      <c r="G3095" s="1">
        <v>669404</v>
      </c>
      <c r="H3095" s="1" t="s">
        <v>70</v>
      </c>
    </row>
    <row r="3096" spans="1:8" x14ac:dyDescent="0.3">
      <c r="A3096" s="1" t="s">
        <v>119</v>
      </c>
      <c r="B3096" s="1" t="s">
        <v>120</v>
      </c>
      <c r="C3096" s="1">
        <v>2021</v>
      </c>
      <c r="D3096" s="1">
        <v>32300</v>
      </c>
      <c r="E3096" s="1">
        <v>303</v>
      </c>
      <c r="F3096" s="1">
        <v>117</v>
      </c>
      <c r="G3096" s="1">
        <v>441362</v>
      </c>
      <c r="H3096" s="1" t="s">
        <v>70</v>
      </c>
    </row>
    <row r="3097" spans="1:8" x14ac:dyDescent="0.3">
      <c r="A3097" s="1" t="s">
        <v>121</v>
      </c>
      <c r="B3097" s="1" t="s">
        <v>122</v>
      </c>
      <c r="C3097" s="1">
        <v>2021</v>
      </c>
      <c r="D3097" s="1">
        <v>27744</v>
      </c>
      <c r="E3097" s="1">
        <v>201</v>
      </c>
      <c r="F3097" s="1">
        <v>45</v>
      </c>
      <c r="G3097" s="1">
        <v>171794</v>
      </c>
      <c r="H3097" s="1" t="s">
        <v>70</v>
      </c>
    </row>
    <row r="3098" spans="1:8" x14ac:dyDescent="0.3">
      <c r="A3098" s="1" t="s">
        <v>123</v>
      </c>
      <c r="B3098" s="1" t="s">
        <v>124</v>
      </c>
      <c r="C3098" s="1">
        <v>2021</v>
      </c>
      <c r="D3098" s="1">
        <v>22501</v>
      </c>
      <c r="E3098" s="1">
        <v>56</v>
      </c>
      <c r="F3098" s="1">
        <v>81</v>
      </c>
      <c r="G3098" s="1">
        <v>506665</v>
      </c>
      <c r="H3098" s="1" t="s">
        <v>70</v>
      </c>
    </row>
    <row r="3099" spans="1:8" x14ac:dyDescent="0.3">
      <c r="A3099" s="1" t="s">
        <v>125</v>
      </c>
      <c r="B3099" s="1" t="s">
        <v>126</v>
      </c>
      <c r="C3099" s="1">
        <v>2021</v>
      </c>
      <c r="D3099" s="1">
        <v>13424</v>
      </c>
      <c r="E3099" s="1">
        <v>58</v>
      </c>
      <c r="F3099" s="1">
        <v>26</v>
      </c>
      <c r="G3099" s="1">
        <v>77072</v>
      </c>
      <c r="H3099" s="1" t="s">
        <v>70</v>
      </c>
    </row>
    <row r="3100" spans="1:8" x14ac:dyDescent="0.3">
      <c r="A3100" s="1" t="s">
        <v>127</v>
      </c>
      <c r="B3100" s="1" t="s">
        <v>128</v>
      </c>
      <c r="C3100" s="1">
        <v>2021</v>
      </c>
      <c r="D3100" s="1">
        <v>23835</v>
      </c>
      <c r="E3100" s="1">
        <v>129</v>
      </c>
      <c r="F3100" s="1">
        <v>27</v>
      </c>
      <c r="G3100" s="1">
        <v>332020</v>
      </c>
      <c r="H3100" s="1" t="s">
        <v>70</v>
      </c>
    </row>
    <row r="3101" spans="1:8" x14ac:dyDescent="0.3">
      <c r="A3101" s="1" t="s">
        <v>129</v>
      </c>
      <c r="B3101" s="1" t="s">
        <v>130</v>
      </c>
      <c r="C3101" s="1">
        <v>2021</v>
      </c>
      <c r="D3101" s="1">
        <v>31813</v>
      </c>
      <c r="E3101" s="1">
        <v>203</v>
      </c>
      <c r="F3101" s="1">
        <v>162</v>
      </c>
      <c r="G3101" s="1">
        <v>426182</v>
      </c>
      <c r="H3101" s="1" t="s">
        <v>70</v>
      </c>
    </row>
    <row r="3102" spans="1:8" x14ac:dyDescent="0.3">
      <c r="A3102" s="1" t="s">
        <v>131</v>
      </c>
      <c r="B3102" s="1" t="s">
        <v>132</v>
      </c>
      <c r="C3102" s="1">
        <v>2021</v>
      </c>
      <c r="D3102" s="1">
        <v>31161</v>
      </c>
      <c r="E3102" s="1">
        <v>368</v>
      </c>
      <c r="F3102" s="1">
        <v>111</v>
      </c>
      <c r="G3102" s="1">
        <v>380779</v>
      </c>
      <c r="H3102" s="1" t="s">
        <v>70</v>
      </c>
    </row>
    <row r="3103" spans="1:8" x14ac:dyDescent="0.3">
      <c r="A3103" s="1" t="s">
        <v>133</v>
      </c>
      <c r="B3103" s="1" t="s">
        <v>134</v>
      </c>
      <c r="C3103" s="1">
        <v>2021</v>
      </c>
      <c r="D3103" s="1">
        <v>54100</v>
      </c>
      <c r="E3103" s="1">
        <v>1223</v>
      </c>
      <c r="F3103" s="1">
        <v>207</v>
      </c>
      <c r="G3103" s="1">
        <v>326969</v>
      </c>
      <c r="H3103" s="1" t="s">
        <v>70</v>
      </c>
    </row>
    <row r="3104" spans="1:8" x14ac:dyDescent="0.3">
      <c r="A3104" s="1" t="s">
        <v>135</v>
      </c>
      <c r="B3104" s="1" t="s">
        <v>136</v>
      </c>
      <c r="C3104" s="1">
        <v>2021</v>
      </c>
      <c r="D3104" s="1">
        <v>19573</v>
      </c>
      <c r="E3104" s="1">
        <v>185</v>
      </c>
      <c r="F3104" s="1">
        <v>90</v>
      </c>
      <c r="G3104" s="1">
        <v>228041</v>
      </c>
      <c r="H3104" s="1" t="s">
        <v>70</v>
      </c>
    </row>
    <row r="3105" spans="1:8" x14ac:dyDescent="0.3">
      <c r="A3105" s="1" t="s">
        <v>137</v>
      </c>
      <c r="B3105" s="1" t="s">
        <v>138</v>
      </c>
      <c r="C3105" s="1">
        <v>2021</v>
      </c>
      <c r="D3105" s="1">
        <v>34858</v>
      </c>
      <c r="E3105" s="1">
        <v>386</v>
      </c>
      <c r="F3105" s="1">
        <v>150</v>
      </c>
      <c r="G3105" s="1">
        <v>501403</v>
      </c>
      <c r="H3105" s="1" t="s">
        <v>70</v>
      </c>
    </row>
    <row r="3106" spans="1:8" x14ac:dyDescent="0.3">
      <c r="A3106" s="1" t="s">
        <v>139</v>
      </c>
      <c r="B3106" s="1" t="s">
        <v>140</v>
      </c>
      <c r="C3106" s="1">
        <v>2021</v>
      </c>
      <c r="D3106" s="1">
        <v>20706</v>
      </c>
      <c r="E3106" s="1">
        <v>119</v>
      </c>
      <c r="F3106" s="1">
        <v>64</v>
      </c>
      <c r="G3106" s="1">
        <v>932036</v>
      </c>
      <c r="H3106" s="1" t="s">
        <v>70</v>
      </c>
    </row>
    <row r="3107" spans="1:8" x14ac:dyDescent="0.3">
      <c r="A3107" s="1" t="s">
        <v>141</v>
      </c>
      <c r="B3107" s="1" t="s">
        <v>142</v>
      </c>
      <c r="C3107" s="1">
        <v>2021</v>
      </c>
      <c r="D3107" s="1">
        <v>12885</v>
      </c>
      <c r="E3107" s="1">
        <v>64</v>
      </c>
      <c r="F3107" s="1">
        <v>29</v>
      </c>
      <c r="G3107" s="1">
        <v>193008</v>
      </c>
      <c r="H3107" s="1" t="s">
        <v>70</v>
      </c>
    </row>
    <row r="3108" spans="1:8" x14ac:dyDescent="0.3">
      <c r="A3108" s="1" t="s">
        <v>143</v>
      </c>
      <c r="B3108" s="1" t="s">
        <v>144</v>
      </c>
      <c r="C3108" s="1">
        <v>2021</v>
      </c>
      <c r="D3108" s="1">
        <v>43937</v>
      </c>
      <c r="E3108" s="1">
        <v>350</v>
      </c>
      <c r="F3108" s="1">
        <v>410</v>
      </c>
      <c r="G3108" s="1">
        <v>970840</v>
      </c>
      <c r="H3108" s="1" t="s">
        <v>70</v>
      </c>
    </row>
    <row r="3109" spans="1:8" x14ac:dyDescent="0.3">
      <c r="A3109" s="1" t="s">
        <v>145</v>
      </c>
      <c r="B3109" s="1" t="s">
        <v>146</v>
      </c>
      <c r="C3109" s="1">
        <v>2021</v>
      </c>
      <c r="D3109" s="1">
        <v>19807</v>
      </c>
      <c r="E3109" s="1">
        <v>236</v>
      </c>
      <c r="F3109" s="1">
        <v>64</v>
      </c>
      <c r="G3109" s="1">
        <v>456531</v>
      </c>
      <c r="H3109" s="1" t="s">
        <v>70</v>
      </c>
    </row>
    <row r="3110" spans="1:8" x14ac:dyDescent="0.3">
      <c r="A3110" s="1" t="s">
        <v>147</v>
      </c>
      <c r="B3110" s="1" t="s">
        <v>148</v>
      </c>
      <c r="C3110" s="1">
        <v>2021</v>
      </c>
      <c r="D3110" s="1">
        <v>19866</v>
      </c>
      <c r="E3110" s="1">
        <v>169</v>
      </c>
      <c r="F3110" s="1">
        <v>125</v>
      </c>
      <c r="G3110" s="1">
        <v>320061</v>
      </c>
      <c r="H3110" s="1" t="s">
        <v>70</v>
      </c>
    </row>
    <row r="3111" spans="1:8" x14ac:dyDescent="0.3">
      <c r="A3111" s="1" t="s">
        <v>149</v>
      </c>
      <c r="B3111" s="1" t="s">
        <v>47</v>
      </c>
      <c r="C3111" s="1">
        <v>2021</v>
      </c>
      <c r="D3111" s="1">
        <v>27761</v>
      </c>
      <c r="E3111" s="1">
        <v>345</v>
      </c>
      <c r="F3111" s="1">
        <v>288</v>
      </c>
      <c r="G3111" s="1">
        <v>504624</v>
      </c>
      <c r="H3111" s="1" t="s">
        <v>70</v>
      </c>
    </row>
    <row r="3112" spans="1:8" x14ac:dyDescent="0.3">
      <c r="A3112" s="1" t="s">
        <v>150</v>
      </c>
      <c r="B3112" s="1" t="s">
        <v>151</v>
      </c>
      <c r="C3112" s="1">
        <v>2021</v>
      </c>
      <c r="D3112" s="1">
        <v>27926</v>
      </c>
      <c r="E3112" s="1">
        <v>125</v>
      </c>
      <c r="F3112" s="1">
        <v>67</v>
      </c>
      <c r="G3112" s="1">
        <v>380183</v>
      </c>
      <c r="H3112" s="1" t="s">
        <v>70</v>
      </c>
    </row>
    <row r="3113" spans="1:8" x14ac:dyDescent="0.3">
      <c r="A3113" s="1" t="s">
        <v>152</v>
      </c>
      <c r="B3113" s="1" t="s">
        <v>153</v>
      </c>
      <c r="C3113" s="1">
        <v>2021</v>
      </c>
      <c r="D3113" s="1">
        <v>14229</v>
      </c>
      <c r="E3113" s="1">
        <v>81</v>
      </c>
      <c r="F3113" s="1">
        <v>68</v>
      </c>
      <c r="G3113" s="1">
        <v>630361</v>
      </c>
      <c r="H3113" s="1" t="s">
        <v>70</v>
      </c>
    </row>
    <row r="3114" spans="1:8" x14ac:dyDescent="0.3">
      <c r="A3114" s="1" t="s">
        <v>154</v>
      </c>
      <c r="B3114" s="1" t="s">
        <v>155</v>
      </c>
      <c r="C3114" s="1">
        <v>2021</v>
      </c>
      <c r="D3114" s="1">
        <v>36178</v>
      </c>
      <c r="E3114" s="1">
        <v>350</v>
      </c>
      <c r="F3114" s="1">
        <v>24</v>
      </c>
      <c r="G3114" s="1">
        <v>140442</v>
      </c>
      <c r="H3114" s="1" t="s">
        <v>70</v>
      </c>
    </row>
    <row r="3115" spans="1:8" x14ac:dyDescent="0.3">
      <c r="A3115" s="1" t="s">
        <v>156</v>
      </c>
      <c r="B3115" s="1" t="s">
        <v>157</v>
      </c>
      <c r="C3115" s="1">
        <v>2021</v>
      </c>
      <c r="D3115" s="1">
        <v>24224</v>
      </c>
      <c r="E3115" s="1">
        <v>440</v>
      </c>
      <c r="F3115" s="1">
        <v>487</v>
      </c>
      <c r="G3115" s="1">
        <v>1123688</v>
      </c>
      <c r="H3115" s="1" t="s">
        <v>70</v>
      </c>
    </row>
    <row r="3116" spans="1:8" x14ac:dyDescent="0.3">
      <c r="A3116" s="1" t="s">
        <v>158</v>
      </c>
      <c r="B3116" s="1" t="s">
        <v>159</v>
      </c>
      <c r="C3116" s="1">
        <v>2021</v>
      </c>
      <c r="D3116" s="1">
        <v>25860</v>
      </c>
      <c r="E3116" s="1">
        <v>97</v>
      </c>
      <c r="F3116" s="1">
        <v>472</v>
      </c>
      <c r="G3116" s="1">
        <v>887033</v>
      </c>
      <c r="H3116" s="1" t="s">
        <v>70</v>
      </c>
    </row>
    <row r="3117" spans="1:8" x14ac:dyDescent="0.3">
      <c r="A3117" s="1" t="s">
        <v>160</v>
      </c>
      <c r="B3117" s="1" t="s">
        <v>161</v>
      </c>
      <c r="C3117" s="1">
        <v>2021</v>
      </c>
      <c r="D3117" s="1">
        <v>163293</v>
      </c>
      <c r="E3117" s="1">
        <v>2960</v>
      </c>
      <c r="F3117" s="1">
        <v>5206</v>
      </c>
      <c r="G3117" s="1">
        <v>5447760</v>
      </c>
      <c r="H3117" s="1" t="s">
        <v>70</v>
      </c>
    </row>
    <row r="3118" spans="1:8" x14ac:dyDescent="0.3">
      <c r="A3118" s="1" t="s">
        <v>162</v>
      </c>
      <c r="B3118" s="1" t="s">
        <v>163</v>
      </c>
      <c r="C3118" s="1">
        <v>2021</v>
      </c>
      <c r="D3118" s="1">
        <v>24981</v>
      </c>
      <c r="E3118" s="1">
        <v>184</v>
      </c>
      <c r="F3118" s="1">
        <v>325</v>
      </c>
      <c r="G3118" s="1">
        <v>1914820</v>
      </c>
      <c r="H3118" s="1" t="s">
        <v>70</v>
      </c>
    </row>
    <row r="3119" spans="1:8" x14ac:dyDescent="0.3">
      <c r="A3119" s="1" t="s">
        <v>164</v>
      </c>
      <c r="B3119" s="1" t="s">
        <v>165</v>
      </c>
      <c r="C3119" s="1">
        <v>2021</v>
      </c>
      <c r="D3119" s="1">
        <v>25026</v>
      </c>
      <c r="E3119" s="1">
        <v>390</v>
      </c>
      <c r="F3119" s="1">
        <v>256</v>
      </c>
      <c r="G3119" s="1">
        <v>451625</v>
      </c>
      <c r="H3119" s="1" t="s">
        <v>70</v>
      </c>
    </row>
    <row r="3120" spans="1:8" x14ac:dyDescent="0.3">
      <c r="A3120" s="1" t="s">
        <v>166</v>
      </c>
      <c r="B3120" s="1" t="s">
        <v>167</v>
      </c>
      <c r="C3120" s="1">
        <v>2021</v>
      </c>
      <c r="D3120" s="1">
        <v>20180</v>
      </c>
      <c r="E3120" s="1">
        <v>167</v>
      </c>
      <c r="F3120" s="1">
        <v>188</v>
      </c>
      <c r="G3120" s="1">
        <v>859684</v>
      </c>
      <c r="H3120" s="1" t="s">
        <v>70</v>
      </c>
    </row>
    <row r="3121" spans="1:8" x14ac:dyDescent="0.3">
      <c r="A3121" s="1" t="s">
        <v>168</v>
      </c>
      <c r="B3121" s="1" t="s">
        <v>169</v>
      </c>
      <c r="C3121" s="1">
        <v>2021</v>
      </c>
      <c r="D3121" s="1">
        <v>21348</v>
      </c>
      <c r="E3121" s="1">
        <v>172</v>
      </c>
      <c r="F3121" s="1">
        <v>290</v>
      </c>
      <c r="G3121" s="1">
        <v>1040463</v>
      </c>
      <c r="H3121" s="1" t="s">
        <v>70</v>
      </c>
    </row>
    <row r="3122" spans="1:8" x14ac:dyDescent="0.3">
      <c r="A3122" s="1" t="s">
        <v>170</v>
      </c>
      <c r="B3122" s="1" t="s">
        <v>171</v>
      </c>
      <c r="C3122" s="1">
        <v>2021</v>
      </c>
      <c r="D3122" s="1">
        <v>32488</v>
      </c>
      <c r="E3122" s="1">
        <v>491</v>
      </c>
      <c r="F3122" s="1">
        <v>536</v>
      </c>
      <c r="G3122" s="1">
        <v>1407510</v>
      </c>
      <c r="H3122" s="1" t="s">
        <v>70</v>
      </c>
    </row>
    <row r="3123" spans="1:8" x14ac:dyDescent="0.3">
      <c r="A3123" s="1" t="s">
        <v>172</v>
      </c>
      <c r="B3123" s="1" t="s">
        <v>173</v>
      </c>
      <c r="C3123" s="1">
        <v>2021</v>
      </c>
      <c r="D3123" s="1">
        <v>18050</v>
      </c>
      <c r="E3123" s="1">
        <v>225</v>
      </c>
      <c r="F3123" s="1">
        <v>299</v>
      </c>
      <c r="G3123" s="1">
        <v>472219</v>
      </c>
      <c r="H3123" s="1" t="s">
        <v>70</v>
      </c>
    </row>
    <row r="3124" spans="1:8" x14ac:dyDescent="0.3">
      <c r="A3124" s="1" t="s">
        <v>174</v>
      </c>
      <c r="B3124" s="1" t="s">
        <v>175</v>
      </c>
      <c r="C3124" s="1">
        <v>2021</v>
      </c>
      <c r="D3124" s="1">
        <v>17434</v>
      </c>
      <c r="E3124" s="1">
        <v>133</v>
      </c>
      <c r="F3124" s="1">
        <v>208</v>
      </c>
      <c r="G3124" s="1">
        <v>661127</v>
      </c>
      <c r="H3124" s="1" t="s">
        <v>70</v>
      </c>
    </row>
    <row r="3125" spans="1:8" x14ac:dyDescent="0.3">
      <c r="A3125" s="1" t="s">
        <v>176</v>
      </c>
      <c r="B3125" s="1" t="s">
        <v>177</v>
      </c>
      <c r="C3125" s="1">
        <v>2021</v>
      </c>
      <c r="D3125" s="1">
        <v>12943</v>
      </c>
      <c r="E3125" s="1">
        <v>117</v>
      </c>
      <c r="F3125" s="1">
        <v>135</v>
      </c>
      <c r="G3125" s="1">
        <v>1004591</v>
      </c>
      <c r="H3125" s="1" t="s">
        <v>70</v>
      </c>
    </row>
    <row r="3126" spans="1:8" x14ac:dyDescent="0.3">
      <c r="A3126" s="1" t="s">
        <v>178</v>
      </c>
      <c r="B3126" s="1" t="s">
        <v>179</v>
      </c>
      <c r="C3126" s="1">
        <v>2021</v>
      </c>
      <c r="D3126" s="1">
        <v>20773</v>
      </c>
      <c r="E3126" s="1">
        <v>165</v>
      </c>
      <c r="F3126" s="1">
        <v>423</v>
      </c>
      <c r="G3126" s="1">
        <v>323958</v>
      </c>
      <c r="H3126" s="1" t="s">
        <v>70</v>
      </c>
    </row>
    <row r="3127" spans="1:8" x14ac:dyDescent="0.3">
      <c r="A3127" s="1" t="s">
        <v>180</v>
      </c>
      <c r="B3127" s="1" t="s">
        <v>181</v>
      </c>
      <c r="C3127" s="1">
        <v>2021</v>
      </c>
      <c r="D3127" s="1">
        <v>26678</v>
      </c>
      <c r="E3127" s="1">
        <v>489</v>
      </c>
      <c r="F3127" s="1">
        <v>279</v>
      </c>
      <c r="G3127" s="1">
        <v>650748</v>
      </c>
      <c r="H3127" s="1" t="s">
        <v>70</v>
      </c>
    </row>
    <row r="3128" spans="1:8" x14ac:dyDescent="0.3">
      <c r="A3128" s="1" t="s">
        <v>182</v>
      </c>
      <c r="B3128" s="1" t="s">
        <v>183</v>
      </c>
      <c r="C3128" s="1">
        <v>2021</v>
      </c>
      <c r="D3128" s="1">
        <v>30035</v>
      </c>
      <c r="E3128" s="1">
        <v>184</v>
      </c>
      <c r="F3128" s="1">
        <v>409</v>
      </c>
      <c r="G3128" s="1">
        <v>1904616</v>
      </c>
      <c r="H3128" s="1" t="s">
        <v>70</v>
      </c>
    </row>
    <row r="3129" spans="1:8" x14ac:dyDescent="0.3">
      <c r="A3129" s="1" t="s">
        <v>184</v>
      </c>
      <c r="B3129" s="1" t="s">
        <v>185</v>
      </c>
      <c r="C3129" s="1">
        <v>2021</v>
      </c>
      <c r="D3129" s="1">
        <v>35548</v>
      </c>
      <c r="E3129" s="1">
        <v>244</v>
      </c>
      <c r="F3129" s="1">
        <v>480</v>
      </c>
      <c r="G3129" s="1">
        <v>1473979</v>
      </c>
      <c r="H3129" s="1" t="s">
        <v>70</v>
      </c>
    </row>
    <row r="3130" spans="1:8" x14ac:dyDescent="0.3">
      <c r="A3130" s="1" t="s">
        <v>186</v>
      </c>
      <c r="B3130" s="1" t="s">
        <v>187</v>
      </c>
      <c r="C3130" s="1">
        <v>2021</v>
      </c>
      <c r="D3130" s="1">
        <v>13241</v>
      </c>
      <c r="E3130" s="1">
        <v>109</v>
      </c>
      <c r="F3130" s="1">
        <v>108</v>
      </c>
      <c r="G3130" s="1">
        <v>128515</v>
      </c>
      <c r="H3130" s="1" t="s">
        <v>70</v>
      </c>
    </row>
    <row r="3131" spans="1:8" x14ac:dyDescent="0.3">
      <c r="A3131" s="1" t="s">
        <v>188</v>
      </c>
      <c r="B3131" s="1" t="s">
        <v>189</v>
      </c>
      <c r="C3131" s="1">
        <v>2021</v>
      </c>
      <c r="D3131" s="1">
        <v>55995</v>
      </c>
      <c r="E3131" s="1">
        <v>900</v>
      </c>
      <c r="F3131" s="1">
        <v>1452</v>
      </c>
      <c r="G3131" s="1">
        <v>4377531</v>
      </c>
      <c r="H3131" s="1" t="s">
        <v>70</v>
      </c>
    </row>
    <row r="3132" spans="1:8" x14ac:dyDescent="0.3">
      <c r="A3132" s="1" t="s">
        <v>190</v>
      </c>
      <c r="B3132" s="1" t="s">
        <v>191</v>
      </c>
      <c r="C3132" s="1">
        <v>2021</v>
      </c>
      <c r="D3132" s="1">
        <v>65188</v>
      </c>
      <c r="E3132" s="1">
        <v>1293</v>
      </c>
      <c r="F3132" s="1">
        <v>1870</v>
      </c>
      <c r="G3132" s="1">
        <v>4967916</v>
      </c>
      <c r="H3132" s="1" t="s">
        <v>70</v>
      </c>
    </row>
    <row r="3133" spans="1:8" x14ac:dyDescent="0.3">
      <c r="A3133" s="1" t="s">
        <v>192</v>
      </c>
      <c r="B3133" s="1" t="s">
        <v>193</v>
      </c>
      <c r="C3133" s="1">
        <v>2021</v>
      </c>
      <c r="D3133" s="1">
        <v>41964</v>
      </c>
      <c r="E3133" s="1">
        <v>320</v>
      </c>
      <c r="F3133" s="1">
        <v>415</v>
      </c>
      <c r="G3133" s="1">
        <v>1346312</v>
      </c>
      <c r="H3133" s="1" t="s">
        <v>70</v>
      </c>
    </row>
    <row r="3134" spans="1:8" x14ac:dyDescent="0.3">
      <c r="A3134" s="1" t="s">
        <v>194</v>
      </c>
      <c r="B3134" s="1" t="s">
        <v>195</v>
      </c>
      <c r="C3134" s="1">
        <v>2021</v>
      </c>
      <c r="D3134" s="1">
        <v>38789</v>
      </c>
      <c r="E3134" s="1">
        <v>389</v>
      </c>
      <c r="F3134" s="1">
        <v>360</v>
      </c>
      <c r="G3134" s="1">
        <v>3028279</v>
      </c>
      <c r="H3134" s="1" t="s">
        <v>70</v>
      </c>
    </row>
    <row r="3135" spans="1:8" x14ac:dyDescent="0.3">
      <c r="A3135" s="1" t="s">
        <v>196</v>
      </c>
      <c r="B3135" s="1" t="s">
        <v>197</v>
      </c>
      <c r="C3135" s="1">
        <v>2021</v>
      </c>
      <c r="D3135" s="1">
        <v>20004</v>
      </c>
      <c r="E3135" s="1">
        <v>190</v>
      </c>
      <c r="F3135" s="1">
        <v>72</v>
      </c>
      <c r="G3135" s="1">
        <v>717518</v>
      </c>
      <c r="H3135" s="1" t="s">
        <v>70</v>
      </c>
    </row>
    <row r="3136" spans="1:8" x14ac:dyDescent="0.3">
      <c r="A3136" s="1" t="s">
        <v>198</v>
      </c>
      <c r="B3136" s="1" t="s">
        <v>199</v>
      </c>
      <c r="C3136" s="1">
        <v>2021</v>
      </c>
      <c r="D3136" s="1">
        <v>16973</v>
      </c>
      <c r="E3136" s="1">
        <v>78</v>
      </c>
      <c r="F3136" s="1">
        <v>60</v>
      </c>
      <c r="G3136" s="1">
        <v>335467</v>
      </c>
      <c r="H3136" s="1" t="s">
        <v>70</v>
      </c>
    </row>
    <row r="3137" spans="1:8" x14ac:dyDescent="0.3">
      <c r="A3137" s="1" t="s">
        <v>200</v>
      </c>
      <c r="B3137" s="1" t="s">
        <v>201</v>
      </c>
      <c r="C3137" s="1">
        <v>2021</v>
      </c>
      <c r="D3137" s="1">
        <v>27744</v>
      </c>
      <c r="E3137" s="1">
        <v>250</v>
      </c>
      <c r="F3137" s="1">
        <v>71</v>
      </c>
      <c r="G3137" s="1">
        <v>897976</v>
      </c>
      <c r="H3137" s="1" t="s">
        <v>70</v>
      </c>
    </row>
    <row r="3138" spans="1:8" x14ac:dyDescent="0.3">
      <c r="A3138" s="1" t="s">
        <v>202</v>
      </c>
      <c r="B3138" s="1" t="s">
        <v>203</v>
      </c>
      <c r="C3138" s="1">
        <v>2021</v>
      </c>
      <c r="D3138" s="1">
        <v>26490</v>
      </c>
      <c r="E3138" s="1">
        <v>524</v>
      </c>
      <c r="F3138" s="1">
        <v>87</v>
      </c>
      <c r="G3138" s="1">
        <v>362784</v>
      </c>
      <c r="H3138" s="1" t="s">
        <v>70</v>
      </c>
    </row>
    <row r="3139" spans="1:8" x14ac:dyDescent="0.3">
      <c r="A3139" s="1" t="s">
        <v>204</v>
      </c>
      <c r="B3139" s="1" t="s">
        <v>205</v>
      </c>
      <c r="C3139" s="1">
        <v>2021</v>
      </c>
      <c r="D3139" s="1">
        <v>26430</v>
      </c>
      <c r="E3139" s="1">
        <v>233</v>
      </c>
      <c r="F3139" s="1">
        <v>102</v>
      </c>
      <c r="G3139" s="1">
        <v>266297</v>
      </c>
      <c r="H3139" s="1" t="s">
        <v>70</v>
      </c>
    </row>
    <row r="3140" spans="1:8" x14ac:dyDescent="0.3">
      <c r="A3140" s="1" t="s">
        <v>206</v>
      </c>
      <c r="B3140" s="1" t="s">
        <v>207</v>
      </c>
      <c r="C3140" s="1">
        <v>2021</v>
      </c>
      <c r="D3140" s="1">
        <v>53631</v>
      </c>
      <c r="E3140" s="1">
        <v>594</v>
      </c>
      <c r="F3140" s="1">
        <v>436</v>
      </c>
      <c r="G3140" s="1">
        <v>846949</v>
      </c>
      <c r="H3140" s="1" t="s">
        <v>70</v>
      </c>
    </row>
    <row r="3141" spans="1:8" x14ac:dyDescent="0.3">
      <c r="A3141" s="1" t="s">
        <v>208</v>
      </c>
      <c r="B3141" s="1" t="s">
        <v>209</v>
      </c>
      <c r="C3141" s="1">
        <v>2021</v>
      </c>
      <c r="D3141" s="1">
        <v>17259</v>
      </c>
      <c r="E3141" s="1">
        <v>158</v>
      </c>
      <c r="F3141" s="1">
        <v>19</v>
      </c>
      <c r="G3141" s="1">
        <v>160549</v>
      </c>
      <c r="H3141" s="1" t="s">
        <v>70</v>
      </c>
    </row>
    <row r="3142" spans="1:8" x14ac:dyDescent="0.3">
      <c r="A3142" s="1" t="s">
        <v>210</v>
      </c>
      <c r="B3142" s="1" t="s">
        <v>211</v>
      </c>
      <c r="C3142" s="1">
        <v>2021</v>
      </c>
      <c r="D3142" s="1">
        <v>31525</v>
      </c>
      <c r="E3142" s="1">
        <v>454</v>
      </c>
      <c r="F3142" s="1">
        <v>36</v>
      </c>
      <c r="G3142" s="1">
        <v>263838</v>
      </c>
      <c r="H3142" s="1" t="s">
        <v>70</v>
      </c>
    </row>
    <row r="3143" spans="1:8" x14ac:dyDescent="0.3">
      <c r="A3143" s="1" t="s">
        <v>212</v>
      </c>
      <c r="B3143" s="1" t="s">
        <v>213</v>
      </c>
      <c r="C3143" s="1">
        <v>2021</v>
      </c>
      <c r="D3143" s="1">
        <v>16117</v>
      </c>
      <c r="E3143" s="1">
        <v>337</v>
      </c>
      <c r="F3143" s="1">
        <v>98</v>
      </c>
      <c r="G3143" s="1">
        <v>199455</v>
      </c>
      <c r="H3143" s="1" t="s">
        <v>70</v>
      </c>
    </row>
    <row r="3144" spans="1:8" x14ac:dyDescent="0.3">
      <c r="A3144" s="1" t="s">
        <v>214</v>
      </c>
      <c r="B3144" s="1" t="s">
        <v>215</v>
      </c>
      <c r="C3144" s="1">
        <v>2021</v>
      </c>
      <c r="D3144" s="1">
        <v>44184</v>
      </c>
      <c r="E3144" s="1">
        <v>463</v>
      </c>
      <c r="F3144" s="1">
        <v>166</v>
      </c>
      <c r="G3144" s="1">
        <v>1116274</v>
      </c>
      <c r="H3144" s="1" t="s">
        <v>70</v>
      </c>
    </row>
    <row r="3145" spans="1:8" x14ac:dyDescent="0.3">
      <c r="A3145" s="1" t="s">
        <v>216</v>
      </c>
      <c r="B3145" s="1" t="s">
        <v>217</v>
      </c>
      <c r="C3145" s="1">
        <v>2021</v>
      </c>
      <c r="D3145" s="1">
        <v>16971</v>
      </c>
      <c r="E3145" s="1">
        <v>127</v>
      </c>
      <c r="F3145" s="1">
        <v>68</v>
      </c>
      <c r="G3145" s="1">
        <v>342647</v>
      </c>
      <c r="H3145" s="1" t="s">
        <v>70</v>
      </c>
    </row>
    <row r="3146" spans="1:8" x14ac:dyDescent="0.3">
      <c r="A3146" s="1" t="s">
        <v>218</v>
      </c>
      <c r="B3146" s="1" t="s">
        <v>219</v>
      </c>
      <c r="C3146" s="1">
        <v>2021</v>
      </c>
      <c r="D3146" s="1">
        <v>40550</v>
      </c>
      <c r="E3146" s="1">
        <v>426</v>
      </c>
      <c r="F3146" s="1">
        <v>256</v>
      </c>
      <c r="G3146" s="1">
        <v>986676</v>
      </c>
      <c r="H3146" s="1" t="s">
        <v>70</v>
      </c>
    </row>
    <row r="3147" spans="1:8" x14ac:dyDescent="0.3">
      <c r="A3147" s="1" t="s">
        <v>220</v>
      </c>
      <c r="B3147" s="1" t="s">
        <v>221</v>
      </c>
      <c r="C3147" s="1">
        <v>2021</v>
      </c>
      <c r="D3147" s="1">
        <v>12711</v>
      </c>
      <c r="E3147" s="1">
        <v>127</v>
      </c>
      <c r="F3147" s="1">
        <v>3</v>
      </c>
      <c r="G3147" s="1">
        <v>8389</v>
      </c>
      <c r="H3147" s="1" t="s">
        <v>70</v>
      </c>
    </row>
    <row r="3148" spans="1:8" x14ac:dyDescent="0.3">
      <c r="A3148" s="1" t="s">
        <v>222</v>
      </c>
      <c r="B3148" s="1" t="s">
        <v>151</v>
      </c>
      <c r="C3148" s="1">
        <v>2021</v>
      </c>
      <c r="D3148" s="1">
        <v>46459</v>
      </c>
      <c r="E3148" s="1">
        <v>498</v>
      </c>
      <c r="F3148" s="1">
        <v>402</v>
      </c>
      <c r="G3148" s="1">
        <v>2468896</v>
      </c>
      <c r="H3148" s="1" t="s">
        <v>70</v>
      </c>
    </row>
    <row r="3149" spans="1:8" x14ac:dyDescent="0.3">
      <c r="A3149" s="1" t="s">
        <v>223</v>
      </c>
      <c r="B3149" s="1" t="s">
        <v>224</v>
      </c>
      <c r="C3149" s="1">
        <v>2021</v>
      </c>
      <c r="D3149" s="1">
        <v>26491</v>
      </c>
      <c r="E3149" s="1">
        <v>168</v>
      </c>
      <c r="F3149" s="1">
        <v>50</v>
      </c>
      <c r="G3149" s="1">
        <v>621142</v>
      </c>
      <c r="H3149" s="1" t="s">
        <v>70</v>
      </c>
    </row>
    <row r="3150" spans="1:8" x14ac:dyDescent="0.3">
      <c r="A3150" s="1" t="s">
        <v>225</v>
      </c>
      <c r="B3150" s="1" t="s">
        <v>226</v>
      </c>
      <c r="C3150" s="1">
        <v>2021</v>
      </c>
      <c r="D3150" s="1">
        <v>14086</v>
      </c>
      <c r="E3150" s="1">
        <v>170</v>
      </c>
      <c r="F3150" s="1">
        <v>102</v>
      </c>
      <c r="G3150" s="1">
        <v>218628</v>
      </c>
      <c r="H3150" s="1" t="s">
        <v>70</v>
      </c>
    </row>
    <row r="3151" spans="1:8" x14ac:dyDescent="0.3">
      <c r="A3151" s="1" t="s">
        <v>227</v>
      </c>
      <c r="B3151" s="1" t="s">
        <v>228</v>
      </c>
      <c r="C3151" s="1">
        <v>2021</v>
      </c>
      <c r="D3151" s="1">
        <v>25417</v>
      </c>
      <c r="E3151" s="1">
        <v>202</v>
      </c>
      <c r="F3151" s="1">
        <v>133</v>
      </c>
      <c r="G3151" s="1">
        <v>1056697</v>
      </c>
      <c r="H3151" s="1" t="s">
        <v>70</v>
      </c>
    </row>
    <row r="3152" spans="1:8" x14ac:dyDescent="0.3">
      <c r="A3152" s="1" t="s">
        <v>229</v>
      </c>
      <c r="B3152" s="1" t="s">
        <v>230</v>
      </c>
      <c r="C3152" s="1">
        <v>2021</v>
      </c>
      <c r="D3152" s="1">
        <v>70135</v>
      </c>
      <c r="E3152" s="1">
        <v>856</v>
      </c>
      <c r="F3152" s="1">
        <v>488</v>
      </c>
      <c r="G3152" s="1">
        <v>1638057</v>
      </c>
      <c r="H3152" s="1" t="s">
        <v>70</v>
      </c>
    </row>
    <row r="3153" spans="1:8" x14ac:dyDescent="0.3">
      <c r="A3153" s="1" t="s">
        <v>231</v>
      </c>
      <c r="B3153" s="1" t="s">
        <v>232</v>
      </c>
      <c r="C3153" s="1">
        <v>2021</v>
      </c>
      <c r="D3153" s="1">
        <v>11899</v>
      </c>
      <c r="E3153" s="1">
        <v>79</v>
      </c>
      <c r="F3153" s="1">
        <v>65</v>
      </c>
      <c r="G3153" s="1">
        <v>221981</v>
      </c>
      <c r="H3153" s="1" t="s">
        <v>70</v>
      </c>
    </row>
    <row r="3154" spans="1:8" x14ac:dyDescent="0.3">
      <c r="A3154" s="1" t="s">
        <v>233</v>
      </c>
      <c r="B3154" s="1" t="s">
        <v>234</v>
      </c>
      <c r="C3154" s="1">
        <v>2021</v>
      </c>
      <c r="D3154" s="1">
        <v>370558</v>
      </c>
      <c r="E3154" s="1">
        <v>4921</v>
      </c>
      <c r="F3154" s="1">
        <v>9291</v>
      </c>
      <c r="G3154" s="1">
        <v>21854300</v>
      </c>
      <c r="H3154" s="1" t="s">
        <v>70</v>
      </c>
    </row>
    <row r="3155" spans="1:8" x14ac:dyDescent="0.3">
      <c r="A3155" s="1" t="s">
        <v>235</v>
      </c>
      <c r="B3155" s="1" t="s">
        <v>236</v>
      </c>
      <c r="C3155" s="1">
        <v>2021</v>
      </c>
      <c r="D3155" s="1">
        <v>31850</v>
      </c>
      <c r="E3155" s="1">
        <v>387</v>
      </c>
      <c r="F3155" s="1">
        <v>476</v>
      </c>
      <c r="G3155" s="1">
        <v>3453901</v>
      </c>
      <c r="H3155" s="1" t="s">
        <v>70</v>
      </c>
    </row>
    <row r="3156" spans="1:8" x14ac:dyDescent="0.3">
      <c r="A3156" s="1" t="s">
        <v>237</v>
      </c>
      <c r="B3156" s="1" t="s">
        <v>238</v>
      </c>
      <c r="C3156" s="1">
        <v>2021</v>
      </c>
      <c r="D3156" s="1">
        <v>20424</v>
      </c>
      <c r="E3156" s="1">
        <v>101</v>
      </c>
      <c r="F3156" s="1">
        <v>245</v>
      </c>
      <c r="G3156" s="1">
        <v>547157</v>
      </c>
      <c r="H3156" s="1" t="s">
        <v>70</v>
      </c>
    </row>
    <row r="3157" spans="1:8" x14ac:dyDescent="0.3">
      <c r="A3157" s="1" t="s">
        <v>239</v>
      </c>
      <c r="B3157" s="1" t="s">
        <v>240</v>
      </c>
      <c r="C3157" s="1">
        <v>2021</v>
      </c>
      <c r="D3157" s="1">
        <v>33945</v>
      </c>
      <c r="E3157" s="1">
        <v>628</v>
      </c>
      <c r="F3157" s="1">
        <v>177</v>
      </c>
      <c r="G3157" s="1">
        <v>361514</v>
      </c>
      <c r="H3157" s="1" t="s">
        <v>70</v>
      </c>
    </row>
    <row r="3158" spans="1:8" x14ac:dyDescent="0.3">
      <c r="A3158" s="1" t="s">
        <v>241</v>
      </c>
      <c r="B3158" s="1" t="s">
        <v>242</v>
      </c>
      <c r="C3158" s="1">
        <v>2021</v>
      </c>
      <c r="D3158" s="1">
        <v>28832</v>
      </c>
      <c r="E3158" s="1">
        <v>337</v>
      </c>
      <c r="F3158" s="1">
        <v>37</v>
      </c>
      <c r="G3158" s="1">
        <v>293575</v>
      </c>
      <c r="H3158" s="1" t="s">
        <v>70</v>
      </c>
    </row>
    <row r="3159" spans="1:8" x14ac:dyDescent="0.3">
      <c r="A3159" s="1" t="s">
        <v>243</v>
      </c>
      <c r="B3159" s="1" t="s">
        <v>244</v>
      </c>
      <c r="C3159" s="1">
        <v>2021</v>
      </c>
      <c r="D3159" s="1">
        <v>46557</v>
      </c>
      <c r="E3159" s="1">
        <v>375</v>
      </c>
      <c r="F3159" s="1">
        <v>400</v>
      </c>
      <c r="G3159" s="1">
        <v>3902655</v>
      </c>
      <c r="H3159" s="1" t="s">
        <v>70</v>
      </c>
    </row>
    <row r="3160" spans="1:8" x14ac:dyDescent="0.3">
      <c r="A3160" s="1" t="s">
        <v>245</v>
      </c>
      <c r="B3160" s="1" t="s">
        <v>246</v>
      </c>
      <c r="C3160" s="1">
        <v>2021</v>
      </c>
      <c r="D3160" s="1">
        <v>17151</v>
      </c>
      <c r="E3160" s="1">
        <v>193</v>
      </c>
      <c r="F3160" s="1">
        <v>49</v>
      </c>
      <c r="G3160" s="1">
        <v>197753</v>
      </c>
      <c r="H3160" s="1" t="s">
        <v>70</v>
      </c>
    </row>
    <row r="3161" spans="1:8" x14ac:dyDescent="0.3">
      <c r="A3161" s="1" t="s">
        <v>247</v>
      </c>
      <c r="B3161" s="1" t="s">
        <v>248</v>
      </c>
      <c r="C3161" s="1">
        <v>2021</v>
      </c>
      <c r="D3161" s="1">
        <v>33251</v>
      </c>
      <c r="E3161" s="1">
        <v>353</v>
      </c>
      <c r="F3161" s="1">
        <v>51</v>
      </c>
      <c r="G3161" s="1">
        <v>869759</v>
      </c>
      <c r="H3161" s="1" t="s">
        <v>70</v>
      </c>
    </row>
    <row r="3162" spans="1:8" x14ac:dyDescent="0.3">
      <c r="A3162" s="1" t="s">
        <v>249</v>
      </c>
      <c r="B3162" s="1" t="s">
        <v>250</v>
      </c>
      <c r="C3162" s="1">
        <v>2021</v>
      </c>
      <c r="D3162" s="1">
        <v>101428</v>
      </c>
      <c r="E3162" s="1">
        <v>1763</v>
      </c>
      <c r="F3162" s="1">
        <v>924</v>
      </c>
      <c r="G3162" s="1">
        <v>1110689</v>
      </c>
      <c r="H3162" s="1" t="s">
        <v>70</v>
      </c>
    </row>
    <row r="3163" spans="1:8" x14ac:dyDescent="0.3">
      <c r="A3163" s="1" t="s">
        <v>251</v>
      </c>
      <c r="B3163" s="1" t="s">
        <v>252</v>
      </c>
      <c r="C3163" s="1">
        <v>2021</v>
      </c>
      <c r="D3163" s="1">
        <v>35589</v>
      </c>
      <c r="E3163" s="1">
        <v>480</v>
      </c>
      <c r="F3163" s="1">
        <v>77</v>
      </c>
      <c r="G3163" s="1">
        <v>282323</v>
      </c>
      <c r="H3163" s="1" t="s">
        <v>70</v>
      </c>
    </row>
    <row r="3164" spans="1:8" x14ac:dyDescent="0.3">
      <c r="A3164" s="1" t="s">
        <v>253</v>
      </c>
      <c r="B3164" s="1" t="s">
        <v>254</v>
      </c>
      <c r="C3164" s="1">
        <v>2021</v>
      </c>
      <c r="D3164" s="1">
        <v>17920</v>
      </c>
      <c r="E3164" s="1">
        <v>67</v>
      </c>
      <c r="F3164" s="1">
        <v>36</v>
      </c>
      <c r="G3164" s="1">
        <v>211103</v>
      </c>
      <c r="H3164" s="1" t="s">
        <v>70</v>
      </c>
    </row>
    <row r="3165" spans="1:8" x14ac:dyDescent="0.3">
      <c r="A3165" s="1" t="s">
        <v>255</v>
      </c>
      <c r="B3165" s="1" t="s">
        <v>256</v>
      </c>
      <c r="C3165" s="1">
        <v>2021</v>
      </c>
      <c r="D3165" s="1">
        <v>38285</v>
      </c>
      <c r="E3165" s="1">
        <v>713</v>
      </c>
      <c r="F3165" s="1">
        <v>94</v>
      </c>
      <c r="G3165" s="1">
        <v>98853</v>
      </c>
      <c r="H3165" s="1" t="s">
        <v>70</v>
      </c>
    </row>
    <row r="3166" spans="1:8" x14ac:dyDescent="0.3">
      <c r="A3166" s="1" t="s">
        <v>257</v>
      </c>
      <c r="B3166" s="1" t="s">
        <v>258</v>
      </c>
      <c r="C3166" s="1">
        <v>2021</v>
      </c>
      <c r="D3166" s="1">
        <v>59970</v>
      </c>
      <c r="E3166" s="1">
        <v>679</v>
      </c>
      <c r="F3166" s="1">
        <v>175</v>
      </c>
      <c r="G3166" s="1">
        <v>563285</v>
      </c>
      <c r="H3166" s="1" t="s">
        <v>70</v>
      </c>
    </row>
    <row r="3167" spans="1:8" x14ac:dyDescent="0.3">
      <c r="A3167" s="1" t="s">
        <v>259</v>
      </c>
      <c r="B3167" s="1" t="s">
        <v>260</v>
      </c>
      <c r="C3167" s="1">
        <v>2021</v>
      </c>
      <c r="D3167" s="1">
        <v>56599</v>
      </c>
      <c r="E3167" s="1">
        <v>691</v>
      </c>
      <c r="F3167" s="1">
        <v>221</v>
      </c>
      <c r="G3167" s="1">
        <v>668776</v>
      </c>
      <c r="H3167" s="1" t="s">
        <v>70</v>
      </c>
    </row>
    <row r="3168" spans="1:8" x14ac:dyDescent="0.3">
      <c r="A3168" s="1" t="s">
        <v>261</v>
      </c>
      <c r="B3168" s="1" t="s">
        <v>262</v>
      </c>
      <c r="C3168" s="1">
        <v>2021</v>
      </c>
      <c r="D3168" s="1">
        <v>39613</v>
      </c>
      <c r="E3168" s="1">
        <v>304</v>
      </c>
      <c r="F3168" s="1">
        <v>286</v>
      </c>
      <c r="G3168" s="1">
        <v>885349</v>
      </c>
      <c r="H3168" s="1" t="s">
        <v>70</v>
      </c>
    </row>
    <row r="3169" spans="1:8" x14ac:dyDescent="0.3">
      <c r="A3169" s="1" t="s">
        <v>263</v>
      </c>
      <c r="B3169" s="1" t="s">
        <v>264</v>
      </c>
      <c r="C3169" s="1">
        <v>2021</v>
      </c>
      <c r="D3169" s="1">
        <v>54207</v>
      </c>
      <c r="E3169" s="1">
        <v>714</v>
      </c>
      <c r="F3169" s="1">
        <v>439</v>
      </c>
      <c r="G3169" s="1">
        <v>2212114</v>
      </c>
      <c r="H3169" s="1" t="s">
        <v>70</v>
      </c>
    </row>
    <row r="3170" spans="1:8" x14ac:dyDescent="0.3">
      <c r="A3170" s="1" t="s">
        <v>265</v>
      </c>
      <c r="B3170" s="1" t="s">
        <v>266</v>
      </c>
      <c r="C3170" s="1">
        <v>2021</v>
      </c>
      <c r="D3170" s="1">
        <v>13470</v>
      </c>
      <c r="E3170" s="1">
        <v>116</v>
      </c>
      <c r="F3170" s="1">
        <v>16</v>
      </c>
      <c r="G3170" s="1">
        <v>396333</v>
      </c>
      <c r="H3170" s="1" t="s">
        <v>70</v>
      </c>
    </row>
    <row r="3171" spans="1:8" x14ac:dyDescent="0.3">
      <c r="A3171" s="1" t="s">
        <v>267</v>
      </c>
      <c r="B3171" s="1" t="s">
        <v>268</v>
      </c>
      <c r="C3171" s="1">
        <v>2021</v>
      </c>
      <c r="D3171" s="1">
        <v>26586</v>
      </c>
      <c r="E3171" s="1">
        <v>355</v>
      </c>
      <c r="F3171" s="1">
        <v>17</v>
      </c>
      <c r="G3171" s="1">
        <v>169877</v>
      </c>
      <c r="H3171" s="1" t="s">
        <v>70</v>
      </c>
    </row>
    <row r="3172" spans="1:8" x14ac:dyDescent="0.3">
      <c r="A3172" s="1" t="s">
        <v>269</v>
      </c>
      <c r="B3172" s="1" t="s">
        <v>270</v>
      </c>
      <c r="C3172" s="1">
        <v>2021</v>
      </c>
      <c r="D3172" s="1">
        <v>57141</v>
      </c>
      <c r="E3172" s="1">
        <v>885</v>
      </c>
      <c r="F3172" s="1">
        <v>38</v>
      </c>
      <c r="G3172" s="1">
        <v>241635</v>
      </c>
      <c r="H3172" s="1" t="s">
        <v>70</v>
      </c>
    </row>
    <row r="3173" spans="1:8" x14ac:dyDescent="0.3">
      <c r="A3173" s="1" t="s">
        <v>271</v>
      </c>
      <c r="B3173" s="1" t="s">
        <v>272</v>
      </c>
      <c r="C3173" s="1">
        <v>2021</v>
      </c>
      <c r="D3173" s="1">
        <v>26020</v>
      </c>
      <c r="E3173" s="1">
        <v>311</v>
      </c>
      <c r="F3173" s="1">
        <v>433</v>
      </c>
      <c r="G3173" s="1">
        <v>346153</v>
      </c>
      <c r="H3173" s="1" t="s">
        <v>70</v>
      </c>
    </row>
    <row r="3174" spans="1:8" x14ac:dyDescent="0.3">
      <c r="A3174" s="1" t="s">
        <v>273</v>
      </c>
      <c r="B3174" s="1" t="s">
        <v>274</v>
      </c>
      <c r="C3174" s="1">
        <v>2021</v>
      </c>
      <c r="D3174" s="1">
        <v>50042</v>
      </c>
      <c r="E3174" s="1">
        <v>546</v>
      </c>
      <c r="F3174" s="1">
        <v>199</v>
      </c>
      <c r="G3174" s="1">
        <v>1101737</v>
      </c>
      <c r="H3174" s="1" t="s">
        <v>70</v>
      </c>
    </row>
    <row r="3175" spans="1:8" x14ac:dyDescent="0.3">
      <c r="A3175" s="1" t="s">
        <v>275</v>
      </c>
      <c r="B3175" s="1" t="s">
        <v>276</v>
      </c>
      <c r="C3175" s="1">
        <v>2021</v>
      </c>
      <c r="D3175" s="1">
        <v>47578</v>
      </c>
      <c r="E3175" s="1">
        <v>1658</v>
      </c>
      <c r="F3175" s="1">
        <v>1146</v>
      </c>
      <c r="G3175" s="1">
        <v>229598</v>
      </c>
      <c r="H3175" s="1" t="s">
        <v>70</v>
      </c>
    </row>
    <row r="3176" spans="1:8" x14ac:dyDescent="0.3">
      <c r="A3176" s="1" t="s">
        <v>277</v>
      </c>
      <c r="B3176" s="1" t="s">
        <v>278</v>
      </c>
      <c r="C3176" s="1">
        <v>2021</v>
      </c>
      <c r="D3176" s="1">
        <v>438684</v>
      </c>
      <c r="E3176" s="1">
        <v>10101</v>
      </c>
      <c r="F3176" s="1">
        <v>15566</v>
      </c>
      <c r="G3176" s="1">
        <v>15332299</v>
      </c>
      <c r="H3176" s="1" t="s">
        <v>70</v>
      </c>
    </row>
    <row r="3177" spans="1:8" x14ac:dyDescent="0.3">
      <c r="A3177" s="1" t="s">
        <v>279</v>
      </c>
      <c r="B3177" s="1" t="s">
        <v>280</v>
      </c>
      <c r="C3177" s="1">
        <v>2021</v>
      </c>
      <c r="D3177" s="1">
        <v>31555</v>
      </c>
      <c r="E3177" s="1">
        <v>380</v>
      </c>
      <c r="F3177" s="1">
        <v>550</v>
      </c>
      <c r="G3177" s="1">
        <v>1741215</v>
      </c>
      <c r="H3177" s="1" t="s">
        <v>70</v>
      </c>
    </row>
    <row r="3178" spans="1:8" x14ac:dyDescent="0.3">
      <c r="A3178" s="1" t="s">
        <v>281</v>
      </c>
      <c r="B3178" s="1" t="s">
        <v>282</v>
      </c>
      <c r="C3178" s="1">
        <v>2021</v>
      </c>
      <c r="D3178" s="1">
        <v>45159</v>
      </c>
      <c r="E3178" s="1">
        <v>274</v>
      </c>
      <c r="F3178" s="1">
        <v>561</v>
      </c>
      <c r="G3178" s="1">
        <v>5693668</v>
      </c>
      <c r="H3178" s="1" t="s">
        <v>70</v>
      </c>
    </row>
    <row r="3179" spans="1:8" x14ac:dyDescent="0.3">
      <c r="A3179" s="1" t="s">
        <v>283</v>
      </c>
      <c r="B3179" s="1" t="s">
        <v>284</v>
      </c>
      <c r="C3179" s="1">
        <v>2021</v>
      </c>
      <c r="D3179" s="1">
        <v>11728</v>
      </c>
      <c r="E3179" s="1">
        <v>156</v>
      </c>
      <c r="F3179" s="1">
        <v>17</v>
      </c>
      <c r="G3179" s="1">
        <v>64409</v>
      </c>
      <c r="H3179" s="1" t="s">
        <v>70</v>
      </c>
    </row>
    <row r="3180" spans="1:8" x14ac:dyDescent="0.3">
      <c r="A3180" s="1" t="s">
        <v>285</v>
      </c>
      <c r="B3180" s="1" t="s">
        <v>286</v>
      </c>
      <c r="C3180" s="1">
        <v>2021</v>
      </c>
      <c r="D3180" s="1">
        <v>33137</v>
      </c>
      <c r="E3180" s="1">
        <v>422</v>
      </c>
      <c r="F3180" s="1">
        <v>386</v>
      </c>
      <c r="G3180" s="1">
        <v>2265208</v>
      </c>
      <c r="H3180" s="1" t="s">
        <v>70</v>
      </c>
    </row>
    <row r="3181" spans="1:8" x14ac:dyDescent="0.3">
      <c r="A3181" s="1" t="s">
        <v>287</v>
      </c>
      <c r="B3181" s="1" t="s">
        <v>288</v>
      </c>
      <c r="C3181" s="1">
        <v>2021</v>
      </c>
      <c r="D3181" s="1">
        <v>36151</v>
      </c>
      <c r="E3181" s="1">
        <v>551</v>
      </c>
      <c r="F3181" s="1">
        <v>182</v>
      </c>
      <c r="G3181" s="1">
        <v>431530</v>
      </c>
      <c r="H3181" s="1" t="s">
        <v>70</v>
      </c>
    </row>
    <row r="3182" spans="1:8" x14ac:dyDescent="0.3">
      <c r="A3182" s="1" t="s">
        <v>289</v>
      </c>
      <c r="B3182" s="1" t="s">
        <v>290</v>
      </c>
      <c r="C3182" s="1">
        <v>2021</v>
      </c>
      <c r="D3182" s="1">
        <v>16115</v>
      </c>
      <c r="E3182" s="1">
        <v>135</v>
      </c>
      <c r="F3182" s="1">
        <v>65</v>
      </c>
      <c r="G3182" s="1">
        <v>635374</v>
      </c>
      <c r="H3182" s="1" t="s">
        <v>70</v>
      </c>
    </row>
    <row r="3183" spans="1:8" x14ac:dyDescent="0.3">
      <c r="A3183" s="1" t="s">
        <v>291</v>
      </c>
      <c r="B3183" s="1" t="s">
        <v>292</v>
      </c>
      <c r="C3183" s="1">
        <v>2021</v>
      </c>
      <c r="D3183" s="1">
        <v>40614</v>
      </c>
      <c r="E3183" s="1">
        <v>1316</v>
      </c>
      <c r="F3183" s="1">
        <v>1007</v>
      </c>
      <c r="G3183" s="1">
        <v>829854</v>
      </c>
      <c r="H3183" s="1" t="s">
        <v>70</v>
      </c>
    </row>
    <row r="3184" spans="1:8" x14ac:dyDescent="0.3">
      <c r="A3184" s="1" t="s">
        <v>293</v>
      </c>
      <c r="B3184" s="1" t="s">
        <v>294</v>
      </c>
      <c r="C3184" s="1">
        <v>2021</v>
      </c>
      <c r="D3184" s="1">
        <v>37910</v>
      </c>
      <c r="E3184" s="1">
        <v>717</v>
      </c>
      <c r="F3184" s="1">
        <v>378</v>
      </c>
      <c r="G3184" s="1">
        <v>568826</v>
      </c>
      <c r="H3184" s="1" t="s">
        <v>70</v>
      </c>
    </row>
    <row r="3185" spans="1:8" x14ac:dyDescent="0.3">
      <c r="A3185" s="1" t="s">
        <v>295</v>
      </c>
      <c r="B3185" s="1" t="s">
        <v>296</v>
      </c>
      <c r="C3185" s="1">
        <v>2021</v>
      </c>
      <c r="D3185" s="1">
        <v>22142</v>
      </c>
      <c r="E3185" s="1">
        <v>213</v>
      </c>
      <c r="F3185" s="1">
        <v>98</v>
      </c>
      <c r="G3185" s="1">
        <v>302514</v>
      </c>
      <c r="H3185" s="1" t="s">
        <v>70</v>
      </c>
    </row>
    <row r="3186" spans="1:8" x14ac:dyDescent="0.3">
      <c r="A3186" s="1" t="s">
        <v>297</v>
      </c>
      <c r="B3186" s="1" t="s">
        <v>298</v>
      </c>
      <c r="C3186" s="1">
        <v>2021</v>
      </c>
      <c r="D3186" s="1">
        <v>52703</v>
      </c>
      <c r="E3186" s="1">
        <v>1766</v>
      </c>
      <c r="F3186" s="1">
        <v>1240</v>
      </c>
      <c r="G3186" s="1">
        <v>1202500</v>
      </c>
      <c r="H3186" s="1" t="s">
        <v>70</v>
      </c>
    </row>
    <row r="3187" spans="1:8" x14ac:dyDescent="0.3">
      <c r="A3187" s="1" t="s">
        <v>299</v>
      </c>
      <c r="B3187" s="1" t="s">
        <v>300</v>
      </c>
      <c r="C3187" s="1">
        <v>2021</v>
      </c>
      <c r="D3187" s="1">
        <v>12343</v>
      </c>
      <c r="E3187" s="1">
        <v>72</v>
      </c>
      <c r="F3187" s="1">
        <v>15</v>
      </c>
      <c r="G3187" s="1">
        <v>72443</v>
      </c>
      <c r="H3187" s="1" t="s">
        <v>70</v>
      </c>
    </row>
    <row r="3188" spans="1:8" x14ac:dyDescent="0.3">
      <c r="A3188" s="1" t="s">
        <v>301</v>
      </c>
      <c r="B3188" s="1" t="s">
        <v>302</v>
      </c>
      <c r="C3188" s="1">
        <v>2021</v>
      </c>
      <c r="D3188" s="1">
        <v>11338</v>
      </c>
      <c r="E3188" s="1">
        <v>91</v>
      </c>
      <c r="F3188" s="1">
        <v>14</v>
      </c>
      <c r="G3188" s="1">
        <v>166717</v>
      </c>
      <c r="H3188" s="1" t="s">
        <v>70</v>
      </c>
    </row>
    <row r="3189" spans="1:8" x14ac:dyDescent="0.3">
      <c r="A3189" s="1" t="s">
        <v>303</v>
      </c>
      <c r="B3189" s="1" t="s">
        <v>304</v>
      </c>
      <c r="C3189" s="1">
        <v>2021</v>
      </c>
      <c r="D3189" s="1">
        <v>15322</v>
      </c>
      <c r="E3189" s="1">
        <v>96</v>
      </c>
      <c r="F3189" s="1">
        <v>43</v>
      </c>
      <c r="G3189" s="1">
        <v>602859</v>
      </c>
      <c r="H3189" s="1" t="s">
        <v>70</v>
      </c>
    </row>
    <row r="3190" spans="1:8" x14ac:dyDescent="0.3">
      <c r="A3190" s="1" t="s">
        <v>305</v>
      </c>
      <c r="B3190" s="1" t="s">
        <v>306</v>
      </c>
      <c r="C3190" s="1">
        <v>2021</v>
      </c>
      <c r="D3190" s="1">
        <v>60445</v>
      </c>
      <c r="E3190" s="1">
        <v>1431</v>
      </c>
      <c r="F3190" s="1">
        <v>798</v>
      </c>
      <c r="G3190" s="1">
        <v>774373</v>
      </c>
      <c r="H3190" s="1" t="s">
        <v>70</v>
      </c>
    </row>
    <row r="3191" spans="1:8" x14ac:dyDescent="0.3">
      <c r="A3191" s="1" t="s">
        <v>307</v>
      </c>
      <c r="B3191" s="1" t="s">
        <v>308</v>
      </c>
      <c r="C3191" s="1">
        <v>2021</v>
      </c>
      <c r="D3191" s="1">
        <v>26645</v>
      </c>
      <c r="E3191" s="1">
        <v>745</v>
      </c>
      <c r="F3191" s="1">
        <v>664</v>
      </c>
      <c r="G3191" s="1">
        <v>992080</v>
      </c>
      <c r="H3191" s="1" t="s">
        <v>70</v>
      </c>
    </row>
    <row r="3192" spans="1:8" x14ac:dyDescent="0.3">
      <c r="A3192" s="1" t="s">
        <v>309</v>
      </c>
      <c r="B3192" s="1" t="s">
        <v>310</v>
      </c>
      <c r="C3192" s="1">
        <v>2021</v>
      </c>
      <c r="D3192" s="1">
        <v>32527</v>
      </c>
      <c r="E3192" s="1">
        <v>609</v>
      </c>
      <c r="F3192" s="1">
        <v>616</v>
      </c>
      <c r="G3192" s="1">
        <v>685070</v>
      </c>
      <c r="H3192" s="1" t="s">
        <v>70</v>
      </c>
    </row>
    <row r="3193" spans="1:8" x14ac:dyDescent="0.3">
      <c r="A3193" s="1" t="s">
        <v>311</v>
      </c>
      <c r="B3193" s="1" t="s">
        <v>312</v>
      </c>
      <c r="C3193" s="1">
        <v>2021</v>
      </c>
      <c r="D3193" s="1">
        <v>25250</v>
      </c>
      <c r="E3193" s="1">
        <v>450</v>
      </c>
      <c r="F3193" s="1">
        <v>4</v>
      </c>
      <c r="G3193" s="1">
        <v>50768</v>
      </c>
      <c r="H3193" s="1" t="s">
        <v>70</v>
      </c>
    </row>
    <row r="3194" spans="1:8" x14ac:dyDescent="0.3">
      <c r="A3194" s="1" t="s">
        <v>313</v>
      </c>
      <c r="B3194" s="1" t="s">
        <v>314</v>
      </c>
      <c r="C3194" s="1">
        <v>2021</v>
      </c>
      <c r="D3194" s="1">
        <v>24918</v>
      </c>
      <c r="E3194" s="1">
        <v>258</v>
      </c>
      <c r="F3194" s="1">
        <v>103</v>
      </c>
      <c r="G3194" s="1">
        <v>546012</v>
      </c>
      <c r="H3194" s="1" t="s">
        <v>70</v>
      </c>
    </row>
    <row r="3195" spans="1:8" x14ac:dyDescent="0.3">
      <c r="A3195" s="1" t="s">
        <v>315</v>
      </c>
      <c r="B3195" s="1" t="s">
        <v>316</v>
      </c>
      <c r="C3195" s="1">
        <v>2021</v>
      </c>
      <c r="D3195" s="1">
        <v>49458</v>
      </c>
      <c r="E3195" s="1">
        <v>641</v>
      </c>
      <c r="F3195" s="1">
        <v>376</v>
      </c>
      <c r="G3195" s="1">
        <v>1084206</v>
      </c>
      <c r="H3195" s="1" t="s">
        <v>70</v>
      </c>
    </row>
    <row r="3196" spans="1:8" x14ac:dyDescent="0.3">
      <c r="A3196" s="1" t="s">
        <v>317</v>
      </c>
      <c r="B3196" s="1" t="s">
        <v>318</v>
      </c>
      <c r="C3196" s="1">
        <v>2021</v>
      </c>
      <c r="D3196" s="1">
        <v>88728</v>
      </c>
      <c r="E3196" s="1">
        <v>2138</v>
      </c>
      <c r="F3196" s="1">
        <v>2695</v>
      </c>
      <c r="G3196" s="1">
        <v>1696069</v>
      </c>
      <c r="H3196" s="1" t="s">
        <v>70</v>
      </c>
    </row>
    <row r="3197" spans="1:8" x14ac:dyDescent="0.3">
      <c r="A3197" s="1" t="s">
        <v>319</v>
      </c>
      <c r="B3197" s="1" t="s">
        <v>320</v>
      </c>
      <c r="C3197" s="1">
        <v>2021</v>
      </c>
      <c r="D3197" s="1">
        <v>35702</v>
      </c>
      <c r="E3197" s="1">
        <v>498</v>
      </c>
      <c r="F3197" s="1">
        <v>84</v>
      </c>
      <c r="G3197" s="1">
        <v>270283</v>
      </c>
      <c r="H3197" s="1" t="s">
        <v>70</v>
      </c>
    </row>
    <row r="3198" spans="1:8" x14ac:dyDescent="0.3">
      <c r="A3198" s="1" t="s">
        <v>321</v>
      </c>
      <c r="B3198" s="1" t="s">
        <v>322</v>
      </c>
      <c r="C3198" s="1">
        <v>2021</v>
      </c>
      <c r="D3198" s="1">
        <v>31445</v>
      </c>
      <c r="E3198" s="1">
        <v>444</v>
      </c>
      <c r="F3198" s="1">
        <v>173</v>
      </c>
      <c r="G3198" s="1">
        <v>784943</v>
      </c>
      <c r="H3198" s="1" t="s">
        <v>70</v>
      </c>
    </row>
    <row r="3199" spans="1:8" x14ac:dyDescent="0.3">
      <c r="A3199" s="1" t="s">
        <v>323</v>
      </c>
      <c r="B3199" s="1" t="s">
        <v>324</v>
      </c>
      <c r="C3199" s="1">
        <v>2021</v>
      </c>
      <c r="D3199" s="1">
        <v>74657</v>
      </c>
      <c r="E3199" s="1">
        <v>1373</v>
      </c>
      <c r="F3199" s="1">
        <v>1462</v>
      </c>
      <c r="G3199" s="1">
        <v>1585710</v>
      </c>
      <c r="H3199" s="1" t="s">
        <v>70</v>
      </c>
    </row>
    <row r="3200" spans="1:8" x14ac:dyDescent="0.3">
      <c r="A3200" s="1" t="s">
        <v>325</v>
      </c>
      <c r="B3200" s="1" t="s">
        <v>326</v>
      </c>
      <c r="C3200" s="1">
        <v>2021</v>
      </c>
      <c r="D3200" s="1">
        <v>16741</v>
      </c>
      <c r="E3200" s="1">
        <v>131</v>
      </c>
      <c r="F3200" s="1">
        <v>127</v>
      </c>
      <c r="G3200" s="1">
        <v>312340</v>
      </c>
      <c r="H3200" s="1" t="s">
        <v>70</v>
      </c>
    </row>
    <row r="3201" spans="1:8" x14ac:dyDescent="0.3">
      <c r="A3201" s="1" t="s">
        <v>327</v>
      </c>
      <c r="B3201" s="1" t="s">
        <v>328</v>
      </c>
      <c r="C3201" s="1">
        <v>2021</v>
      </c>
      <c r="D3201" s="1">
        <v>14303</v>
      </c>
      <c r="E3201" s="1">
        <v>155</v>
      </c>
      <c r="F3201" s="1">
        <v>21</v>
      </c>
      <c r="G3201" s="1">
        <v>29121</v>
      </c>
      <c r="H3201" s="1" t="s">
        <v>70</v>
      </c>
    </row>
    <row r="3202" spans="1:8" x14ac:dyDescent="0.3">
      <c r="A3202" s="1" t="s">
        <v>329</v>
      </c>
      <c r="B3202" s="1" t="s">
        <v>330</v>
      </c>
      <c r="C3202" s="1">
        <v>2021</v>
      </c>
      <c r="D3202" s="1">
        <v>18733</v>
      </c>
      <c r="E3202" s="1">
        <v>277</v>
      </c>
      <c r="F3202" s="1">
        <v>223</v>
      </c>
      <c r="G3202" s="1">
        <v>1322748</v>
      </c>
      <c r="H3202" s="1" t="s">
        <v>70</v>
      </c>
    </row>
    <row r="3203" spans="1:8" x14ac:dyDescent="0.3">
      <c r="A3203" s="1" t="s">
        <v>331</v>
      </c>
      <c r="B3203" s="1" t="s">
        <v>332</v>
      </c>
      <c r="C3203" s="1">
        <v>2021</v>
      </c>
      <c r="D3203" s="1">
        <v>47759</v>
      </c>
      <c r="E3203" s="1">
        <v>857</v>
      </c>
      <c r="F3203" s="1">
        <v>87</v>
      </c>
      <c r="G3203" s="1">
        <v>537500</v>
      </c>
      <c r="H3203" s="1" t="s">
        <v>70</v>
      </c>
    </row>
    <row r="3204" spans="1:8" x14ac:dyDescent="0.3">
      <c r="A3204" s="1" t="s">
        <v>333</v>
      </c>
      <c r="B3204" s="1" t="s">
        <v>334</v>
      </c>
      <c r="C3204" s="1">
        <v>2021</v>
      </c>
      <c r="D3204" s="1">
        <v>27017</v>
      </c>
      <c r="E3204" s="1">
        <v>362</v>
      </c>
      <c r="F3204" s="1">
        <v>16</v>
      </c>
      <c r="G3204" s="1">
        <v>31185</v>
      </c>
      <c r="H3204" s="1" t="s">
        <v>70</v>
      </c>
    </row>
    <row r="3205" spans="1:8" x14ac:dyDescent="0.3">
      <c r="A3205" s="1" t="s">
        <v>335</v>
      </c>
      <c r="B3205" s="1" t="s">
        <v>336</v>
      </c>
      <c r="C3205" s="1">
        <v>2021</v>
      </c>
      <c r="D3205" s="1">
        <v>17263</v>
      </c>
      <c r="E3205" s="1">
        <v>125</v>
      </c>
      <c r="F3205" s="1">
        <v>75</v>
      </c>
      <c r="G3205" s="1">
        <v>944985</v>
      </c>
      <c r="H3205" s="1" t="s">
        <v>70</v>
      </c>
    </row>
    <row r="3206" spans="1:8" x14ac:dyDescent="0.3">
      <c r="A3206" s="1" t="s">
        <v>337</v>
      </c>
      <c r="B3206" s="1" t="s">
        <v>338</v>
      </c>
      <c r="C3206" s="1">
        <v>2021</v>
      </c>
      <c r="D3206" s="1">
        <v>30362</v>
      </c>
      <c r="E3206" s="1">
        <v>281</v>
      </c>
      <c r="F3206" s="1">
        <v>235</v>
      </c>
      <c r="G3206" s="1">
        <v>1089961</v>
      </c>
      <c r="H3206" s="1" t="s">
        <v>70</v>
      </c>
    </row>
    <row r="3207" spans="1:8" x14ac:dyDescent="0.3">
      <c r="A3207" s="1" t="s">
        <v>339</v>
      </c>
      <c r="B3207" s="1" t="s">
        <v>340</v>
      </c>
      <c r="C3207" s="1">
        <v>2021</v>
      </c>
      <c r="D3207" s="1">
        <v>20376</v>
      </c>
      <c r="E3207" s="1">
        <v>217</v>
      </c>
      <c r="F3207" s="1">
        <v>187</v>
      </c>
      <c r="G3207" s="1">
        <v>147054</v>
      </c>
      <c r="H3207" s="1" t="s">
        <v>70</v>
      </c>
    </row>
    <row r="3208" spans="1:8" x14ac:dyDescent="0.3">
      <c r="A3208" s="1" t="s">
        <v>341</v>
      </c>
      <c r="B3208" s="1" t="s">
        <v>342</v>
      </c>
      <c r="C3208" s="1">
        <v>2021</v>
      </c>
      <c r="D3208" s="1">
        <v>13143</v>
      </c>
      <c r="E3208" s="1">
        <v>137</v>
      </c>
      <c r="F3208" s="1">
        <v>27</v>
      </c>
      <c r="G3208" s="1">
        <v>117768</v>
      </c>
      <c r="H3208" s="1" t="s">
        <v>70</v>
      </c>
    </row>
    <row r="3209" spans="1:8" x14ac:dyDescent="0.3">
      <c r="A3209" s="1" t="s">
        <v>343</v>
      </c>
      <c r="B3209" s="1" t="s">
        <v>344</v>
      </c>
      <c r="C3209" s="1">
        <v>2021</v>
      </c>
      <c r="D3209" s="1">
        <v>50461</v>
      </c>
      <c r="E3209" s="1">
        <v>1700</v>
      </c>
      <c r="F3209" s="1">
        <v>967</v>
      </c>
      <c r="G3209" s="1">
        <v>218768</v>
      </c>
      <c r="H3209" s="1" t="s">
        <v>70</v>
      </c>
    </row>
    <row r="3210" spans="1:8" x14ac:dyDescent="0.3">
      <c r="A3210" s="1" t="s">
        <v>345</v>
      </c>
      <c r="B3210" s="1" t="s">
        <v>346</v>
      </c>
      <c r="C3210" s="1">
        <v>2021</v>
      </c>
      <c r="D3210" s="1">
        <v>24426</v>
      </c>
      <c r="E3210" s="1">
        <v>230</v>
      </c>
      <c r="F3210" s="1">
        <v>48</v>
      </c>
      <c r="G3210" s="1">
        <v>725645</v>
      </c>
      <c r="H3210" s="1" t="s">
        <v>70</v>
      </c>
    </row>
    <row r="3211" spans="1:8" x14ac:dyDescent="0.3">
      <c r="A3211" s="1" t="s">
        <v>347</v>
      </c>
      <c r="B3211" s="1" t="s">
        <v>348</v>
      </c>
      <c r="C3211" s="1">
        <v>2021</v>
      </c>
      <c r="D3211" s="1">
        <v>99240</v>
      </c>
      <c r="E3211" s="1">
        <v>3540</v>
      </c>
      <c r="F3211" s="1">
        <v>1944</v>
      </c>
      <c r="G3211" s="1">
        <v>1980983</v>
      </c>
      <c r="H3211" s="1" t="s">
        <v>70</v>
      </c>
    </row>
    <row r="3212" spans="1:8" x14ac:dyDescent="0.3">
      <c r="A3212" s="1" t="s">
        <v>349</v>
      </c>
      <c r="B3212" s="1" t="s">
        <v>350</v>
      </c>
      <c r="C3212" s="1">
        <v>2021</v>
      </c>
      <c r="D3212" s="1">
        <v>24821</v>
      </c>
      <c r="E3212" s="1">
        <v>564</v>
      </c>
      <c r="F3212" s="1">
        <v>291</v>
      </c>
      <c r="G3212" s="1">
        <v>313894</v>
      </c>
      <c r="H3212" s="1" t="s">
        <v>70</v>
      </c>
    </row>
    <row r="3213" spans="1:8" x14ac:dyDescent="0.3">
      <c r="A3213" s="1" t="s">
        <v>351</v>
      </c>
      <c r="B3213" s="1" t="s">
        <v>352</v>
      </c>
      <c r="C3213" s="1">
        <v>2021</v>
      </c>
      <c r="D3213" s="1">
        <v>11882</v>
      </c>
      <c r="E3213" s="1">
        <v>129</v>
      </c>
      <c r="F3213" s="1">
        <v>34</v>
      </c>
      <c r="G3213" s="1">
        <v>130819</v>
      </c>
      <c r="H3213" s="1" t="s">
        <v>70</v>
      </c>
    </row>
    <row r="3214" spans="1:8" x14ac:dyDescent="0.3">
      <c r="A3214" s="1" t="s">
        <v>353</v>
      </c>
      <c r="B3214" s="1" t="s">
        <v>354</v>
      </c>
      <c r="C3214" s="1">
        <v>2021</v>
      </c>
      <c r="D3214" s="1">
        <v>12074</v>
      </c>
      <c r="E3214" s="1">
        <v>63</v>
      </c>
      <c r="F3214" s="1">
        <v>45</v>
      </c>
      <c r="G3214" s="1">
        <v>284731</v>
      </c>
      <c r="H3214" s="1" t="s">
        <v>70</v>
      </c>
    </row>
    <row r="3215" spans="1:8" x14ac:dyDescent="0.3">
      <c r="A3215" s="1" t="s">
        <v>355</v>
      </c>
      <c r="B3215" s="1" t="s">
        <v>356</v>
      </c>
      <c r="C3215" s="1">
        <v>2021</v>
      </c>
      <c r="D3215" s="1">
        <v>32558</v>
      </c>
      <c r="E3215" s="1">
        <v>503</v>
      </c>
      <c r="F3215" s="1">
        <v>405</v>
      </c>
      <c r="G3215" s="1">
        <v>1469965</v>
      </c>
      <c r="H3215" s="1" t="s">
        <v>70</v>
      </c>
    </row>
    <row r="3216" spans="1:8" x14ac:dyDescent="0.3">
      <c r="A3216" s="1" t="s">
        <v>357</v>
      </c>
      <c r="B3216" s="1" t="s">
        <v>358</v>
      </c>
      <c r="C3216" s="1">
        <v>2021</v>
      </c>
      <c r="D3216" s="1">
        <v>20177</v>
      </c>
      <c r="E3216" s="1">
        <v>373</v>
      </c>
      <c r="F3216" s="1">
        <v>243</v>
      </c>
      <c r="G3216" s="1">
        <v>1118224</v>
      </c>
      <c r="H3216" s="1" t="s">
        <v>70</v>
      </c>
    </row>
    <row r="3217" spans="1:8" x14ac:dyDescent="0.3">
      <c r="A3217" s="1" t="s">
        <v>359</v>
      </c>
      <c r="B3217" s="1" t="s">
        <v>360</v>
      </c>
      <c r="C3217" s="1">
        <v>2021</v>
      </c>
      <c r="D3217" s="1">
        <v>53339</v>
      </c>
      <c r="E3217" s="1">
        <v>568</v>
      </c>
      <c r="F3217" s="1">
        <v>1105</v>
      </c>
      <c r="G3217" s="1">
        <v>5551204</v>
      </c>
      <c r="H3217" s="1" t="s">
        <v>70</v>
      </c>
    </row>
    <row r="3218" spans="1:8" x14ac:dyDescent="0.3">
      <c r="A3218" s="1" t="s">
        <v>361</v>
      </c>
      <c r="B3218" s="1" t="s">
        <v>362</v>
      </c>
      <c r="C3218" s="1">
        <v>2021</v>
      </c>
      <c r="D3218" s="1">
        <v>87577</v>
      </c>
      <c r="E3218" s="1">
        <v>1073</v>
      </c>
      <c r="F3218" s="1">
        <v>1167</v>
      </c>
      <c r="G3218" s="1">
        <v>4900998</v>
      </c>
      <c r="H3218" s="1" t="s">
        <v>70</v>
      </c>
    </row>
    <row r="3219" spans="1:8" x14ac:dyDescent="0.3">
      <c r="A3219" s="1" t="s">
        <v>363</v>
      </c>
      <c r="B3219" s="1" t="s">
        <v>364</v>
      </c>
      <c r="C3219" s="1">
        <v>2021</v>
      </c>
      <c r="D3219" s="1">
        <v>35195</v>
      </c>
      <c r="E3219" s="1">
        <v>450</v>
      </c>
      <c r="F3219" s="1">
        <v>1035</v>
      </c>
      <c r="G3219" s="1">
        <v>2222294</v>
      </c>
      <c r="H3219" s="1" t="s">
        <v>70</v>
      </c>
    </row>
    <row r="3220" spans="1:8" x14ac:dyDescent="0.3">
      <c r="A3220" s="1" t="s">
        <v>365</v>
      </c>
      <c r="B3220" s="1" t="s">
        <v>366</v>
      </c>
      <c r="C3220" s="1">
        <v>2021</v>
      </c>
      <c r="D3220" s="1">
        <v>1046864</v>
      </c>
      <c r="E3220" s="1">
        <v>18528</v>
      </c>
      <c r="F3220" s="1">
        <v>21286</v>
      </c>
      <c r="G3220" s="1">
        <v>25211113</v>
      </c>
      <c r="H3220" s="1" t="s">
        <v>70</v>
      </c>
    </row>
    <row r="3221" spans="1:8" x14ac:dyDescent="0.3">
      <c r="A3221" s="1" t="s">
        <v>367</v>
      </c>
      <c r="B3221" s="1" t="s">
        <v>242</v>
      </c>
      <c r="C3221" s="1">
        <v>2021</v>
      </c>
      <c r="D3221" s="1">
        <v>33870</v>
      </c>
      <c r="E3221" s="1">
        <v>369</v>
      </c>
      <c r="F3221" s="1">
        <v>570</v>
      </c>
      <c r="G3221" s="1">
        <v>1598123</v>
      </c>
      <c r="H3221" s="1" t="s">
        <v>70</v>
      </c>
    </row>
    <row r="3222" spans="1:8" x14ac:dyDescent="0.3">
      <c r="A3222" s="1" t="s">
        <v>368</v>
      </c>
      <c r="B3222" s="1" t="s">
        <v>369</v>
      </c>
      <c r="C3222" s="1">
        <v>2021</v>
      </c>
      <c r="D3222" s="1">
        <v>16902</v>
      </c>
      <c r="E3222" s="1">
        <v>38</v>
      </c>
      <c r="F3222" s="1">
        <v>147</v>
      </c>
      <c r="G3222" s="1">
        <v>407504</v>
      </c>
      <c r="H3222" s="1" t="s">
        <v>70</v>
      </c>
    </row>
    <row r="3223" spans="1:8" x14ac:dyDescent="0.3">
      <c r="A3223" s="1" t="s">
        <v>370</v>
      </c>
      <c r="B3223" s="1" t="s">
        <v>371</v>
      </c>
      <c r="C3223" s="1">
        <v>2021</v>
      </c>
      <c r="D3223" s="1">
        <v>36119</v>
      </c>
      <c r="E3223" s="1">
        <v>116</v>
      </c>
      <c r="F3223" s="1">
        <v>372</v>
      </c>
      <c r="G3223" s="1">
        <v>1644756</v>
      </c>
      <c r="H3223" s="1" t="s">
        <v>70</v>
      </c>
    </row>
    <row r="3224" spans="1:8" x14ac:dyDescent="0.3">
      <c r="A3224" s="1" t="s">
        <v>372</v>
      </c>
      <c r="B3224" s="1" t="s">
        <v>373</v>
      </c>
      <c r="C3224" s="1">
        <v>2021</v>
      </c>
      <c r="D3224" s="1">
        <v>23219</v>
      </c>
      <c r="E3224" s="1">
        <v>125</v>
      </c>
      <c r="F3224" s="1">
        <v>283</v>
      </c>
      <c r="G3224" s="1">
        <v>845976</v>
      </c>
      <c r="H3224" s="1" t="s">
        <v>70</v>
      </c>
    </row>
    <row r="3225" spans="1:8" x14ac:dyDescent="0.3">
      <c r="A3225" s="1" t="s">
        <v>374</v>
      </c>
      <c r="B3225" s="1" t="s">
        <v>375</v>
      </c>
      <c r="C3225" s="1">
        <v>2021</v>
      </c>
      <c r="D3225" s="1">
        <v>21395</v>
      </c>
      <c r="E3225" s="1">
        <v>197</v>
      </c>
      <c r="F3225" s="1">
        <v>143</v>
      </c>
      <c r="G3225" s="1">
        <v>491263</v>
      </c>
      <c r="H3225" s="1" t="s">
        <v>70</v>
      </c>
    </row>
    <row r="3226" spans="1:8" x14ac:dyDescent="0.3">
      <c r="A3226" s="1" t="s">
        <v>376</v>
      </c>
      <c r="B3226" s="1" t="s">
        <v>377</v>
      </c>
      <c r="C3226" s="1">
        <v>2021</v>
      </c>
      <c r="D3226" s="1">
        <v>16349</v>
      </c>
      <c r="E3226" s="1">
        <v>279</v>
      </c>
      <c r="F3226" s="1">
        <v>160</v>
      </c>
      <c r="G3226" s="1">
        <v>609603</v>
      </c>
      <c r="H3226" s="1" t="s">
        <v>70</v>
      </c>
    </row>
    <row r="3227" spans="1:8" x14ac:dyDescent="0.3">
      <c r="A3227" s="1" t="s">
        <v>378</v>
      </c>
      <c r="B3227" s="1" t="s">
        <v>379</v>
      </c>
      <c r="C3227" s="1">
        <v>2021</v>
      </c>
      <c r="D3227" s="1">
        <v>49340</v>
      </c>
      <c r="E3227" s="1">
        <v>470</v>
      </c>
      <c r="F3227" s="1">
        <v>671</v>
      </c>
      <c r="G3227" s="1">
        <v>1011159</v>
      </c>
      <c r="H3227" s="1" t="s">
        <v>70</v>
      </c>
    </row>
    <row r="3228" spans="1:8" x14ac:dyDescent="0.3">
      <c r="A3228" s="1" t="s">
        <v>380</v>
      </c>
      <c r="B3228" s="1" t="s">
        <v>381</v>
      </c>
      <c r="C3228" s="1">
        <v>2021</v>
      </c>
      <c r="D3228" s="1">
        <v>21146</v>
      </c>
      <c r="E3228" s="1">
        <v>163</v>
      </c>
      <c r="F3228" s="1">
        <v>75</v>
      </c>
      <c r="G3228" s="1">
        <v>352681</v>
      </c>
      <c r="H3228" s="1" t="s">
        <v>70</v>
      </c>
    </row>
    <row r="3229" spans="1:8" x14ac:dyDescent="0.3">
      <c r="A3229" s="1" t="s">
        <v>382</v>
      </c>
      <c r="B3229" s="1" t="s">
        <v>140</v>
      </c>
      <c r="C3229" s="1">
        <v>2021</v>
      </c>
      <c r="D3229" s="1">
        <v>40469</v>
      </c>
      <c r="E3229" s="1">
        <v>373</v>
      </c>
      <c r="F3229" s="1">
        <v>225</v>
      </c>
      <c r="G3229" s="1">
        <v>469500</v>
      </c>
      <c r="H3229" s="1" t="s">
        <v>70</v>
      </c>
    </row>
    <row r="3230" spans="1:8" x14ac:dyDescent="0.3">
      <c r="A3230" s="1" t="s">
        <v>383</v>
      </c>
      <c r="B3230" s="1" t="s">
        <v>384</v>
      </c>
      <c r="C3230" s="1">
        <v>2021</v>
      </c>
      <c r="D3230" s="1">
        <v>20139</v>
      </c>
      <c r="E3230" s="1">
        <v>71</v>
      </c>
      <c r="F3230" s="1">
        <v>176</v>
      </c>
      <c r="G3230" s="1">
        <v>1125930</v>
      </c>
      <c r="H3230" s="1" t="s">
        <v>70</v>
      </c>
    </row>
    <row r="3231" spans="1:8" x14ac:dyDescent="0.3">
      <c r="A3231" s="1" t="s">
        <v>385</v>
      </c>
      <c r="B3231" s="1" t="s">
        <v>386</v>
      </c>
      <c r="C3231" s="1">
        <v>2021</v>
      </c>
      <c r="D3231" s="1">
        <v>24189</v>
      </c>
      <c r="E3231" s="1">
        <v>104</v>
      </c>
      <c r="F3231" s="1">
        <v>104</v>
      </c>
      <c r="G3231" s="1">
        <v>924078</v>
      </c>
      <c r="H3231" s="1" t="s">
        <v>70</v>
      </c>
    </row>
    <row r="3232" spans="1:8" x14ac:dyDescent="0.3">
      <c r="A3232" s="1" t="s">
        <v>387</v>
      </c>
      <c r="B3232" s="1" t="s">
        <v>388</v>
      </c>
      <c r="C3232" s="1">
        <v>2021</v>
      </c>
      <c r="D3232" s="1">
        <v>59712</v>
      </c>
      <c r="E3232" s="1">
        <v>1105</v>
      </c>
      <c r="F3232" s="1">
        <v>1510</v>
      </c>
      <c r="G3232" s="1">
        <v>1848559</v>
      </c>
      <c r="H3232" s="1" t="s">
        <v>70</v>
      </c>
    </row>
    <row r="3233" spans="1:8" x14ac:dyDescent="0.3">
      <c r="A3233" s="1" t="s">
        <v>389</v>
      </c>
      <c r="B3233" s="1" t="s">
        <v>390</v>
      </c>
      <c r="C3233" s="1">
        <v>2021</v>
      </c>
      <c r="D3233" s="1">
        <v>7362</v>
      </c>
      <c r="E3233" s="1">
        <v>51</v>
      </c>
      <c r="F3233" s="1">
        <v>120</v>
      </c>
      <c r="G3233" s="1">
        <v>698281</v>
      </c>
      <c r="H3233" s="1" t="s">
        <v>70</v>
      </c>
    </row>
    <row r="3234" spans="1:8" x14ac:dyDescent="0.3">
      <c r="A3234" s="1" t="s">
        <v>391</v>
      </c>
      <c r="B3234" s="1" t="s">
        <v>392</v>
      </c>
      <c r="C3234" s="1">
        <v>2021</v>
      </c>
      <c r="D3234" s="1">
        <v>18904</v>
      </c>
      <c r="E3234" s="1">
        <v>123</v>
      </c>
      <c r="F3234" s="1">
        <v>46</v>
      </c>
      <c r="G3234" s="1">
        <v>101605</v>
      </c>
      <c r="H3234" s="1" t="s">
        <v>70</v>
      </c>
    </row>
    <row r="3235" spans="1:8" x14ac:dyDescent="0.3">
      <c r="A3235" s="1" t="s">
        <v>393</v>
      </c>
      <c r="B3235" s="1" t="s">
        <v>394</v>
      </c>
      <c r="C3235" s="1">
        <v>2021</v>
      </c>
      <c r="D3235" s="1">
        <v>40597</v>
      </c>
      <c r="E3235" s="1">
        <v>945</v>
      </c>
      <c r="F3235" s="1">
        <v>439</v>
      </c>
      <c r="G3235" s="1">
        <v>1022594</v>
      </c>
      <c r="H3235" s="1" t="s">
        <v>70</v>
      </c>
    </row>
    <row r="3236" spans="1:8" x14ac:dyDescent="0.3">
      <c r="A3236" s="1" t="s">
        <v>395</v>
      </c>
      <c r="B3236" s="1" t="s">
        <v>396</v>
      </c>
      <c r="C3236" s="1">
        <v>2021</v>
      </c>
      <c r="D3236" s="1">
        <v>36959</v>
      </c>
      <c r="E3236" s="1">
        <v>496</v>
      </c>
      <c r="F3236" s="1">
        <v>291</v>
      </c>
      <c r="G3236" s="1">
        <v>1776186</v>
      </c>
      <c r="H3236" s="1" t="s">
        <v>70</v>
      </c>
    </row>
    <row r="3237" spans="1:8" x14ac:dyDescent="0.3">
      <c r="A3237" s="1" t="s">
        <v>397</v>
      </c>
      <c r="B3237" s="1" t="s">
        <v>398</v>
      </c>
      <c r="C3237" s="1">
        <v>2021</v>
      </c>
      <c r="D3237" s="1">
        <v>34234</v>
      </c>
      <c r="E3237" s="1">
        <v>204</v>
      </c>
      <c r="F3237" s="1">
        <v>89</v>
      </c>
      <c r="G3237" s="1">
        <v>1406250</v>
      </c>
      <c r="H3237" s="1" t="s">
        <v>70</v>
      </c>
    </row>
    <row r="3238" spans="1:8" x14ac:dyDescent="0.3">
      <c r="A3238" s="1" t="s">
        <v>399</v>
      </c>
      <c r="B3238" s="1" t="s">
        <v>400</v>
      </c>
      <c r="C3238" s="1">
        <v>2021</v>
      </c>
      <c r="D3238" s="1">
        <v>18034</v>
      </c>
      <c r="E3238" s="1">
        <v>137</v>
      </c>
      <c r="F3238" s="1">
        <v>22</v>
      </c>
      <c r="G3238" s="1">
        <v>204177</v>
      </c>
      <c r="H3238" s="1" t="s">
        <v>70</v>
      </c>
    </row>
    <row r="3239" spans="1:8" x14ac:dyDescent="0.3">
      <c r="A3239" s="1" t="s">
        <v>401</v>
      </c>
      <c r="B3239" s="1" t="s">
        <v>167</v>
      </c>
      <c r="C3239" s="1">
        <v>2021</v>
      </c>
      <c r="D3239" s="1">
        <v>32730</v>
      </c>
      <c r="E3239" s="1">
        <v>284</v>
      </c>
      <c r="F3239" s="1">
        <v>22</v>
      </c>
      <c r="G3239" s="1">
        <v>226842</v>
      </c>
      <c r="H3239" s="1" t="s">
        <v>70</v>
      </c>
    </row>
    <row r="3240" spans="1:8" x14ac:dyDescent="0.3">
      <c r="A3240" s="1" t="s">
        <v>402</v>
      </c>
      <c r="B3240" s="1" t="s">
        <v>403</v>
      </c>
      <c r="C3240" s="1">
        <v>2021</v>
      </c>
      <c r="D3240" s="1">
        <v>20576</v>
      </c>
      <c r="E3240" s="1">
        <v>153</v>
      </c>
      <c r="F3240" s="1">
        <v>79</v>
      </c>
      <c r="G3240" s="1">
        <v>496375</v>
      </c>
      <c r="H3240" s="1" t="s">
        <v>70</v>
      </c>
    </row>
    <row r="3241" spans="1:8" x14ac:dyDescent="0.3">
      <c r="A3241" s="1" t="s">
        <v>404</v>
      </c>
      <c r="B3241" s="1" t="s">
        <v>405</v>
      </c>
      <c r="C3241" s="1">
        <v>2021</v>
      </c>
      <c r="D3241" s="1">
        <v>17345</v>
      </c>
      <c r="E3241" s="1">
        <v>152</v>
      </c>
      <c r="F3241" s="1">
        <v>46</v>
      </c>
      <c r="G3241" s="1">
        <v>247297</v>
      </c>
      <c r="H3241" s="1" t="s">
        <v>70</v>
      </c>
    </row>
    <row r="3242" spans="1:8" x14ac:dyDescent="0.3">
      <c r="A3242" s="1" t="s">
        <v>406</v>
      </c>
      <c r="B3242" s="1" t="s">
        <v>407</v>
      </c>
      <c r="C3242" s="1">
        <v>2021</v>
      </c>
      <c r="D3242" s="1">
        <v>25171</v>
      </c>
      <c r="E3242" s="1">
        <v>368</v>
      </c>
      <c r="F3242" s="1">
        <v>191</v>
      </c>
      <c r="G3242" s="1">
        <v>248202</v>
      </c>
      <c r="H3242" s="1" t="s">
        <v>70</v>
      </c>
    </row>
    <row r="3243" spans="1:8" x14ac:dyDescent="0.3">
      <c r="A3243" s="1" t="s">
        <v>408</v>
      </c>
      <c r="B3243" s="1" t="s">
        <v>409</v>
      </c>
      <c r="C3243" s="1">
        <v>2021</v>
      </c>
      <c r="D3243" s="1">
        <v>44312</v>
      </c>
      <c r="E3243" s="1">
        <v>648</v>
      </c>
      <c r="F3243" s="1">
        <v>309</v>
      </c>
      <c r="G3243" s="1">
        <v>969736</v>
      </c>
      <c r="H3243" s="1" t="s">
        <v>70</v>
      </c>
    </row>
    <row r="3244" spans="1:8" x14ac:dyDescent="0.3">
      <c r="A3244" s="1" t="s">
        <v>410</v>
      </c>
      <c r="B3244" s="1" t="s">
        <v>411</v>
      </c>
      <c r="C3244" s="1">
        <v>2021</v>
      </c>
      <c r="D3244" s="1">
        <v>20586</v>
      </c>
      <c r="E3244" s="1">
        <v>192</v>
      </c>
      <c r="F3244" s="1">
        <v>32</v>
      </c>
      <c r="G3244" s="1">
        <v>297231</v>
      </c>
      <c r="H3244" s="1" t="s">
        <v>70</v>
      </c>
    </row>
    <row r="3245" spans="1:8" x14ac:dyDescent="0.3">
      <c r="A3245" s="1" t="s">
        <v>412</v>
      </c>
      <c r="B3245" s="1" t="s">
        <v>413</v>
      </c>
      <c r="C3245" s="1">
        <v>2021</v>
      </c>
      <c r="D3245" s="1">
        <v>21351</v>
      </c>
      <c r="E3245" s="1">
        <v>217</v>
      </c>
      <c r="F3245" s="1">
        <v>71</v>
      </c>
      <c r="G3245" s="1">
        <v>93876</v>
      </c>
      <c r="H3245" s="1" t="s">
        <v>70</v>
      </c>
    </row>
    <row r="3246" spans="1:8" x14ac:dyDescent="0.3">
      <c r="A3246" s="1" t="s">
        <v>414</v>
      </c>
      <c r="B3246" s="1" t="s">
        <v>415</v>
      </c>
      <c r="C3246" s="1">
        <v>2021</v>
      </c>
      <c r="D3246" s="1">
        <v>24217</v>
      </c>
      <c r="E3246" s="1">
        <v>195</v>
      </c>
      <c r="F3246" s="1">
        <v>47</v>
      </c>
      <c r="G3246" s="1">
        <v>270870</v>
      </c>
      <c r="H3246" s="1" t="s">
        <v>70</v>
      </c>
    </row>
    <row r="3247" spans="1:8" x14ac:dyDescent="0.3">
      <c r="A3247" s="1" t="s">
        <v>416</v>
      </c>
      <c r="B3247" s="1" t="s">
        <v>417</v>
      </c>
      <c r="C3247" s="1">
        <v>2021</v>
      </c>
      <c r="D3247" s="1">
        <v>21746</v>
      </c>
      <c r="E3247" s="1">
        <v>355</v>
      </c>
      <c r="F3247" s="1">
        <v>84</v>
      </c>
      <c r="G3247" s="1">
        <v>118291</v>
      </c>
      <c r="H3247" s="1" t="s">
        <v>70</v>
      </c>
    </row>
    <row r="3248" spans="1:8" x14ac:dyDescent="0.3">
      <c r="A3248" s="1" t="s">
        <v>418</v>
      </c>
      <c r="B3248" s="1" t="s">
        <v>419</v>
      </c>
      <c r="C3248" s="1">
        <v>2021</v>
      </c>
      <c r="D3248" s="1">
        <v>52696</v>
      </c>
      <c r="E3248" s="1">
        <v>1151</v>
      </c>
      <c r="F3248" s="1">
        <v>226</v>
      </c>
      <c r="G3248" s="1">
        <v>209777</v>
      </c>
      <c r="H3248" s="1" t="s">
        <v>70</v>
      </c>
    </row>
    <row r="3249" spans="1:8" x14ac:dyDescent="0.3">
      <c r="A3249" s="1" t="s">
        <v>420</v>
      </c>
      <c r="B3249" s="1" t="s">
        <v>421</v>
      </c>
      <c r="C3249" s="1">
        <v>2021</v>
      </c>
      <c r="D3249" s="1">
        <v>30156</v>
      </c>
      <c r="E3249" s="1">
        <v>288</v>
      </c>
      <c r="F3249" s="1">
        <v>94</v>
      </c>
      <c r="G3249" s="1">
        <v>958367</v>
      </c>
      <c r="H3249" s="1" t="s">
        <v>70</v>
      </c>
    </row>
    <row r="3250" spans="1:8" x14ac:dyDescent="0.3">
      <c r="A3250" s="1" t="s">
        <v>422</v>
      </c>
      <c r="B3250" s="1" t="s">
        <v>423</v>
      </c>
      <c r="C3250" s="1">
        <v>2021</v>
      </c>
      <c r="D3250" s="1">
        <v>37665</v>
      </c>
      <c r="E3250" s="1">
        <v>301</v>
      </c>
      <c r="F3250" s="1">
        <v>319</v>
      </c>
      <c r="G3250" s="1">
        <v>309258</v>
      </c>
      <c r="H3250" s="1" t="s">
        <v>70</v>
      </c>
    </row>
    <row r="3251" spans="1:8" x14ac:dyDescent="0.3">
      <c r="A3251" s="1" t="s">
        <v>424</v>
      </c>
      <c r="B3251" s="1" t="s">
        <v>425</v>
      </c>
      <c r="C3251" s="1">
        <v>2021</v>
      </c>
      <c r="D3251" s="1">
        <v>18194</v>
      </c>
      <c r="E3251" s="1">
        <v>195</v>
      </c>
      <c r="F3251" s="1">
        <v>39</v>
      </c>
      <c r="G3251" s="1">
        <v>190221</v>
      </c>
      <c r="H3251" s="1" t="s">
        <v>70</v>
      </c>
    </row>
    <row r="3252" spans="1:8" x14ac:dyDescent="0.3">
      <c r="A3252" s="1" t="s">
        <v>426</v>
      </c>
      <c r="B3252" s="1" t="s">
        <v>427</v>
      </c>
      <c r="C3252" s="1">
        <v>2021</v>
      </c>
      <c r="D3252" s="1">
        <v>16699</v>
      </c>
      <c r="E3252" s="1">
        <v>151</v>
      </c>
      <c r="F3252" s="1">
        <v>66</v>
      </c>
      <c r="G3252" s="1">
        <v>342615</v>
      </c>
      <c r="H3252" s="1" t="s">
        <v>70</v>
      </c>
    </row>
    <row r="3253" spans="1:8" x14ac:dyDescent="0.3">
      <c r="A3253" s="1" t="s">
        <v>428</v>
      </c>
      <c r="B3253" s="1" t="s">
        <v>429</v>
      </c>
      <c r="C3253" s="1">
        <v>2021</v>
      </c>
      <c r="D3253" s="1">
        <v>8596</v>
      </c>
      <c r="E3253" s="1">
        <v>103</v>
      </c>
      <c r="F3253" s="1">
        <v>25</v>
      </c>
      <c r="G3253" s="1">
        <v>183579</v>
      </c>
      <c r="H3253" s="1" t="s">
        <v>70</v>
      </c>
    </row>
    <row r="3254" spans="1:8" x14ac:dyDescent="0.3">
      <c r="A3254" s="1" t="s">
        <v>430</v>
      </c>
      <c r="B3254" s="1" t="s">
        <v>431</v>
      </c>
      <c r="C3254" s="1">
        <v>2021</v>
      </c>
      <c r="D3254" s="1">
        <v>18362</v>
      </c>
      <c r="E3254" s="1">
        <v>148</v>
      </c>
      <c r="F3254" s="1">
        <v>150</v>
      </c>
      <c r="G3254" s="1">
        <v>489477</v>
      </c>
      <c r="H3254" s="1" t="s">
        <v>70</v>
      </c>
    </row>
    <row r="3255" spans="1:8" x14ac:dyDescent="0.3">
      <c r="A3255" s="1" t="s">
        <v>432</v>
      </c>
      <c r="B3255" s="1" t="s">
        <v>433</v>
      </c>
      <c r="C3255" s="1">
        <v>2021</v>
      </c>
      <c r="D3255" s="1">
        <v>25260</v>
      </c>
      <c r="E3255" s="1">
        <v>178</v>
      </c>
      <c r="F3255" s="1">
        <v>403</v>
      </c>
      <c r="G3255" s="1">
        <v>2585636</v>
      </c>
      <c r="H3255" s="1" t="s">
        <v>70</v>
      </c>
    </row>
    <row r="3256" spans="1:8" x14ac:dyDescent="0.3">
      <c r="A3256" s="1" t="s">
        <v>434</v>
      </c>
      <c r="B3256" s="1" t="s">
        <v>435</v>
      </c>
      <c r="C3256" s="1">
        <v>2021</v>
      </c>
      <c r="D3256" s="1">
        <v>93508</v>
      </c>
      <c r="E3256" s="1">
        <v>2693</v>
      </c>
      <c r="F3256" s="1">
        <v>4247</v>
      </c>
      <c r="G3256" s="1">
        <v>5507060</v>
      </c>
      <c r="H3256" s="1" t="s">
        <v>70</v>
      </c>
    </row>
    <row r="3257" spans="1:8" x14ac:dyDescent="0.3">
      <c r="A3257" s="1" t="s">
        <v>436</v>
      </c>
      <c r="B3257" s="1" t="s">
        <v>437</v>
      </c>
      <c r="C3257" s="1">
        <v>2021</v>
      </c>
      <c r="D3257" s="1">
        <v>18120</v>
      </c>
      <c r="E3257" s="1">
        <v>176</v>
      </c>
      <c r="F3257" s="1">
        <v>138</v>
      </c>
      <c r="G3257" s="1">
        <v>1295005</v>
      </c>
      <c r="H3257" s="1" t="s">
        <v>70</v>
      </c>
    </row>
    <row r="3258" spans="1:8" x14ac:dyDescent="0.3">
      <c r="A3258" s="1" t="s">
        <v>438</v>
      </c>
      <c r="B3258" s="1" t="s">
        <v>439</v>
      </c>
      <c r="C3258" s="1">
        <v>2021</v>
      </c>
      <c r="D3258" s="1">
        <v>20287</v>
      </c>
      <c r="E3258" s="1">
        <v>261</v>
      </c>
      <c r="F3258" s="1">
        <v>140</v>
      </c>
      <c r="G3258" s="1">
        <v>463991</v>
      </c>
      <c r="H3258" s="1" t="s">
        <v>70</v>
      </c>
    </row>
    <row r="3259" spans="1:8" x14ac:dyDescent="0.3">
      <c r="A3259" s="1" t="s">
        <v>440</v>
      </c>
      <c r="B3259" s="1" t="s">
        <v>441</v>
      </c>
      <c r="C3259" s="1">
        <v>2021</v>
      </c>
      <c r="D3259" s="1">
        <v>58838</v>
      </c>
      <c r="E3259" s="1">
        <v>1663</v>
      </c>
      <c r="F3259" s="1">
        <v>585</v>
      </c>
      <c r="G3259" s="1">
        <v>1319529</v>
      </c>
      <c r="H3259" s="1" t="s">
        <v>70</v>
      </c>
    </row>
    <row r="3260" spans="1:8" x14ac:dyDescent="0.3">
      <c r="A3260" s="1" t="s">
        <v>442</v>
      </c>
      <c r="B3260" s="1" t="s">
        <v>443</v>
      </c>
      <c r="C3260" s="1">
        <v>2021</v>
      </c>
      <c r="D3260" s="1">
        <v>23689</v>
      </c>
      <c r="E3260" s="1">
        <v>133</v>
      </c>
      <c r="F3260" s="1">
        <v>38</v>
      </c>
      <c r="G3260" s="1">
        <v>597124</v>
      </c>
      <c r="H3260" s="1" t="s">
        <v>70</v>
      </c>
    </row>
    <row r="3261" spans="1:8" x14ac:dyDescent="0.3">
      <c r="A3261" s="1" t="s">
        <v>444</v>
      </c>
      <c r="B3261" s="1" t="s">
        <v>445</v>
      </c>
      <c r="C3261" s="1">
        <v>2021</v>
      </c>
      <c r="D3261" s="1">
        <v>15690</v>
      </c>
      <c r="E3261" s="1">
        <v>79</v>
      </c>
      <c r="F3261" s="1">
        <v>100</v>
      </c>
      <c r="G3261" s="1">
        <v>727262</v>
      </c>
      <c r="H3261" s="1" t="s">
        <v>70</v>
      </c>
    </row>
    <row r="3262" spans="1:8" x14ac:dyDescent="0.3">
      <c r="A3262" s="1" t="s">
        <v>446</v>
      </c>
      <c r="B3262" s="1" t="s">
        <v>447</v>
      </c>
      <c r="C3262" s="1">
        <v>2021</v>
      </c>
      <c r="D3262" s="1">
        <v>21710</v>
      </c>
      <c r="E3262" s="1">
        <v>97</v>
      </c>
      <c r="F3262" s="1">
        <v>64</v>
      </c>
      <c r="G3262" s="1">
        <v>866999</v>
      </c>
      <c r="H3262" s="1" t="s">
        <v>70</v>
      </c>
    </row>
    <row r="3263" spans="1:8" x14ac:dyDescent="0.3">
      <c r="A3263" s="1" t="s">
        <v>448</v>
      </c>
      <c r="B3263" s="1" t="s">
        <v>449</v>
      </c>
      <c r="C3263" s="1">
        <v>2021</v>
      </c>
      <c r="D3263" s="1">
        <v>10869</v>
      </c>
      <c r="E3263" s="1">
        <v>79</v>
      </c>
      <c r="F3263" s="1">
        <v>52</v>
      </c>
      <c r="G3263" s="1">
        <v>230955</v>
      </c>
      <c r="H3263" s="1" t="s">
        <v>70</v>
      </c>
    </row>
    <row r="3264" spans="1:8" x14ac:dyDescent="0.3">
      <c r="A3264" s="1" t="s">
        <v>450</v>
      </c>
      <c r="B3264" s="1" t="s">
        <v>451</v>
      </c>
      <c r="C3264" s="1">
        <v>2021</v>
      </c>
      <c r="D3264" s="1">
        <v>15327</v>
      </c>
      <c r="E3264" s="1">
        <v>207</v>
      </c>
      <c r="F3264" s="1">
        <v>17</v>
      </c>
      <c r="G3264" s="1">
        <v>76505</v>
      </c>
      <c r="H3264" s="1" t="s">
        <v>70</v>
      </c>
    </row>
    <row r="3265" spans="1:8" x14ac:dyDescent="0.3">
      <c r="A3265" s="1" t="s">
        <v>452</v>
      </c>
      <c r="B3265" s="1" t="s">
        <v>453</v>
      </c>
      <c r="C3265" s="1">
        <v>2021</v>
      </c>
      <c r="D3265" s="1">
        <v>13411</v>
      </c>
      <c r="E3265" s="1">
        <v>84</v>
      </c>
      <c r="F3265" s="1">
        <v>19</v>
      </c>
      <c r="G3265" s="1">
        <v>296109</v>
      </c>
      <c r="H3265" s="1" t="s">
        <v>70</v>
      </c>
    </row>
    <row r="3266" spans="1:8" x14ac:dyDescent="0.3">
      <c r="A3266" s="1" t="s">
        <v>454</v>
      </c>
      <c r="B3266" s="1" t="s">
        <v>455</v>
      </c>
      <c r="C3266" s="1">
        <v>2021</v>
      </c>
      <c r="D3266" s="1">
        <v>7048</v>
      </c>
      <c r="E3266" s="1">
        <v>51</v>
      </c>
      <c r="F3266" s="1">
        <v>15</v>
      </c>
      <c r="G3266" s="1">
        <v>113990</v>
      </c>
      <c r="H3266" s="1" t="s">
        <v>70</v>
      </c>
    </row>
    <row r="3267" spans="1:8" x14ac:dyDescent="0.3">
      <c r="A3267" s="1" t="s">
        <v>456</v>
      </c>
      <c r="B3267" s="1" t="s">
        <v>457</v>
      </c>
      <c r="C3267" s="1">
        <v>2021</v>
      </c>
      <c r="D3267" s="1">
        <v>17538</v>
      </c>
      <c r="E3267" s="1">
        <v>95</v>
      </c>
      <c r="F3267" s="1">
        <v>93</v>
      </c>
      <c r="G3267" s="1">
        <v>148946</v>
      </c>
      <c r="H3267" s="1" t="s">
        <v>70</v>
      </c>
    </row>
    <row r="3268" spans="1:8" x14ac:dyDescent="0.3">
      <c r="A3268" s="1" t="s">
        <v>458</v>
      </c>
      <c r="B3268" s="1" t="s">
        <v>459</v>
      </c>
      <c r="C3268" s="1">
        <v>2021</v>
      </c>
      <c r="D3268" s="1">
        <v>24523</v>
      </c>
      <c r="E3268" s="1">
        <v>116</v>
      </c>
      <c r="F3268" s="1">
        <v>51</v>
      </c>
      <c r="G3268" s="1">
        <v>773757</v>
      </c>
      <c r="H3268" s="1" t="s">
        <v>70</v>
      </c>
    </row>
    <row r="3269" spans="1:8" x14ac:dyDescent="0.3">
      <c r="A3269" s="1" t="s">
        <v>460</v>
      </c>
      <c r="B3269" s="1" t="s">
        <v>461</v>
      </c>
      <c r="C3269" s="1">
        <v>2021</v>
      </c>
      <c r="D3269" s="1">
        <v>11567</v>
      </c>
      <c r="E3269" s="1">
        <v>175</v>
      </c>
      <c r="F3269" s="1">
        <v>23</v>
      </c>
      <c r="G3269" s="1">
        <v>187404</v>
      </c>
      <c r="H3269" s="1" t="s">
        <v>70</v>
      </c>
    </row>
    <row r="3270" spans="1:8" x14ac:dyDescent="0.3">
      <c r="A3270" s="1" t="s">
        <v>462</v>
      </c>
      <c r="B3270" s="1" t="s">
        <v>463</v>
      </c>
      <c r="C3270" s="1">
        <v>2021</v>
      </c>
      <c r="D3270" s="1">
        <v>18050</v>
      </c>
      <c r="E3270" s="1">
        <v>154</v>
      </c>
      <c r="F3270" s="1">
        <v>31</v>
      </c>
      <c r="G3270" s="1">
        <v>141244</v>
      </c>
      <c r="H3270" s="1" t="s">
        <v>70</v>
      </c>
    </row>
    <row r="3271" spans="1:8" x14ac:dyDescent="0.3">
      <c r="A3271" s="1" t="s">
        <v>464</v>
      </c>
      <c r="B3271" s="1" t="s">
        <v>465</v>
      </c>
      <c r="C3271" s="1">
        <v>2021</v>
      </c>
      <c r="D3271" s="1">
        <v>14830</v>
      </c>
      <c r="E3271" s="1">
        <v>269</v>
      </c>
      <c r="F3271" s="1">
        <v>275</v>
      </c>
      <c r="G3271" s="1">
        <v>397211</v>
      </c>
      <c r="H3271" s="1" t="s">
        <v>70</v>
      </c>
    </row>
    <row r="3272" spans="1:8" x14ac:dyDescent="0.3">
      <c r="A3272" s="1" t="s">
        <v>466</v>
      </c>
      <c r="B3272" s="1" t="s">
        <v>467</v>
      </c>
      <c r="C3272" s="1">
        <v>2021</v>
      </c>
      <c r="D3272" s="1">
        <v>138627</v>
      </c>
      <c r="E3272" s="1">
        <v>3234</v>
      </c>
      <c r="F3272" s="1">
        <v>4592</v>
      </c>
      <c r="G3272" s="1">
        <v>9454915</v>
      </c>
      <c r="H3272" s="1" t="s">
        <v>70</v>
      </c>
    </row>
    <row r="3273" spans="1:8" x14ac:dyDescent="0.3">
      <c r="A3273" s="1" t="s">
        <v>468</v>
      </c>
      <c r="B3273" s="1" t="s">
        <v>469</v>
      </c>
      <c r="C3273" s="1">
        <v>2021</v>
      </c>
      <c r="D3273" s="1">
        <v>24897</v>
      </c>
      <c r="E3273" s="1">
        <v>559</v>
      </c>
      <c r="F3273" s="1">
        <v>434</v>
      </c>
      <c r="G3273" s="1">
        <v>1322716</v>
      </c>
      <c r="H3273" s="1" t="s">
        <v>70</v>
      </c>
    </row>
    <row r="3274" spans="1:8" x14ac:dyDescent="0.3">
      <c r="A3274" s="1" t="s">
        <v>470</v>
      </c>
      <c r="B3274" s="1" t="s">
        <v>471</v>
      </c>
      <c r="C3274" s="1">
        <v>2021</v>
      </c>
      <c r="D3274" s="1">
        <v>27712</v>
      </c>
      <c r="E3274" s="1">
        <v>477</v>
      </c>
      <c r="F3274" s="1">
        <v>625</v>
      </c>
      <c r="G3274" s="1">
        <v>2001626</v>
      </c>
      <c r="H3274" s="1" t="s">
        <v>70</v>
      </c>
    </row>
    <row r="3275" spans="1:8" x14ac:dyDescent="0.3">
      <c r="A3275" s="1" t="s">
        <v>472</v>
      </c>
      <c r="B3275" s="1" t="s">
        <v>473</v>
      </c>
      <c r="C3275" s="1">
        <v>2021</v>
      </c>
      <c r="D3275" s="1">
        <v>24912</v>
      </c>
      <c r="E3275" s="1">
        <v>316</v>
      </c>
      <c r="F3275" s="1">
        <v>302</v>
      </c>
      <c r="G3275" s="1">
        <v>674061</v>
      </c>
      <c r="H3275" s="1" t="s">
        <v>70</v>
      </c>
    </row>
    <row r="3276" spans="1:8" x14ac:dyDescent="0.3">
      <c r="A3276" s="1" t="s">
        <v>474</v>
      </c>
      <c r="B3276" s="1" t="s">
        <v>475</v>
      </c>
      <c r="C3276" s="1">
        <v>2021</v>
      </c>
      <c r="D3276" s="1">
        <v>32039</v>
      </c>
      <c r="E3276" s="1">
        <v>659</v>
      </c>
      <c r="F3276" s="1">
        <v>366</v>
      </c>
      <c r="G3276" s="1">
        <v>1915593</v>
      </c>
      <c r="H3276" s="1" t="s">
        <v>70</v>
      </c>
    </row>
    <row r="3277" spans="1:8" x14ac:dyDescent="0.3">
      <c r="A3277" s="1" t="s">
        <v>476</v>
      </c>
      <c r="B3277" s="1" t="s">
        <v>477</v>
      </c>
      <c r="C3277" s="1">
        <v>2021</v>
      </c>
      <c r="D3277" s="1">
        <v>18889</v>
      </c>
      <c r="E3277" s="1">
        <v>253</v>
      </c>
      <c r="F3277" s="1">
        <v>316</v>
      </c>
      <c r="G3277" s="1">
        <v>1591582</v>
      </c>
      <c r="H3277" s="1" t="s">
        <v>70</v>
      </c>
    </row>
    <row r="3278" spans="1:8" x14ac:dyDescent="0.3">
      <c r="A3278" s="1" t="s">
        <v>478</v>
      </c>
      <c r="B3278" s="1" t="s">
        <v>479</v>
      </c>
      <c r="C3278" s="1">
        <v>2021</v>
      </c>
      <c r="D3278" s="1">
        <v>45838</v>
      </c>
      <c r="E3278" s="1">
        <v>1520</v>
      </c>
      <c r="F3278" s="1">
        <v>1693</v>
      </c>
      <c r="G3278" s="1">
        <v>2130623</v>
      </c>
      <c r="H3278" s="1" t="s">
        <v>70</v>
      </c>
    </row>
    <row r="3279" spans="1:8" x14ac:dyDescent="0.3">
      <c r="A3279" s="1" t="s">
        <v>480</v>
      </c>
      <c r="B3279" s="1" t="s">
        <v>481</v>
      </c>
      <c r="C3279" s="1">
        <v>2021</v>
      </c>
      <c r="D3279" s="1">
        <v>44348</v>
      </c>
      <c r="E3279" s="1">
        <v>1349</v>
      </c>
      <c r="F3279" s="1">
        <v>606</v>
      </c>
      <c r="G3279" s="1">
        <v>2376719</v>
      </c>
      <c r="H3279" s="1" t="s">
        <v>70</v>
      </c>
    </row>
    <row r="3280" spans="1:8" x14ac:dyDescent="0.3">
      <c r="A3280" s="1" t="s">
        <v>482</v>
      </c>
      <c r="B3280" s="1" t="s">
        <v>483</v>
      </c>
      <c r="C3280" s="1">
        <v>2021</v>
      </c>
      <c r="D3280" s="1">
        <v>22788</v>
      </c>
      <c r="E3280" s="1">
        <v>394</v>
      </c>
      <c r="F3280" s="1">
        <v>151</v>
      </c>
      <c r="G3280" s="1">
        <v>1889360</v>
      </c>
      <c r="H3280" s="1" t="s">
        <v>70</v>
      </c>
    </row>
    <row r="3281" spans="1:8" x14ac:dyDescent="0.3">
      <c r="A3281" s="1" t="s">
        <v>484</v>
      </c>
      <c r="B3281" s="1" t="s">
        <v>485</v>
      </c>
      <c r="C3281" s="1">
        <v>2021</v>
      </c>
      <c r="D3281" s="1">
        <v>27357</v>
      </c>
      <c r="E3281" s="1">
        <v>321</v>
      </c>
      <c r="F3281" s="1">
        <v>280</v>
      </c>
      <c r="G3281" s="1">
        <v>1208593</v>
      </c>
      <c r="H3281" s="1" t="s">
        <v>70</v>
      </c>
    </row>
    <row r="3282" spans="1:8" x14ac:dyDescent="0.3">
      <c r="A3282" s="1" t="s">
        <v>486</v>
      </c>
      <c r="B3282" s="1" t="s">
        <v>487</v>
      </c>
      <c r="C3282" s="1">
        <v>2021</v>
      </c>
      <c r="D3282" s="1">
        <v>24014</v>
      </c>
      <c r="E3282" s="1">
        <v>367</v>
      </c>
      <c r="F3282" s="1">
        <v>633</v>
      </c>
      <c r="G3282" s="1">
        <v>810225</v>
      </c>
      <c r="H3282" s="1" t="s">
        <v>70</v>
      </c>
    </row>
    <row r="3283" spans="1:8" x14ac:dyDescent="0.3">
      <c r="A3283" s="1" t="s">
        <v>488</v>
      </c>
      <c r="B3283" s="1" t="s">
        <v>489</v>
      </c>
      <c r="C3283" s="1">
        <v>2021</v>
      </c>
      <c r="D3283" s="1">
        <v>22908</v>
      </c>
      <c r="E3283" s="1">
        <v>257</v>
      </c>
      <c r="F3283" s="1">
        <v>425</v>
      </c>
      <c r="G3283" s="1">
        <v>2176619</v>
      </c>
      <c r="H3283" s="1" t="s">
        <v>70</v>
      </c>
    </row>
    <row r="3284" spans="1:8" x14ac:dyDescent="0.3">
      <c r="A3284" s="1" t="s">
        <v>490</v>
      </c>
      <c r="B3284" s="1" t="s">
        <v>310</v>
      </c>
      <c r="C3284" s="1">
        <v>2021</v>
      </c>
      <c r="D3284" s="1">
        <v>13445</v>
      </c>
      <c r="E3284" s="1">
        <v>235</v>
      </c>
      <c r="F3284" s="1">
        <v>248</v>
      </c>
      <c r="G3284" s="1">
        <v>733480</v>
      </c>
      <c r="H3284" s="1" t="s">
        <v>70</v>
      </c>
    </row>
    <row r="3285" spans="1:8" x14ac:dyDescent="0.3">
      <c r="A3285" s="1" t="s">
        <v>491</v>
      </c>
      <c r="B3285" s="1" t="s">
        <v>492</v>
      </c>
      <c r="C3285" s="1">
        <v>2021</v>
      </c>
      <c r="D3285" s="1">
        <v>34057</v>
      </c>
      <c r="E3285" s="1">
        <v>1444</v>
      </c>
      <c r="F3285" s="1">
        <v>1068</v>
      </c>
      <c r="G3285" s="1">
        <v>1168217</v>
      </c>
      <c r="H3285" s="1" t="s">
        <v>70</v>
      </c>
    </row>
    <row r="3286" spans="1:8" x14ac:dyDescent="0.3">
      <c r="A3286" s="1" t="s">
        <v>493</v>
      </c>
      <c r="B3286" s="1" t="s">
        <v>494</v>
      </c>
      <c r="C3286" s="1">
        <v>2021</v>
      </c>
      <c r="D3286" s="1">
        <v>35464</v>
      </c>
      <c r="E3286" s="1">
        <v>779</v>
      </c>
      <c r="F3286" s="1">
        <v>464</v>
      </c>
      <c r="G3286" s="1">
        <v>817309</v>
      </c>
      <c r="H3286" s="1" t="s">
        <v>70</v>
      </c>
    </row>
    <row r="3287" spans="1:8" x14ac:dyDescent="0.3">
      <c r="A3287" s="1" t="s">
        <v>495</v>
      </c>
      <c r="B3287" s="1" t="s">
        <v>496</v>
      </c>
      <c r="C3287" s="1">
        <v>2021</v>
      </c>
      <c r="D3287" s="1">
        <v>42327</v>
      </c>
      <c r="E3287" s="1">
        <v>741</v>
      </c>
      <c r="F3287" s="1">
        <v>582</v>
      </c>
      <c r="G3287" s="1">
        <v>3931655</v>
      </c>
      <c r="H3287" s="1" t="s">
        <v>70</v>
      </c>
    </row>
    <row r="3288" spans="1:8" x14ac:dyDescent="0.3">
      <c r="A3288" s="1" t="s">
        <v>497</v>
      </c>
      <c r="B3288" s="1" t="s">
        <v>498</v>
      </c>
      <c r="C3288" s="1">
        <v>2021</v>
      </c>
      <c r="D3288" s="1">
        <v>40359</v>
      </c>
      <c r="E3288" s="1">
        <v>744</v>
      </c>
      <c r="F3288" s="1">
        <v>805</v>
      </c>
      <c r="G3288" s="1">
        <v>3744165</v>
      </c>
      <c r="H3288" s="1" t="s">
        <v>70</v>
      </c>
    </row>
    <row r="3289" spans="1:8" x14ac:dyDescent="0.3">
      <c r="A3289" s="1" t="s">
        <v>499</v>
      </c>
      <c r="B3289" s="1" t="s">
        <v>500</v>
      </c>
      <c r="C3289" s="1">
        <v>2021</v>
      </c>
      <c r="D3289" s="1">
        <v>79076</v>
      </c>
      <c r="E3289" s="1">
        <v>2015</v>
      </c>
      <c r="F3289" s="1">
        <v>2856</v>
      </c>
      <c r="G3289" s="1">
        <v>2217621</v>
      </c>
      <c r="H3289" s="1" t="s">
        <v>70</v>
      </c>
    </row>
    <row r="3290" spans="1:8" x14ac:dyDescent="0.3">
      <c r="A3290" s="1" t="s">
        <v>501</v>
      </c>
      <c r="B3290" s="1" t="s">
        <v>502</v>
      </c>
      <c r="C3290" s="1">
        <v>2021</v>
      </c>
      <c r="D3290" s="1">
        <v>13320</v>
      </c>
      <c r="E3290" s="1">
        <v>73</v>
      </c>
      <c r="F3290" s="1">
        <v>111</v>
      </c>
      <c r="G3290" s="1">
        <v>1409122</v>
      </c>
      <c r="H3290" s="1" t="s">
        <v>70</v>
      </c>
    </row>
    <row r="3291" spans="1:8" x14ac:dyDescent="0.3">
      <c r="A3291" s="1" t="s">
        <v>503</v>
      </c>
      <c r="B3291" s="1" t="s">
        <v>504</v>
      </c>
      <c r="C3291" s="1">
        <v>2021</v>
      </c>
      <c r="D3291" s="1">
        <v>249820</v>
      </c>
      <c r="E3291" s="1">
        <v>7328</v>
      </c>
      <c r="F3291" s="1">
        <v>9699</v>
      </c>
      <c r="G3291" s="1">
        <v>10220670</v>
      </c>
      <c r="H3291" s="1" t="s">
        <v>70</v>
      </c>
    </row>
    <row r="3292" spans="1:8" x14ac:dyDescent="0.3">
      <c r="A3292" s="1" t="s">
        <v>505</v>
      </c>
      <c r="B3292" s="1" t="s">
        <v>506</v>
      </c>
      <c r="C3292" s="1">
        <v>2021</v>
      </c>
      <c r="D3292" s="1">
        <v>119637</v>
      </c>
      <c r="E3292" s="1">
        <v>2375</v>
      </c>
      <c r="F3292" s="1">
        <v>3980</v>
      </c>
      <c r="G3292" s="1">
        <v>4855615</v>
      </c>
      <c r="H3292" s="1" t="s">
        <v>70</v>
      </c>
    </row>
    <row r="3293" spans="1:8" x14ac:dyDescent="0.3">
      <c r="A3293" s="1" t="s">
        <v>507</v>
      </c>
      <c r="B3293" s="1" t="s">
        <v>508</v>
      </c>
      <c r="C3293" s="1">
        <v>2021</v>
      </c>
      <c r="D3293" s="1">
        <v>41040</v>
      </c>
      <c r="E3293" s="1">
        <v>471</v>
      </c>
      <c r="F3293" s="1">
        <v>1225</v>
      </c>
      <c r="G3293" s="1">
        <v>1310442</v>
      </c>
      <c r="H3293" s="1" t="s">
        <v>70</v>
      </c>
    </row>
    <row r="3294" spans="1:8" x14ac:dyDescent="0.3">
      <c r="A3294" s="1" t="s">
        <v>509</v>
      </c>
      <c r="B3294" s="1" t="s">
        <v>510</v>
      </c>
      <c r="C3294" s="1">
        <v>2021</v>
      </c>
      <c r="D3294" s="1">
        <v>19505</v>
      </c>
      <c r="E3294" s="1">
        <v>124</v>
      </c>
      <c r="F3294" s="1">
        <v>557</v>
      </c>
      <c r="G3294" s="1">
        <v>444972</v>
      </c>
      <c r="H3294" s="1" t="s">
        <v>70</v>
      </c>
    </row>
    <row r="3295" spans="1:8" x14ac:dyDescent="0.3">
      <c r="A3295" s="1" t="s">
        <v>511</v>
      </c>
      <c r="B3295" s="1" t="s">
        <v>512</v>
      </c>
      <c r="C3295" s="1">
        <v>2021</v>
      </c>
      <c r="D3295" s="1">
        <v>62934</v>
      </c>
      <c r="E3295" s="1">
        <v>507</v>
      </c>
      <c r="F3295" s="1">
        <v>656</v>
      </c>
      <c r="G3295" s="1">
        <v>4048464</v>
      </c>
      <c r="H3295" s="1" t="s">
        <v>70</v>
      </c>
    </row>
    <row r="3296" spans="1:8" x14ac:dyDescent="0.3">
      <c r="A3296" s="1" t="s">
        <v>513</v>
      </c>
      <c r="B3296" s="1" t="s">
        <v>443</v>
      </c>
      <c r="C3296" s="1">
        <v>2021</v>
      </c>
      <c r="D3296" s="1">
        <v>54480</v>
      </c>
      <c r="E3296" s="1">
        <v>670</v>
      </c>
      <c r="F3296" s="1">
        <v>521</v>
      </c>
      <c r="G3296" s="1">
        <v>695674</v>
      </c>
      <c r="H3296" s="1" t="s">
        <v>70</v>
      </c>
    </row>
    <row r="3297" spans="1:8" x14ac:dyDescent="0.3">
      <c r="A3297" s="1" t="s">
        <v>514</v>
      </c>
      <c r="B3297" s="1" t="s">
        <v>515</v>
      </c>
      <c r="C3297" s="1">
        <v>2021</v>
      </c>
      <c r="D3297" s="1">
        <v>64954</v>
      </c>
      <c r="E3297" s="1">
        <v>808</v>
      </c>
      <c r="F3297" s="1">
        <v>197</v>
      </c>
      <c r="G3297" s="1">
        <v>1455507</v>
      </c>
      <c r="H3297" s="1" t="s">
        <v>70</v>
      </c>
    </row>
    <row r="3298" spans="1:8" x14ac:dyDescent="0.3">
      <c r="A3298" s="1" t="s">
        <v>516</v>
      </c>
      <c r="B3298" s="1" t="s">
        <v>517</v>
      </c>
      <c r="C3298" s="1">
        <v>2021</v>
      </c>
      <c r="D3298" s="1">
        <v>47558</v>
      </c>
      <c r="E3298" s="1">
        <v>603</v>
      </c>
      <c r="F3298" s="1">
        <v>76</v>
      </c>
      <c r="G3298" s="1">
        <v>264757</v>
      </c>
      <c r="H3298" s="1" t="s">
        <v>70</v>
      </c>
    </row>
    <row r="3299" spans="1:8" x14ac:dyDescent="0.3">
      <c r="A3299" s="1" t="s">
        <v>518</v>
      </c>
      <c r="B3299" s="1" t="s">
        <v>519</v>
      </c>
      <c r="C3299" s="1">
        <v>2021</v>
      </c>
      <c r="D3299" s="1">
        <v>40627</v>
      </c>
      <c r="E3299" s="1">
        <v>376</v>
      </c>
      <c r="F3299" s="1">
        <v>491</v>
      </c>
      <c r="G3299" s="1">
        <v>1802936</v>
      </c>
      <c r="H3299" s="1" t="s">
        <v>70</v>
      </c>
    </row>
    <row r="3300" spans="1:8" x14ac:dyDescent="0.3">
      <c r="A3300" s="1" t="s">
        <v>520</v>
      </c>
      <c r="B3300" s="1" t="s">
        <v>521</v>
      </c>
      <c r="C3300" s="1">
        <v>2021</v>
      </c>
      <c r="D3300" s="1">
        <v>27371</v>
      </c>
      <c r="E3300" s="1">
        <v>240</v>
      </c>
      <c r="F3300" s="1">
        <v>33</v>
      </c>
      <c r="G3300" s="1">
        <v>184700</v>
      </c>
      <c r="H3300" s="1" t="s">
        <v>70</v>
      </c>
    </row>
    <row r="3301" spans="1:8" x14ac:dyDescent="0.3">
      <c r="A3301" s="1" t="s">
        <v>522</v>
      </c>
      <c r="B3301" s="1" t="s">
        <v>523</v>
      </c>
      <c r="C3301" s="1">
        <v>2021</v>
      </c>
      <c r="D3301" s="1">
        <v>25518</v>
      </c>
      <c r="E3301" s="1">
        <v>288</v>
      </c>
      <c r="F3301" s="1">
        <v>100</v>
      </c>
      <c r="G3301" s="1">
        <v>456465</v>
      </c>
      <c r="H3301" s="1" t="s">
        <v>70</v>
      </c>
    </row>
    <row r="3302" spans="1:8" x14ac:dyDescent="0.3">
      <c r="A3302" s="1" t="s">
        <v>524</v>
      </c>
      <c r="B3302" s="1" t="s">
        <v>525</v>
      </c>
      <c r="C3302" s="1">
        <v>2021</v>
      </c>
      <c r="D3302" s="1">
        <v>36454</v>
      </c>
      <c r="E3302" s="1">
        <v>693</v>
      </c>
      <c r="F3302" s="1">
        <v>354</v>
      </c>
      <c r="G3302" s="1">
        <v>1915601</v>
      </c>
      <c r="H3302" s="1" t="s">
        <v>70</v>
      </c>
    </row>
    <row r="3303" spans="1:8" x14ac:dyDescent="0.3">
      <c r="A3303" s="1" t="s">
        <v>526</v>
      </c>
      <c r="B3303" s="1" t="s">
        <v>527</v>
      </c>
      <c r="C3303" s="1">
        <v>2021</v>
      </c>
      <c r="D3303" s="1">
        <v>26347</v>
      </c>
      <c r="E3303" s="1">
        <v>173</v>
      </c>
      <c r="F3303" s="1">
        <v>109</v>
      </c>
      <c r="G3303" s="1">
        <v>706574</v>
      </c>
      <c r="H3303" s="1" t="s">
        <v>70</v>
      </c>
    </row>
    <row r="3304" spans="1:8" x14ac:dyDescent="0.3">
      <c r="A3304" s="1" t="s">
        <v>528</v>
      </c>
      <c r="B3304" s="1" t="s">
        <v>529</v>
      </c>
      <c r="C3304" s="1">
        <v>2021</v>
      </c>
      <c r="D3304" s="1">
        <v>34370</v>
      </c>
      <c r="E3304" s="1">
        <v>559</v>
      </c>
      <c r="F3304" s="1">
        <v>300</v>
      </c>
      <c r="G3304" s="1">
        <v>705151</v>
      </c>
      <c r="H3304" s="1" t="s">
        <v>70</v>
      </c>
    </row>
    <row r="3305" spans="1:8" x14ac:dyDescent="0.3">
      <c r="A3305" s="1" t="s">
        <v>530</v>
      </c>
      <c r="B3305" s="1" t="s">
        <v>531</v>
      </c>
      <c r="C3305" s="1">
        <v>2021</v>
      </c>
      <c r="D3305" s="1">
        <v>36816</v>
      </c>
      <c r="E3305" s="1">
        <v>208</v>
      </c>
      <c r="F3305" s="1">
        <v>358</v>
      </c>
      <c r="G3305" s="1">
        <v>2603827</v>
      </c>
      <c r="H3305" s="1" t="s">
        <v>70</v>
      </c>
    </row>
    <row r="3306" spans="1:8" x14ac:dyDescent="0.3">
      <c r="A3306" s="1" t="s">
        <v>532</v>
      </c>
      <c r="B3306" s="1" t="s">
        <v>533</v>
      </c>
      <c r="C3306" s="1">
        <v>2021</v>
      </c>
      <c r="D3306" s="1">
        <v>24723</v>
      </c>
      <c r="E3306" s="1">
        <v>287</v>
      </c>
      <c r="F3306" s="1">
        <v>109</v>
      </c>
      <c r="G3306" s="1">
        <v>572418</v>
      </c>
      <c r="H3306" s="1" t="s">
        <v>70</v>
      </c>
    </row>
    <row r="3307" spans="1:8" x14ac:dyDescent="0.3">
      <c r="A3307" s="1" t="s">
        <v>534</v>
      </c>
      <c r="B3307" s="1" t="s">
        <v>535</v>
      </c>
      <c r="C3307" s="1">
        <v>2021</v>
      </c>
      <c r="D3307" s="1">
        <v>51578</v>
      </c>
      <c r="E3307" s="1">
        <v>828</v>
      </c>
      <c r="F3307" s="1">
        <v>428</v>
      </c>
      <c r="G3307" s="1">
        <v>2491592</v>
      </c>
      <c r="H3307" s="1" t="s">
        <v>70</v>
      </c>
    </row>
    <row r="3308" spans="1:8" x14ac:dyDescent="0.3">
      <c r="A3308" s="1" t="s">
        <v>536</v>
      </c>
      <c r="B3308" s="1" t="s">
        <v>537</v>
      </c>
      <c r="C3308" s="1">
        <v>2021</v>
      </c>
      <c r="D3308" s="1">
        <v>19016</v>
      </c>
      <c r="E3308" s="1">
        <v>317</v>
      </c>
      <c r="F3308" s="1">
        <v>110</v>
      </c>
      <c r="G3308" s="1">
        <v>239139</v>
      </c>
      <c r="H3308" s="1" t="s">
        <v>70</v>
      </c>
    </row>
    <row r="3309" spans="1:8" x14ac:dyDescent="0.3">
      <c r="A3309" s="1" t="s">
        <v>538</v>
      </c>
      <c r="B3309" s="1" t="s">
        <v>539</v>
      </c>
      <c r="C3309" s="1">
        <v>2021</v>
      </c>
      <c r="D3309" s="1">
        <v>50261</v>
      </c>
      <c r="E3309" s="1">
        <v>423</v>
      </c>
      <c r="F3309" s="1">
        <v>246</v>
      </c>
      <c r="G3309" s="1">
        <v>3015751</v>
      </c>
      <c r="H3309" s="1" t="s">
        <v>70</v>
      </c>
    </row>
    <row r="3310" spans="1:8" x14ac:dyDescent="0.3">
      <c r="A3310" s="1" t="s">
        <v>540</v>
      </c>
      <c r="B3310" s="1" t="s">
        <v>541</v>
      </c>
      <c r="C3310" s="1">
        <v>2021</v>
      </c>
      <c r="D3310" s="1">
        <v>48249</v>
      </c>
      <c r="E3310" s="1">
        <v>293</v>
      </c>
      <c r="F3310" s="1">
        <v>203</v>
      </c>
      <c r="G3310" s="1">
        <v>2025465</v>
      </c>
      <c r="H3310" s="1" t="s">
        <v>70</v>
      </c>
    </row>
    <row r="3311" spans="1:8" x14ac:dyDescent="0.3">
      <c r="A3311" s="1" t="s">
        <v>542</v>
      </c>
      <c r="B3311" s="1" t="s">
        <v>543</v>
      </c>
      <c r="C3311" s="1">
        <v>2021</v>
      </c>
      <c r="D3311" s="1">
        <v>53426</v>
      </c>
      <c r="E3311" s="1">
        <v>657</v>
      </c>
      <c r="F3311" s="1">
        <v>115</v>
      </c>
      <c r="G3311" s="1">
        <v>963739</v>
      </c>
      <c r="H3311" s="1" t="s">
        <v>70</v>
      </c>
    </row>
    <row r="3312" spans="1:8" x14ac:dyDescent="0.3">
      <c r="A3312" s="1" t="s">
        <v>544</v>
      </c>
      <c r="B3312" s="1" t="s">
        <v>545</v>
      </c>
      <c r="C3312" s="1">
        <v>2021</v>
      </c>
      <c r="D3312" s="1">
        <v>75140</v>
      </c>
      <c r="E3312" s="1">
        <v>814</v>
      </c>
      <c r="F3312" s="1">
        <v>1075</v>
      </c>
      <c r="G3312" s="1">
        <v>4253744</v>
      </c>
      <c r="H3312" s="1" t="s">
        <v>70</v>
      </c>
    </row>
    <row r="3313" spans="1:8" x14ac:dyDescent="0.3">
      <c r="A3313" s="1" t="s">
        <v>546</v>
      </c>
      <c r="B3313" s="1" t="s">
        <v>547</v>
      </c>
      <c r="C3313" s="1">
        <v>2021</v>
      </c>
      <c r="D3313" s="1">
        <v>74157</v>
      </c>
      <c r="E3313" s="1">
        <v>123</v>
      </c>
      <c r="F3313" s="1">
        <v>1575</v>
      </c>
      <c r="G3313" s="1">
        <v>4708415</v>
      </c>
      <c r="H3313" s="1" t="s">
        <v>70</v>
      </c>
    </row>
    <row r="3314" spans="1:8" x14ac:dyDescent="0.3">
      <c r="A3314" s="1" t="s">
        <v>548</v>
      </c>
      <c r="B3314" s="1" t="s">
        <v>549</v>
      </c>
      <c r="C3314" s="1">
        <v>2021</v>
      </c>
      <c r="D3314" s="1">
        <v>54085</v>
      </c>
      <c r="E3314" s="1">
        <v>235</v>
      </c>
      <c r="F3314" s="1">
        <v>783</v>
      </c>
      <c r="G3314" s="1">
        <v>9783450</v>
      </c>
      <c r="H3314" s="1" t="s">
        <v>70</v>
      </c>
    </row>
    <row r="3315" spans="1:8" x14ac:dyDescent="0.3">
      <c r="A3315" s="1" t="s">
        <v>550</v>
      </c>
      <c r="B3315" s="1" t="s">
        <v>551</v>
      </c>
      <c r="C3315" s="1">
        <v>2021</v>
      </c>
      <c r="D3315" s="1">
        <v>100253</v>
      </c>
      <c r="E3315" s="1">
        <v>715</v>
      </c>
      <c r="F3315" s="1">
        <v>1369</v>
      </c>
      <c r="G3315" s="1">
        <v>8509401</v>
      </c>
      <c r="H3315" s="1" t="s">
        <v>70</v>
      </c>
    </row>
    <row r="3316" spans="1:8" x14ac:dyDescent="0.3">
      <c r="A3316" s="1" t="s">
        <v>552</v>
      </c>
      <c r="B3316" s="1" t="s">
        <v>553</v>
      </c>
      <c r="C3316" s="1">
        <v>2021</v>
      </c>
      <c r="D3316" s="1">
        <v>51419</v>
      </c>
      <c r="E3316" s="1">
        <v>427</v>
      </c>
      <c r="F3316" s="1">
        <v>723</v>
      </c>
      <c r="G3316" s="1">
        <v>1986466</v>
      </c>
      <c r="H3316" s="1" t="s">
        <v>70</v>
      </c>
    </row>
    <row r="3317" spans="1:8" x14ac:dyDescent="0.3">
      <c r="A3317" s="1" t="s">
        <v>554</v>
      </c>
      <c r="B3317" s="1" t="s">
        <v>555</v>
      </c>
      <c r="C3317" s="1">
        <v>2021</v>
      </c>
      <c r="D3317" s="1">
        <v>81651</v>
      </c>
      <c r="E3317" s="1">
        <v>646</v>
      </c>
      <c r="F3317" s="1">
        <v>2129</v>
      </c>
      <c r="G3317" s="1">
        <v>5372881</v>
      </c>
      <c r="H3317" s="1" t="s">
        <v>70</v>
      </c>
    </row>
    <row r="3318" spans="1:8" x14ac:dyDescent="0.3">
      <c r="A3318" s="1" t="s">
        <v>556</v>
      </c>
      <c r="B3318" s="1" t="s">
        <v>557</v>
      </c>
      <c r="C3318" s="1">
        <v>2021</v>
      </c>
      <c r="D3318" s="1">
        <v>32761</v>
      </c>
      <c r="E3318" s="1">
        <v>126</v>
      </c>
      <c r="F3318" s="1">
        <v>279</v>
      </c>
      <c r="G3318" s="1">
        <v>1896518</v>
      </c>
      <c r="H3318" s="1" t="s">
        <v>70</v>
      </c>
    </row>
    <row r="3319" spans="1:8" x14ac:dyDescent="0.3">
      <c r="A3319" s="1" t="s">
        <v>558</v>
      </c>
      <c r="B3319" s="1" t="s">
        <v>559</v>
      </c>
      <c r="C3319" s="1">
        <v>2021</v>
      </c>
      <c r="D3319" s="1">
        <v>36464</v>
      </c>
      <c r="E3319" s="1">
        <v>306</v>
      </c>
      <c r="F3319" s="1">
        <v>451</v>
      </c>
      <c r="G3319" s="1">
        <v>1337824</v>
      </c>
      <c r="H3319" s="1" t="s">
        <v>70</v>
      </c>
    </row>
    <row r="3320" spans="1:8" x14ac:dyDescent="0.3">
      <c r="A3320" s="1" t="s">
        <v>560</v>
      </c>
      <c r="B3320" s="1" t="s">
        <v>561</v>
      </c>
      <c r="C3320" s="1">
        <v>2021</v>
      </c>
      <c r="D3320" s="1">
        <v>154471</v>
      </c>
      <c r="E3320" s="1">
        <v>2325</v>
      </c>
      <c r="F3320" s="1">
        <v>1379</v>
      </c>
      <c r="G3320" s="1">
        <v>9674517</v>
      </c>
      <c r="H3320" s="1" t="s">
        <v>70</v>
      </c>
    </row>
    <row r="3321" spans="1:8" x14ac:dyDescent="0.3">
      <c r="A3321" s="1" t="s">
        <v>562</v>
      </c>
      <c r="B3321" s="1" t="s">
        <v>563</v>
      </c>
      <c r="C3321" s="1">
        <v>2021</v>
      </c>
      <c r="D3321" s="1">
        <v>30285</v>
      </c>
      <c r="E3321" s="1">
        <v>349</v>
      </c>
      <c r="F3321" s="1">
        <v>440</v>
      </c>
      <c r="G3321" s="1">
        <v>3018940</v>
      </c>
      <c r="H3321" s="1" t="s">
        <v>70</v>
      </c>
    </row>
    <row r="3322" spans="1:8" x14ac:dyDescent="0.3">
      <c r="A3322" s="1" t="s">
        <v>564</v>
      </c>
      <c r="B3322" s="1" t="s">
        <v>565</v>
      </c>
      <c r="C3322" s="1">
        <v>2021</v>
      </c>
      <c r="D3322" s="1">
        <v>22799</v>
      </c>
      <c r="E3322" s="1">
        <v>116</v>
      </c>
      <c r="F3322" s="1">
        <v>326</v>
      </c>
      <c r="G3322" s="1">
        <v>2944268</v>
      </c>
      <c r="H3322" s="1" t="s">
        <v>70</v>
      </c>
    </row>
    <row r="3323" spans="1:8" x14ac:dyDescent="0.3">
      <c r="A3323" s="1" t="s">
        <v>566</v>
      </c>
      <c r="B3323" s="1" t="s">
        <v>567</v>
      </c>
      <c r="C3323" s="1">
        <v>2021</v>
      </c>
      <c r="D3323" s="1">
        <v>60737</v>
      </c>
      <c r="E3323" s="1">
        <v>268</v>
      </c>
      <c r="F3323" s="1">
        <v>918</v>
      </c>
      <c r="G3323" s="1">
        <v>4058884</v>
      </c>
      <c r="H3323" s="1" t="s">
        <v>70</v>
      </c>
    </row>
    <row r="3324" spans="1:8" x14ac:dyDescent="0.3">
      <c r="A3324" s="1" t="s">
        <v>568</v>
      </c>
      <c r="B3324" s="1" t="s">
        <v>569</v>
      </c>
      <c r="C3324" s="1">
        <v>2021</v>
      </c>
      <c r="D3324" s="1">
        <v>52016</v>
      </c>
      <c r="E3324" s="1">
        <v>462</v>
      </c>
      <c r="F3324" s="1">
        <v>704</v>
      </c>
      <c r="G3324" s="1">
        <v>4172181</v>
      </c>
      <c r="H3324" s="1" t="s">
        <v>70</v>
      </c>
    </row>
    <row r="3325" spans="1:8" x14ac:dyDescent="0.3">
      <c r="A3325" s="1" t="s">
        <v>570</v>
      </c>
      <c r="B3325" s="1" t="s">
        <v>571</v>
      </c>
      <c r="C3325" s="1">
        <v>2021</v>
      </c>
      <c r="D3325" s="1">
        <v>31669</v>
      </c>
      <c r="E3325" s="1">
        <v>320</v>
      </c>
      <c r="F3325" s="1">
        <v>501</v>
      </c>
      <c r="G3325" s="1">
        <v>2975921</v>
      </c>
      <c r="H3325" s="1" t="s">
        <v>70</v>
      </c>
    </row>
    <row r="3326" spans="1:8" x14ac:dyDescent="0.3">
      <c r="A3326" s="1" t="s">
        <v>572</v>
      </c>
      <c r="B3326" s="1" t="s">
        <v>573</v>
      </c>
      <c r="C3326" s="1">
        <v>2021</v>
      </c>
      <c r="D3326" s="1">
        <v>93494</v>
      </c>
      <c r="E3326" s="1">
        <v>545</v>
      </c>
      <c r="F3326" s="1">
        <v>1369</v>
      </c>
      <c r="G3326" s="1">
        <v>4964550</v>
      </c>
      <c r="H3326" s="1" t="s">
        <v>70</v>
      </c>
    </row>
    <row r="3327" spans="1:8" x14ac:dyDescent="0.3">
      <c r="A3327" s="1" t="s">
        <v>574</v>
      </c>
      <c r="B3327" s="1" t="s">
        <v>575</v>
      </c>
      <c r="C3327" s="1">
        <v>2021</v>
      </c>
      <c r="D3327" s="1">
        <v>23045</v>
      </c>
      <c r="E3327" s="1">
        <v>186</v>
      </c>
      <c r="F3327" s="1">
        <v>428</v>
      </c>
      <c r="G3327" s="1">
        <v>1158966</v>
      </c>
      <c r="H3327" s="1" t="s">
        <v>70</v>
      </c>
    </row>
    <row r="3328" spans="1:8" x14ac:dyDescent="0.3">
      <c r="A3328" s="1" t="s">
        <v>576</v>
      </c>
      <c r="B3328" s="1" t="s">
        <v>577</v>
      </c>
      <c r="C3328" s="1">
        <v>2021</v>
      </c>
      <c r="D3328" s="1">
        <v>52686</v>
      </c>
      <c r="E3328" s="1">
        <v>470</v>
      </c>
      <c r="F3328" s="1">
        <v>1117</v>
      </c>
      <c r="G3328" s="1">
        <v>4181199</v>
      </c>
      <c r="H3328" s="1" t="s">
        <v>70</v>
      </c>
    </row>
    <row r="3329" spans="1:8" x14ac:dyDescent="0.3">
      <c r="A3329" s="1" t="s">
        <v>578</v>
      </c>
      <c r="B3329" s="1" t="s">
        <v>579</v>
      </c>
      <c r="C3329" s="1">
        <v>2021</v>
      </c>
      <c r="D3329" s="1">
        <v>71177</v>
      </c>
      <c r="E3329" s="1">
        <v>237</v>
      </c>
      <c r="F3329" s="1">
        <v>1456</v>
      </c>
      <c r="G3329" s="1">
        <v>8634312</v>
      </c>
      <c r="H3329" s="1" t="s">
        <v>70</v>
      </c>
    </row>
    <row r="3330" spans="1:8" x14ac:dyDescent="0.3">
      <c r="A3330" s="1" t="s">
        <v>580</v>
      </c>
      <c r="B3330" s="1" t="s">
        <v>581</v>
      </c>
      <c r="C3330" s="1">
        <v>2021</v>
      </c>
      <c r="D3330" s="1">
        <v>22589</v>
      </c>
      <c r="E3330" s="1">
        <v>372</v>
      </c>
      <c r="F3330" s="1">
        <v>362</v>
      </c>
      <c r="G3330" s="1">
        <v>972824</v>
      </c>
      <c r="H3330" s="1" t="s">
        <v>70</v>
      </c>
    </row>
    <row r="3331" spans="1:8" x14ac:dyDescent="0.3">
      <c r="A3331" s="1" t="s">
        <v>582</v>
      </c>
      <c r="B3331" s="1" t="s">
        <v>583</v>
      </c>
      <c r="C3331" s="1">
        <v>2021</v>
      </c>
      <c r="D3331" s="1">
        <v>25418</v>
      </c>
      <c r="E3331" s="1">
        <v>260</v>
      </c>
      <c r="F3331" s="1">
        <v>153</v>
      </c>
      <c r="G3331" s="1">
        <v>413315</v>
      </c>
      <c r="H3331" s="1" t="s">
        <v>70</v>
      </c>
    </row>
    <row r="3332" spans="1:8" x14ac:dyDescent="0.3">
      <c r="A3332" s="1" t="s">
        <v>584</v>
      </c>
      <c r="B3332" s="1" t="s">
        <v>585</v>
      </c>
      <c r="C3332" s="1">
        <v>2021</v>
      </c>
      <c r="D3332" s="1">
        <v>30416</v>
      </c>
      <c r="E3332" s="1">
        <v>233</v>
      </c>
      <c r="F3332" s="1">
        <v>134</v>
      </c>
      <c r="G3332" s="1">
        <v>393269</v>
      </c>
      <c r="H3332" s="1" t="s">
        <v>70</v>
      </c>
    </row>
    <row r="3333" spans="1:8" x14ac:dyDescent="0.3">
      <c r="A3333" s="1" t="s">
        <v>586</v>
      </c>
      <c r="B3333" s="1" t="s">
        <v>587</v>
      </c>
      <c r="C3333" s="1">
        <v>2021</v>
      </c>
      <c r="D3333" s="1">
        <v>10929</v>
      </c>
      <c r="E3333" s="1">
        <v>65</v>
      </c>
      <c r="F3333" s="1">
        <v>14</v>
      </c>
      <c r="G3333" s="1">
        <v>67155</v>
      </c>
      <c r="H3333" s="1" t="s">
        <v>70</v>
      </c>
    </row>
    <row r="3334" spans="1:8" x14ac:dyDescent="0.3">
      <c r="A3334" s="1" t="s">
        <v>588</v>
      </c>
      <c r="B3334" s="1" t="s">
        <v>589</v>
      </c>
      <c r="C3334" s="1">
        <v>2021</v>
      </c>
      <c r="D3334" s="1">
        <v>63795</v>
      </c>
      <c r="E3334" s="1">
        <v>1059</v>
      </c>
      <c r="F3334" s="1">
        <v>140</v>
      </c>
      <c r="G3334" s="1">
        <v>144080</v>
      </c>
      <c r="H3334" s="1" t="s">
        <v>70</v>
      </c>
    </row>
    <row r="3335" spans="1:8" x14ac:dyDescent="0.3">
      <c r="A3335" s="1" t="s">
        <v>590</v>
      </c>
      <c r="B3335" s="1" t="s">
        <v>591</v>
      </c>
      <c r="C3335" s="1">
        <v>2021</v>
      </c>
      <c r="D3335" s="1">
        <v>29999</v>
      </c>
      <c r="E3335" s="1">
        <v>228</v>
      </c>
      <c r="F3335" s="1">
        <v>62</v>
      </c>
      <c r="G3335" s="1">
        <v>298204</v>
      </c>
      <c r="H3335" s="1" t="s">
        <v>70</v>
      </c>
    </row>
    <row r="3336" spans="1:8" x14ac:dyDescent="0.3">
      <c r="A3336" s="1" t="s">
        <v>592</v>
      </c>
      <c r="B3336" s="1" t="s">
        <v>593</v>
      </c>
      <c r="C3336" s="1">
        <v>2021</v>
      </c>
      <c r="D3336" s="1">
        <v>18451</v>
      </c>
      <c r="E3336" s="1">
        <v>105</v>
      </c>
      <c r="F3336" s="1">
        <v>44</v>
      </c>
      <c r="G3336" s="1">
        <v>170685</v>
      </c>
      <c r="H3336" s="1" t="s">
        <v>70</v>
      </c>
    </row>
    <row r="3337" spans="1:8" x14ac:dyDescent="0.3">
      <c r="A3337" s="1" t="s">
        <v>594</v>
      </c>
      <c r="B3337" s="1" t="s">
        <v>595</v>
      </c>
      <c r="C3337" s="1">
        <v>2021</v>
      </c>
      <c r="D3337" s="1">
        <v>41209</v>
      </c>
      <c r="E3337" s="1">
        <v>249</v>
      </c>
      <c r="F3337" s="1">
        <v>248</v>
      </c>
      <c r="G3337" s="1">
        <v>642086</v>
      </c>
      <c r="H3337" s="1" t="s">
        <v>70</v>
      </c>
    </row>
    <row r="3338" spans="1:8" x14ac:dyDescent="0.3">
      <c r="A3338" s="1" t="s">
        <v>596</v>
      </c>
      <c r="B3338" s="1" t="s">
        <v>597</v>
      </c>
      <c r="C3338" s="1">
        <v>2021</v>
      </c>
      <c r="D3338" s="1">
        <v>14692</v>
      </c>
      <c r="E3338" s="1">
        <v>90</v>
      </c>
      <c r="F3338" s="1">
        <v>31</v>
      </c>
      <c r="G3338" s="1">
        <v>317891</v>
      </c>
      <c r="H3338" s="1" t="s">
        <v>70</v>
      </c>
    </row>
    <row r="3339" spans="1:8" x14ac:dyDescent="0.3">
      <c r="A3339" s="1" t="s">
        <v>598</v>
      </c>
      <c r="B3339" s="1" t="s">
        <v>599</v>
      </c>
      <c r="C3339" s="1">
        <v>2021</v>
      </c>
      <c r="D3339" s="1">
        <v>26096</v>
      </c>
      <c r="E3339" s="1">
        <v>199</v>
      </c>
      <c r="F3339" s="1">
        <v>80</v>
      </c>
      <c r="G3339" s="1">
        <v>412977</v>
      </c>
      <c r="H3339" s="1" t="s">
        <v>70</v>
      </c>
    </row>
    <row r="3340" spans="1:8" x14ac:dyDescent="0.3">
      <c r="A3340" s="1" t="s">
        <v>600</v>
      </c>
      <c r="B3340" s="1" t="s">
        <v>601</v>
      </c>
      <c r="C3340" s="1">
        <v>2021</v>
      </c>
      <c r="D3340" s="1">
        <v>30176</v>
      </c>
      <c r="E3340" s="1">
        <v>170</v>
      </c>
      <c r="F3340" s="1">
        <v>189</v>
      </c>
      <c r="G3340" s="1">
        <v>1087331</v>
      </c>
      <c r="H3340" s="1" t="s">
        <v>70</v>
      </c>
    </row>
    <row r="3341" spans="1:8" x14ac:dyDescent="0.3">
      <c r="A3341" s="1" t="s">
        <v>602</v>
      </c>
      <c r="B3341" s="1" t="s">
        <v>603</v>
      </c>
      <c r="C3341" s="1">
        <v>2021</v>
      </c>
      <c r="D3341" s="1">
        <v>32924</v>
      </c>
      <c r="E3341" s="1">
        <v>305</v>
      </c>
      <c r="F3341" s="1">
        <v>263</v>
      </c>
      <c r="G3341" s="1">
        <v>1619787</v>
      </c>
      <c r="H3341" s="1" t="s">
        <v>70</v>
      </c>
    </row>
    <row r="3342" spans="1:8" x14ac:dyDescent="0.3">
      <c r="A3342" s="1" t="s">
        <v>604</v>
      </c>
      <c r="B3342" s="1" t="s">
        <v>605</v>
      </c>
      <c r="C3342" s="1">
        <v>2021</v>
      </c>
      <c r="D3342" s="1">
        <v>24358</v>
      </c>
      <c r="E3342" s="1">
        <v>232</v>
      </c>
      <c r="F3342" s="1">
        <v>85</v>
      </c>
      <c r="G3342" s="1">
        <v>327486</v>
      </c>
      <c r="H3342" s="1" t="s">
        <v>70</v>
      </c>
    </row>
    <row r="3343" spans="1:8" x14ac:dyDescent="0.3">
      <c r="A3343" s="1" t="s">
        <v>606</v>
      </c>
      <c r="B3343" s="1" t="s">
        <v>607</v>
      </c>
      <c r="C3343" s="1">
        <v>2021</v>
      </c>
      <c r="D3343" s="1">
        <v>16711</v>
      </c>
      <c r="E3343" s="1">
        <v>157</v>
      </c>
      <c r="F3343" s="1">
        <v>36</v>
      </c>
      <c r="G3343" s="1">
        <v>87626</v>
      </c>
      <c r="H3343" s="1" t="s">
        <v>70</v>
      </c>
    </row>
    <row r="3344" spans="1:8" x14ac:dyDescent="0.3">
      <c r="A3344" s="1" t="s">
        <v>608</v>
      </c>
      <c r="B3344" s="1" t="s">
        <v>609</v>
      </c>
      <c r="C3344" s="1">
        <v>2021</v>
      </c>
      <c r="D3344" s="1">
        <v>90006</v>
      </c>
      <c r="E3344" s="1">
        <v>1173</v>
      </c>
      <c r="F3344" s="1">
        <v>2102</v>
      </c>
      <c r="G3344" s="1">
        <v>2210101</v>
      </c>
      <c r="H3344" s="1" t="s">
        <v>70</v>
      </c>
    </row>
    <row r="3345" spans="1:8" x14ac:dyDescent="0.3">
      <c r="A3345" s="1" t="s">
        <v>610</v>
      </c>
      <c r="B3345" s="1" t="s">
        <v>611</v>
      </c>
      <c r="C3345" s="1">
        <v>2021</v>
      </c>
      <c r="D3345" s="1">
        <v>20866</v>
      </c>
      <c r="E3345" s="1">
        <v>113</v>
      </c>
      <c r="F3345" s="1">
        <v>231</v>
      </c>
      <c r="G3345" s="1">
        <v>2082035</v>
      </c>
      <c r="H3345" s="1" t="s">
        <v>70</v>
      </c>
    </row>
    <row r="3346" spans="1:8" x14ac:dyDescent="0.3">
      <c r="A3346" s="1" t="s">
        <v>612</v>
      </c>
      <c r="B3346" s="1" t="s">
        <v>613</v>
      </c>
      <c r="C3346" s="1">
        <v>2021</v>
      </c>
      <c r="D3346" s="1">
        <v>14464</v>
      </c>
      <c r="E3346" s="1">
        <v>63</v>
      </c>
      <c r="F3346" s="1">
        <v>187</v>
      </c>
      <c r="G3346" s="1">
        <v>857234</v>
      </c>
      <c r="H3346" s="1" t="s">
        <v>70</v>
      </c>
    </row>
    <row r="3347" spans="1:8" x14ac:dyDescent="0.3">
      <c r="A3347" s="1" t="s">
        <v>614</v>
      </c>
      <c r="B3347" s="1" t="s">
        <v>615</v>
      </c>
      <c r="C3347" s="1">
        <v>2021</v>
      </c>
      <c r="D3347" s="1">
        <v>22245</v>
      </c>
      <c r="E3347" s="1">
        <v>292</v>
      </c>
      <c r="F3347" s="1">
        <v>239</v>
      </c>
      <c r="G3347" s="1">
        <v>884651</v>
      </c>
      <c r="H3347" s="1" t="s">
        <v>70</v>
      </c>
    </row>
    <row r="3348" spans="1:8" x14ac:dyDescent="0.3">
      <c r="A3348" s="1" t="s">
        <v>616</v>
      </c>
      <c r="B3348" s="1" t="s">
        <v>617</v>
      </c>
      <c r="C3348" s="1">
        <v>2021</v>
      </c>
      <c r="D3348" s="1">
        <v>18633</v>
      </c>
      <c r="E3348" s="1">
        <v>169</v>
      </c>
      <c r="F3348" s="1">
        <v>168</v>
      </c>
      <c r="G3348" s="1">
        <v>433643</v>
      </c>
      <c r="H3348" s="1" t="s">
        <v>70</v>
      </c>
    </row>
    <row r="3349" spans="1:8" x14ac:dyDescent="0.3">
      <c r="A3349" s="1" t="s">
        <v>618</v>
      </c>
      <c r="B3349" s="1" t="s">
        <v>619</v>
      </c>
      <c r="C3349" s="1">
        <v>2021</v>
      </c>
      <c r="D3349" s="1">
        <v>34355</v>
      </c>
      <c r="E3349" s="1">
        <v>581</v>
      </c>
      <c r="F3349" s="1">
        <v>831</v>
      </c>
      <c r="G3349" s="1">
        <v>1222771</v>
      </c>
      <c r="H3349" s="1" t="s">
        <v>70</v>
      </c>
    </row>
    <row r="3350" spans="1:8" x14ac:dyDescent="0.3">
      <c r="A3350" s="1" t="s">
        <v>620</v>
      </c>
      <c r="B3350" s="1" t="s">
        <v>621</v>
      </c>
      <c r="C3350" s="1">
        <v>2021</v>
      </c>
      <c r="D3350" s="1">
        <v>22301</v>
      </c>
      <c r="E3350" s="1">
        <v>108</v>
      </c>
      <c r="F3350" s="1">
        <v>308</v>
      </c>
      <c r="G3350" s="1">
        <v>1331402</v>
      </c>
      <c r="H3350" s="1" t="s">
        <v>70</v>
      </c>
    </row>
    <row r="3351" spans="1:8" x14ac:dyDescent="0.3">
      <c r="A3351" s="1" t="s">
        <v>622</v>
      </c>
      <c r="B3351" s="1" t="s">
        <v>623</v>
      </c>
      <c r="C3351" s="1">
        <v>2021</v>
      </c>
      <c r="D3351" s="1">
        <v>32275</v>
      </c>
      <c r="E3351" s="1">
        <v>516</v>
      </c>
      <c r="F3351" s="1">
        <v>604</v>
      </c>
      <c r="G3351" s="1">
        <v>767806</v>
      </c>
      <c r="H3351" s="1" t="s">
        <v>70</v>
      </c>
    </row>
    <row r="3352" spans="1:8" x14ac:dyDescent="0.3">
      <c r="A3352" s="1" t="s">
        <v>624</v>
      </c>
      <c r="B3352" s="1" t="s">
        <v>625</v>
      </c>
      <c r="C3352" s="1">
        <v>2021</v>
      </c>
      <c r="D3352" s="1">
        <v>23739</v>
      </c>
      <c r="E3352" s="1">
        <v>82</v>
      </c>
      <c r="F3352" s="1">
        <v>339</v>
      </c>
      <c r="G3352" s="1">
        <v>1726372</v>
      </c>
      <c r="H3352" s="1" t="s">
        <v>70</v>
      </c>
    </row>
    <row r="3353" spans="1:8" x14ac:dyDescent="0.3">
      <c r="A3353" s="1" t="s">
        <v>626</v>
      </c>
      <c r="B3353" s="1" t="s">
        <v>627</v>
      </c>
      <c r="C3353" s="1">
        <v>2021</v>
      </c>
      <c r="D3353" s="1">
        <v>15201</v>
      </c>
      <c r="E3353" s="1">
        <v>121</v>
      </c>
      <c r="F3353" s="1">
        <v>221</v>
      </c>
      <c r="G3353" s="1">
        <v>1072085</v>
      </c>
      <c r="H3353" s="1" t="s">
        <v>70</v>
      </c>
    </row>
    <row r="3354" spans="1:8" x14ac:dyDescent="0.3">
      <c r="A3354" s="1" t="s">
        <v>628</v>
      </c>
      <c r="B3354" s="1" t="s">
        <v>629</v>
      </c>
      <c r="C3354" s="1">
        <v>2021</v>
      </c>
      <c r="D3354" s="1">
        <v>18440</v>
      </c>
      <c r="E3354" s="1">
        <v>161</v>
      </c>
      <c r="F3354" s="1">
        <v>252</v>
      </c>
      <c r="G3354" s="1">
        <v>1213237</v>
      </c>
      <c r="H3354" s="1" t="s">
        <v>70</v>
      </c>
    </row>
    <row r="3355" spans="1:8" x14ac:dyDescent="0.3">
      <c r="A3355" s="1" t="s">
        <v>630</v>
      </c>
      <c r="B3355" s="1" t="s">
        <v>631</v>
      </c>
      <c r="C3355" s="1">
        <v>2021</v>
      </c>
      <c r="D3355" s="1">
        <v>10940</v>
      </c>
      <c r="E3355" s="1">
        <v>96</v>
      </c>
      <c r="F3355" s="1">
        <v>141</v>
      </c>
      <c r="G3355" s="1">
        <v>590053</v>
      </c>
      <c r="H3355" s="1" t="s">
        <v>70</v>
      </c>
    </row>
    <row r="3356" spans="1:8" x14ac:dyDescent="0.3">
      <c r="A3356" s="1" t="s">
        <v>632</v>
      </c>
      <c r="B3356" s="1" t="s">
        <v>633</v>
      </c>
      <c r="C3356" s="1">
        <v>2021</v>
      </c>
      <c r="D3356" s="1">
        <v>14085</v>
      </c>
      <c r="E3356" s="1">
        <v>181</v>
      </c>
      <c r="F3356" s="1">
        <v>93</v>
      </c>
      <c r="G3356" s="1">
        <v>326540</v>
      </c>
      <c r="H3356" s="1" t="s">
        <v>70</v>
      </c>
    </row>
    <row r="3357" spans="1:8" x14ac:dyDescent="0.3">
      <c r="A3357" s="1" t="s">
        <v>634</v>
      </c>
      <c r="B3357" s="1" t="s">
        <v>635</v>
      </c>
      <c r="C3357" s="1">
        <v>2021</v>
      </c>
      <c r="D3357" s="1">
        <v>12169</v>
      </c>
      <c r="E3357" s="1">
        <v>127</v>
      </c>
      <c r="F3357" s="1">
        <v>206</v>
      </c>
      <c r="G3357" s="1">
        <v>960167</v>
      </c>
      <c r="H3357" s="1" t="s">
        <v>70</v>
      </c>
    </row>
    <row r="3358" spans="1:8" x14ac:dyDescent="0.3">
      <c r="A3358" s="1" t="s">
        <v>636</v>
      </c>
      <c r="B3358" s="1" t="s">
        <v>637</v>
      </c>
      <c r="C3358" s="1">
        <v>2021</v>
      </c>
      <c r="D3358" s="1">
        <v>46203</v>
      </c>
      <c r="E3358" s="1">
        <v>1069</v>
      </c>
      <c r="F3358" s="1">
        <v>1178</v>
      </c>
      <c r="G3358" s="1">
        <v>1575618</v>
      </c>
      <c r="H3358" s="1" t="s">
        <v>70</v>
      </c>
    </row>
    <row r="3359" spans="1:8" x14ac:dyDescent="0.3">
      <c r="A3359" s="1" t="s">
        <v>638</v>
      </c>
      <c r="B3359" s="1" t="s">
        <v>639</v>
      </c>
      <c r="C3359" s="1">
        <v>2021</v>
      </c>
      <c r="D3359" s="1">
        <v>37322</v>
      </c>
      <c r="E3359" s="1">
        <v>281</v>
      </c>
      <c r="F3359" s="1">
        <v>503</v>
      </c>
      <c r="G3359" s="1">
        <v>1104788</v>
      </c>
      <c r="H3359" s="1" t="s">
        <v>70</v>
      </c>
    </row>
    <row r="3360" spans="1:8" x14ac:dyDescent="0.3">
      <c r="A3360" s="1" t="s">
        <v>640</v>
      </c>
      <c r="B3360" s="1" t="s">
        <v>641</v>
      </c>
      <c r="C3360" s="1">
        <v>2021</v>
      </c>
      <c r="D3360" s="1">
        <v>19450</v>
      </c>
      <c r="E3360" s="1">
        <v>187</v>
      </c>
      <c r="F3360" s="1">
        <v>231</v>
      </c>
      <c r="G3360" s="1">
        <v>1481397</v>
      </c>
      <c r="H3360" s="1" t="s">
        <v>70</v>
      </c>
    </row>
    <row r="3361" spans="1:8" x14ac:dyDescent="0.3">
      <c r="A3361" s="1" t="s">
        <v>642</v>
      </c>
      <c r="B3361" s="1" t="s">
        <v>643</v>
      </c>
      <c r="C3361" s="1">
        <v>2021</v>
      </c>
      <c r="D3361" s="1">
        <v>23905</v>
      </c>
      <c r="E3361" s="1">
        <v>292</v>
      </c>
      <c r="F3361" s="1">
        <v>279</v>
      </c>
      <c r="G3361" s="1">
        <v>516314</v>
      </c>
      <c r="H3361" s="1" t="s">
        <v>70</v>
      </c>
    </row>
    <row r="3362" spans="1:8" x14ac:dyDescent="0.3">
      <c r="A3362" s="1" t="s">
        <v>644</v>
      </c>
      <c r="B3362" s="1" t="s">
        <v>645</v>
      </c>
      <c r="C3362" s="1">
        <v>2021</v>
      </c>
      <c r="D3362" s="1">
        <v>9337</v>
      </c>
      <c r="E3362" s="1">
        <v>65</v>
      </c>
      <c r="F3362" s="1">
        <v>128</v>
      </c>
      <c r="G3362" s="1">
        <v>1543379</v>
      </c>
      <c r="H3362" s="1" t="s">
        <v>70</v>
      </c>
    </row>
    <row r="3363" spans="1:8" x14ac:dyDescent="0.3">
      <c r="A3363" s="1" t="s">
        <v>646</v>
      </c>
      <c r="B3363" s="1" t="s">
        <v>647</v>
      </c>
      <c r="C3363" s="1">
        <v>2021</v>
      </c>
      <c r="D3363" s="1">
        <v>8514</v>
      </c>
      <c r="E3363" s="1">
        <v>35</v>
      </c>
      <c r="F3363" s="1">
        <v>162</v>
      </c>
      <c r="G3363" s="1">
        <v>552017</v>
      </c>
      <c r="H3363" s="1" t="s">
        <v>70</v>
      </c>
    </row>
    <row r="3364" spans="1:8" x14ac:dyDescent="0.3">
      <c r="A3364" s="1" t="s">
        <v>648</v>
      </c>
      <c r="B3364" s="1" t="s">
        <v>649</v>
      </c>
      <c r="C3364" s="1">
        <v>2021</v>
      </c>
      <c r="D3364" s="1">
        <v>48440</v>
      </c>
      <c r="E3364" s="1">
        <v>543</v>
      </c>
      <c r="F3364" s="1">
        <v>1269</v>
      </c>
      <c r="G3364" s="1">
        <v>3973366</v>
      </c>
      <c r="H3364" s="1" t="s">
        <v>70</v>
      </c>
    </row>
    <row r="3365" spans="1:8" x14ac:dyDescent="0.3">
      <c r="A3365" s="1" t="s">
        <v>650</v>
      </c>
      <c r="B3365" s="1" t="s">
        <v>651</v>
      </c>
      <c r="C3365" s="1">
        <v>2021</v>
      </c>
      <c r="D3365" s="1">
        <v>81689</v>
      </c>
      <c r="E3365" s="1">
        <v>802</v>
      </c>
      <c r="F3365" s="1">
        <v>2519</v>
      </c>
      <c r="G3365" s="1">
        <v>4777931</v>
      </c>
      <c r="H3365" s="1" t="s">
        <v>70</v>
      </c>
    </row>
    <row r="3366" spans="1:8" x14ac:dyDescent="0.3">
      <c r="A3366" s="1" t="s">
        <v>652</v>
      </c>
      <c r="B3366" s="1" t="s">
        <v>653</v>
      </c>
      <c r="C3366" s="1">
        <v>2021</v>
      </c>
      <c r="D3366" s="1">
        <v>15632</v>
      </c>
      <c r="E3366" s="1">
        <v>184</v>
      </c>
      <c r="F3366" s="1">
        <v>176</v>
      </c>
      <c r="G3366" s="1">
        <v>751079</v>
      </c>
      <c r="H3366" s="1" t="s">
        <v>70</v>
      </c>
    </row>
    <row r="3367" spans="1:8" x14ac:dyDescent="0.3">
      <c r="A3367" s="1" t="s">
        <v>654</v>
      </c>
      <c r="B3367" s="1" t="s">
        <v>655</v>
      </c>
      <c r="C3367" s="1">
        <v>2021</v>
      </c>
      <c r="D3367" s="1">
        <v>28467</v>
      </c>
      <c r="E3367" s="1">
        <v>291</v>
      </c>
      <c r="F3367" s="1">
        <v>143</v>
      </c>
      <c r="G3367" s="1">
        <v>1350886</v>
      </c>
      <c r="H3367" s="1" t="s">
        <v>70</v>
      </c>
    </row>
    <row r="3368" spans="1:8" x14ac:dyDescent="0.3">
      <c r="A3368" s="1" t="s">
        <v>656</v>
      </c>
      <c r="B3368" s="1" t="s">
        <v>657</v>
      </c>
      <c r="C3368" s="1">
        <v>2021</v>
      </c>
      <c r="D3368" s="1">
        <v>54107</v>
      </c>
      <c r="E3368" s="1">
        <v>1090</v>
      </c>
      <c r="F3368" s="1">
        <v>777</v>
      </c>
      <c r="G3368" s="1">
        <v>6113003</v>
      </c>
      <c r="H3368" s="1" t="s">
        <v>70</v>
      </c>
    </row>
    <row r="3369" spans="1:8" x14ac:dyDescent="0.3">
      <c r="A3369" s="1" t="s">
        <v>658</v>
      </c>
      <c r="B3369" s="1" t="s">
        <v>659</v>
      </c>
      <c r="C3369" s="1">
        <v>2021</v>
      </c>
      <c r="D3369" s="1">
        <v>23340</v>
      </c>
      <c r="E3369" s="1">
        <v>383</v>
      </c>
      <c r="F3369" s="1">
        <v>299</v>
      </c>
      <c r="G3369" s="1">
        <v>966132</v>
      </c>
      <c r="H3369" s="1" t="s">
        <v>70</v>
      </c>
    </row>
    <row r="3370" spans="1:8" x14ac:dyDescent="0.3">
      <c r="A3370" s="1" t="s">
        <v>660</v>
      </c>
      <c r="B3370" s="1" t="s">
        <v>292</v>
      </c>
      <c r="C3370" s="1">
        <v>2021</v>
      </c>
      <c r="D3370" s="1">
        <v>15966</v>
      </c>
      <c r="E3370" s="1">
        <v>513</v>
      </c>
      <c r="F3370" s="1">
        <v>156</v>
      </c>
      <c r="G3370" s="1">
        <v>1137943</v>
      </c>
      <c r="H3370" s="1" t="s">
        <v>70</v>
      </c>
    </row>
    <row r="3371" spans="1:8" x14ac:dyDescent="0.3">
      <c r="A3371" s="1" t="s">
        <v>661</v>
      </c>
      <c r="B3371" s="1" t="s">
        <v>662</v>
      </c>
      <c r="C3371" s="1">
        <v>2021</v>
      </c>
      <c r="D3371" s="1">
        <v>23296</v>
      </c>
      <c r="E3371" s="1">
        <v>494</v>
      </c>
      <c r="F3371" s="1">
        <v>405</v>
      </c>
      <c r="G3371" s="1">
        <v>940529</v>
      </c>
      <c r="H3371" s="1" t="s">
        <v>70</v>
      </c>
    </row>
    <row r="3372" spans="1:8" x14ac:dyDescent="0.3">
      <c r="A3372" s="1" t="s">
        <v>663</v>
      </c>
      <c r="B3372" s="1" t="s">
        <v>664</v>
      </c>
      <c r="C3372" s="1">
        <v>2021</v>
      </c>
      <c r="D3372" s="1">
        <v>24327</v>
      </c>
      <c r="E3372" s="1">
        <v>306</v>
      </c>
      <c r="F3372" s="1">
        <v>16</v>
      </c>
      <c r="G3372" s="1">
        <v>110470</v>
      </c>
      <c r="H3372" s="1" t="s">
        <v>70</v>
      </c>
    </row>
    <row r="3373" spans="1:8" x14ac:dyDescent="0.3">
      <c r="A3373" s="1" t="s">
        <v>665</v>
      </c>
      <c r="B3373" s="1" t="s">
        <v>666</v>
      </c>
      <c r="C3373" s="1">
        <v>2021</v>
      </c>
      <c r="D3373" s="1">
        <v>18636</v>
      </c>
      <c r="E3373" s="1">
        <v>515</v>
      </c>
      <c r="F3373" s="1">
        <v>200</v>
      </c>
      <c r="G3373" s="1">
        <v>539240</v>
      </c>
      <c r="H3373" s="1" t="s">
        <v>70</v>
      </c>
    </row>
    <row r="3374" spans="1:8" x14ac:dyDescent="0.3">
      <c r="A3374" s="1" t="s">
        <v>667</v>
      </c>
      <c r="B3374" s="1" t="s">
        <v>668</v>
      </c>
      <c r="C3374" s="1">
        <v>2021</v>
      </c>
      <c r="D3374" s="1">
        <v>29921</v>
      </c>
      <c r="E3374" s="1">
        <v>252</v>
      </c>
      <c r="F3374" s="1">
        <v>111</v>
      </c>
      <c r="G3374" s="1">
        <v>1181340</v>
      </c>
      <c r="H3374" s="1" t="s">
        <v>70</v>
      </c>
    </row>
    <row r="3375" spans="1:8" x14ac:dyDescent="0.3">
      <c r="A3375" s="1" t="s">
        <v>669</v>
      </c>
      <c r="B3375" s="1" t="s">
        <v>670</v>
      </c>
      <c r="C3375" s="1">
        <v>2021</v>
      </c>
      <c r="D3375" s="1">
        <v>38949</v>
      </c>
      <c r="E3375" s="1">
        <v>670</v>
      </c>
      <c r="F3375" s="1">
        <v>69</v>
      </c>
      <c r="G3375" s="1">
        <v>344182</v>
      </c>
      <c r="H3375" s="1" t="s">
        <v>70</v>
      </c>
    </row>
    <row r="3376" spans="1:8" x14ac:dyDescent="0.3">
      <c r="A3376" s="1" t="s">
        <v>671</v>
      </c>
      <c r="B3376" s="1" t="s">
        <v>672</v>
      </c>
      <c r="C3376" s="1">
        <v>2021</v>
      </c>
      <c r="D3376" s="1">
        <v>26481</v>
      </c>
      <c r="E3376" s="1">
        <v>412</v>
      </c>
      <c r="F3376" s="1">
        <v>284</v>
      </c>
      <c r="G3376" s="1">
        <v>2149381</v>
      </c>
      <c r="H3376" s="1" t="s">
        <v>70</v>
      </c>
    </row>
    <row r="3377" spans="1:8" x14ac:dyDescent="0.3">
      <c r="A3377" s="1" t="s">
        <v>673</v>
      </c>
      <c r="B3377" s="1" t="s">
        <v>674</v>
      </c>
      <c r="C3377" s="1">
        <v>2021</v>
      </c>
      <c r="D3377" s="1">
        <v>24693</v>
      </c>
      <c r="E3377" s="1">
        <v>244</v>
      </c>
      <c r="F3377" s="1">
        <v>163</v>
      </c>
      <c r="G3377" s="1">
        <v>1756465</v>
      </c>
      <c r="H3377" s="1" t="s">
        <v>70</v>
      </c>
    </row>
    <row r="3378" spans="1:8" x14ac:dyDescent="0.3">
      <c r="A3378" s="1" t="s">
        <v>675</v>
      </c>
      <c r="B3378" s="1" t="s">
        <v>676</v>
      </c>
      <c r="C3378" s="1">
        <v>2021</v>
      </c>
      <c r="D3378" s="1">
        <v>18550</v>
      </c>
      <c r="E3378" s="1">
        <v>633</v>
      </c>
      <c r="F3378" s="1">
        <v>296</v>
      </c>
      <c r="G3378" s="1">
        <v>117728</v>
      </c>
      <c r="H3378" s="1" t="s">
        <v>70</v>
      </c>
    </row>
    <row r="3379" spans="1:8" x14ac:dyDescent="0.3">
      <c r="A3379" s="1" t="s">
        <v>677</v>
      </c>
      <c r="B3379" s="1" t="s">
        <v>678</v>
      </c>
      <c r="C3379" s="1">
        <v>2021</v>
      </c>
      <c r="D3379" s="1">
        <v>13105</v>
      </c>
      <c r="E3379" s="1">
        <v>184</v>
      </c>
      <c r="F3379" s="1">
        <v>143</v>
      </c>
      <c r="G3379" s="1">
        <v>668118</v>
      </c>
      <c r="H3379" s="1" t="s">
        <v>70</v>
      </c>
    </row>
    <row r="3380" spans="1:8" x14ac:dyDescent="0.3">
      <c r="A3380" s="1" t="s">
        <v>679</v>
      </c>
      <c r="B3380" s="1" t="s">
        <v>680</v>
      </c>
      <c r="C3380" s="1">
        <v>2021</v>
      </c>
      <c r="D3380" s="1">
        <v>25466</v>
      </c>
      <c r="E3380" s="1">
        <v>534</v>
      </c>
      <c r="F3380" s="1">
        <v>262</v>
      </c>
      <c r="G3380" s="1">
        <v>441338</v>
      </c>
      <c r="H3380" s="1" t="s">
        <v>70</v>
      </c>
    </row>
    <row r="3381" spans="1:8" x14ac:dyDescent="0.3">
      <c r="A3381" s="1" t="s">
        <v>681</v>
      </c>
      <c r="B3381" s="1" t="s">
        <v>682</v>
      </c>
      <c r="C3381" s="1">
        <v>2021</v>
      </c>
      <c r="D3381" s="1">
        <v>20358</v>
      </c>
      <c r="E3381" s="1">
        <v>332</v>
      </c>
      <c r="F3381" s="1">
        <v>326</v>
      </c>
      <c r="G3381" s="1">
        <v>893246</v>
      </c>
      <c r="H3381" s="1" t="s">
        <v>70</v>
      </c>
    </row>
    <row r="3382" spans="1:8" x14ac:dyDescent="0.3">
      <c r="A3382" s="1" t="s">
        <v>683</v>
      </c>
      <c r="B3382" s="1" t="s">
        <v>314</v>
      </c>
      <c r="C3382" s="1">
        <v>2021</v>
      </c>
      <c r="D3382" s="1">
        <v>56132</v>
      </c>
      <c r="E3382" s="1">
        <v>1000</v>
      </c>
      <c r="F3382" s="1">
        <v>636</v>
      </c>
      <c r="G3382" s="1">
        <v>3386195</v>
      </c>
      <c r="H3382" s="1" t="s">
        <v>70</v>
      </c>
    </row>
    <row r="3383" spans="1:8" x14ac:dyDescent="0.3">
      <c r="A3383" s="1" t="s">
        <v>684</v>
      </c>
      <c r="B3383" s="1" t="s">
        <v>685</v>
      </c>
      <c r="C3383" s="1">
        <v>2021</v>
      </c>
      <c r="D3383" s="1">
        <v>17924</v>
      </c>
      <c r="E3383" s="1">
        <v>222</v>
      </c>
      <c r="F3383" s="1">
        <v>37</v>
      </c>
      <c r="G3383" s="1">
        <v>633564</v>
      </c>
      <c r="H3383" s="1" t="s">
        <v>70</v>
      </c>
    </row>
    <row r="3384" spans="1:8" x14ac:dyDescent="0.3">
      <c r="A3384" s="1" t="s">
        <v>686</v>
      </c>
      <c r="B3384" s="1" t="s">
        <v>687</v>
      </c>
      <c r="C3384" s="1">
        <v>2021</v>
      </c>
      <c r="D3384" s="1">
        <v>48227</v>
      </c>
      <c r="E3384" s="1">
        <v>692</v>
      </c>
      <c r="F3384" s="1">
        <v>993</v>
      </c>
      <c r="G3384" s="1">
        <v>3093370</v>
      </c>
      <c r="H3384" s="1" t="s">
        <v>70</v>
      </c>
    </row>
    <row r="3385" spans="1:8" x14ac:dyDescent="0.3">
      <c r="A3385" s="1" t="s">
        <v>688</v>
      </c>
      <c r="B3385" s="1" t="s">
        <v>689</v>
      </c>
      <c r="C3385" s="1">
        <v>2021</v>
      </c>
      <c r="D3385" s="1">
        <v>19633</v>
      </c>
      <c r="E3385" s="1">
        <v>318</v>
      </c>
      <c r="F3385" s="1">
        <v>156</v>
      </c>
      <c r="G3385" s="1">
        <v>1401482</v>
      </c>
      <c r="H3385" s="1" t="s">
        <v>70</v>
      </c>
    </row>
    <row r="3386" spans="1:8" x14ac:dyDescent="0.3">
      <c r="A3386" s="1" t="s">
        <v>690</v>
      </c>
      <c r="B3386" s="1" t="s">
        <v>691</v>
      </c>
      <c r="C3386" s="1">
        <v>2021</v>
      </c>
      <c r="D3386" s="1">
        <v>153558</v>
      </c>
      <c r="E3386" s="1">
        <v>6201</v>
      </c>
      <c r="F3386" s="1">
        <v>2536</v>
      </c>
      <c r="G3386" s="1">
        <v>3175473</v>
      </c>
      <c r="H3386" s="1" t="s">
        <v>70</v>
      </c>
    </row>
    <row r="3387" spans="1:8" x14ac:dyDescent="0.3">
      <c r="A3387" s="1" t="s">
        <v>692</v>
      </c>
      <c r="B3387" s="1" t="s">
        <v>693</v>
      </c>
      <c r="C3387" s="1">
        <v>2021</v>
      </c>
      <c r="D3387" s="1">
        <v>20374</v>
      </c>
      <c r="E3387" s="1">
        <v>240</v>
      </c>
      <c r="F3387" s="1">
        <v>125</v>
      </c>
      <c r="G3387" s="1">
        <v>721673</v>
      </c>
      <c r="H3387" s="1" t="s">
        <v>70</v>
      </c>
    </row>
    <row r="3388" spans="1:8" x14ac:dyDescent="0.3">
      <c r="A3388" s="1" t="s">
        <v>694</v>
      </c>
      <c r="B3388" s="1" t="s">
        <v>695</v>
      </c>
      <c r="C3388" s="1">
        <v>2021</v>
      </c>
      <c r="D3388" s="1">
        <v>19593</v>
      </c>
      <c r="E3388" s="1">
        <v>213</v>
      </c>
      <c r="F3388" s="1">
        <v>107</v>
      </c>
      <c r="G3388" s="1">
        <v>635834</v>
      </c>
      <c r="H3388" s="1" t="s">
        <v>70</v>
      </c>
    </row>
    <row r="3389" spans="1:8" x14ac:dyDescent="0.3">
      <c r="A3389" s="1" t="s">
        <v>696</v>
      </c>
      <c r="B3389" s="1" t="s">
        <v>697</v>
      </c>
      <c r="C3389" s="1">
        <v>2021</v>
      </c>
      <c r="D3389" s="1">
        <v>32244</v>
      </c>
      <c r="E3389" s="1">
        <v>783</v>
      </c>
      <c r="F3389" s="1">
        <v>469</v>
      </c>
      <c r="G3389" s="1">
        <v>1255952</v>
      </c>
      <c r="H3389" s="1" t="s">
        <v>70</v>
      </c>
    </row>
    <row r="3390" spans="1:8" x14ac:dyDescent="0.3">
      <c r="A3390" s="1" t="s">
        <v>698</v>
      </c>
      <c r="B3390" s="1" t="s">
        <v>45</v>
      </c>
      <c r="C3390" s="1">
        <v>2021</v>
      </c>
      <c r="D3390" s="1">
        <v>21184</v>
      </c>
      <c r="E3390" s="1">
        <v>666</v>
      </c>
      <c r="F3390" s="1">
        <v>208</v>
      </c>
      <c r="G3390" s="1">
        <v>444502</v>
      </c>
      <c r="H3390" s="1" t="s">
        <v>70</v>
      </c>
    </row>
    <row r="3391" spans="1:8" x14ac:dyDescent="0.3">
      <c r="A3391" s="1" t="s">
        <v>699</v>
      </c>
      <c r="B3391" s="1" t="s">
        <v>700</v>
      </c>
      <c r="C3391" s="1">
        <v>2021</v>
      </c>
      <c r="D3391" s="1">
        <v>21533</v>
      </c>
      <c r="E3391" s="1">
        <v>347</v>
      </c>
      <c r="F3391" s="1">
        <v>271</v>
      </c>
      <c r="G3391" s="1">
        <v>1776341</v>
      </c>
      <c r="H3391" s="1" t="s">
        <v>70</v>
      </c>
    </row>
    <row r="3392" spans="1:8" x14ac:dyDescent="0.3">
      <c r="A3392" s="1" t="s">
        <v>701</v>
      </c>
      <c r="B3392" s="1" t="s">
        <v>702</v>
      </c>
      <c r="C3392" s="1">
        <v>2021</v>
      </c>
      <c r="D3392" s="1">
        <v>27689</v>
      </c>
      <c r="E3392" s="1">
        <v>120</v>
      </c>
      <c r="F3392" s="1">
        <v>216</v>
      </c>
      <c r="G3392" s="1">
        <v>859538</v>
      </c>
      <c r="H3392" s="1" t="s">
        <v>70</v>
      </c>
    </row>
    <row r="3393" spans="1:8" x14ac:dyDescent="0.3">
      <c r="A3393" s="1" t="s">
        <v>703</v>
      </c>
      <c r="B3393" s="1" t="s">
        <v>704</v>
      </c>
      <c r="C3393" s="1">
        <v>2021</v>
      </c>
      <c r="D3393" s="1">
        <v>24237</v>
      </c>
      <c r="E3393" s="1">
        <v>535</v>
      </c>
      <c r="F3393" s="1">
        <v>305</v>
      </c>
      <c r="G3393" s="1">
        <v>1581560</v>
      </c>
      <c r="H3393" s="1" t="s">
        <v>70</v>
      </c>
    </row>
    <row r="3394" spans="1:8" x14ac:dyDescent="0.3">
      <c r="A3394" s="1" t="s">
        <v>705</v>
      </c>
      <c r="B3394" s="1" t="s">
        <v>706</v>
      </c>
      <c r="C3394" s="1">
        <v>2021</v>
      </c>
      <c r="D3394" s="1">
        <v>17738</v>
      </c>
      <c r="E3394" s="1">
        <v>355</v>
      </c>
      <c r="F3394" s="1">
        <v>143</v>
      </c>
      <c r="G3394" s="1">
        <v>583382</v>
      </c>
      <c r="H3394" s="1" t="s">
        <v>70</v>
      </c>
    </row>
    <row r="3395" spans="1:8" x14ac:dyDescent="0.3">
      <c r="A3395" s="1" t="s">
        <v>707</v>
      </c>
      <c r="B3395" s="1" t="s">
        <v>708</v>
      </c>
      <c r="C3395" s="1">
        <v>2021</v>
      </c>
      <c r="D3395" s="1">
        <v>29131</v>
      </c>
      <c r="E3395" s="1">
        <v>638</v>
      </c>
      <c r="F3395" s="1">
        <v>608</v>
      </c>
      <c r="G3395" s="1">
        <v>1537006</v>
      </c>
      <c r="H3395" s="1" t="s">
        <v>70</v>
      </c>
    </row>
    <row r="3396" spans="1:8" x14ac:dyDescent="0.3">
      <c r="A3396" s="1" t="s">
        <v>709</v>
      </c>
      <c r="B3396" s="1" t="s">
        <v>710</v>
      </c>
      <c r="C3396" s="1">
        <v>2021</v>
      </c>
      <c r="D3396" s="1">
        <v>23181</v>
      </c>
      <c r="E3396" s="1">
        <v>238</v>
      </c>
      <c r="F3396" s="1">
        <v>304</v>
      </c>
      <c r="G3396" s="1">
        <v>2486968</v>
      </c>
      <c r="H3396" s="1" t="s">
        <v>70</v>
      </c>
    </row>
    <row r="3397" spans="1:8" x14ac:dyDescent="0.3">
      <c r="A3397" s="1" t="s">
        <v>711</v>
      </c>
      <c r="B3397" s="1" t="s">
        <v>712</v>
      </c>
      <c r="C3397" s="1">
        <v>2021</v>
      </c>
      <c r="D3397" s="1">
        <v>45478</v>
      </c>
      <c r="E3397" s="1">
        <v>466</v>
      </c>
      <c r="F3397" s="1">
        <v>750</v>
      </c>
      <c r="G3397" s="1">
        <v>4063650</v>
      </c>
      <c r="H3397" s="1" t="s">
        <v>70</v>
      </c>
    </row>
    <row r="3398" spans="1:8" x14ac:dyDescent="0.3">
      <c r="A3398" s="1" t="s">
        <v>713</v>
      </c>
      <c r="B3398" s="1" t="s">
        <v>714</v>
      </c>
      <c r="C3398" s="1">
        <v>2021</v>
      </c>
      <c r="D3398" s="1">
        <v>30446</v>
      </c>
      <c r="E3398" s="1">
        <v>202</v>
      </c>
      <c r="F3398" s="1">
        <v>656</v>
      </c>
      <c r="G3398" s="1">
        <v>2759388</v>
      </c>
      <c r="H3398" s="1" t="s">
        <v>70</v>
      </c>
    </row>
    <row r="3399" spans="1:8" x14ac:dyDescent="0.3">
      <c r="A3399" s="1" t="s">
        <v>715</v>
      </c>
      <c r="B3399" s="1" t="s">
        <v>716</v>
      </c>
      <c r="C3399" s="1">
        <v>2021</v>
      </c>
      <c r="D3399" s="1">
        <v>26360</v>
      </c>
      <c r="E3399" s="1">
        <v>433</v>
      </c>
      <c r="F3399" s="1">
        <v>535</v>
      </c>
      <c r="G3399" s="1">
        <v>1580985</v>
      </c>
      <c r="H3399" s="1" t="s">
        <v>70</v>
      </c>
    </row>
    <row r="3400" spans="1:8" x14ac:dyDescent="0.3">
      <c r="A3400" s="1" t="s">
        <v>717</v>
      </c>
      <c r="B3400" s="1" t="s">
        <v>718</v>
      </c>
      <c r="C3400" s="1">
        <v>2021</v>
      </c>
      <c r="D3400" s="1">
        <v>292187</v>
      </c>
      <c r="E3400" s="1">
        <v>6389</v>
      </c>
      <c r="F3400" s="1">
        <v>6382</v>
      </c>
      <c r="G3400" s="1">
        <v>13598017</v>
      </c>
      <c r="H3400" s="1" t="s">
        <v>70</v>
      </c>
    </row>
    <row r="3401" spans="1:8" x14ac:dyDescent="0.3">
      <c r="A3401" s="1" t="s">
        <v>719</v>
      </c>
      <c r="B3401" s="1" t="s">
        <v>720</v>
      </c>
      <c r="C3401" s="1">
        <v>2021</v>
      </c>
      <c r="D3401" s="1">
        <v>17338</v>
      </c>
      <c r="E3401" s="1">
        <v>122</v>
      </c>
      <c r="F3401" s="1">
        <v>235</v>
      </c>
      <c r="G3401" s="1">
        <v>1318794</v>
      </c>
      <c r="H3401" s="1" t="s">
        <v>70</v>
      </c>
    </row>
    <row r="3402" spans="1:8" x14ac:dyDescent="0.3">
      <c r="A3402" s="1" t="s">
        <v>721</v>
      </c>
      <c r="B3402" s="1" t="s">
        <v>722</v>
      </c>
      <c r="C3402" s="1">
        <v>2021</v>
      </c>
      <c r="D3402" s="1">
        <v>17156</v>
      </c>
      <c r="E3402" s="1">
        <v>91</v>
      </c>
      <c r="F3402" s="1">
        <v>227</v>
      </c>
      <c r="G3402" s="1">
        <v>729584</v>
      </c>
      <c r="H3402" s="1" t="s">
        <v>70</v>
      </c>
    </row>
    <row r="3403" spans="1:8" x14ac:dyDescent="0.3">
      <c r="A3403" s="1" t="s">
        <v>723</v>
      </c>
      <c r="B3403" s="1" t="s">
        <v>724</v>
      </c>
      <c r="C3403" s="1">
        <v>2021</v>
      </c>
      <c r="D3403" s="1">
        <v>20582</v>
      </c>
      <c r="E3403" s="1">
        <v>107</v>
      </c>
      <c r="F3403" s="1">
        <v>212</v>
      </c>
      <c r="G3403" s="1">
        <v>2490548</v>
      </c>
      <c r="H3403" s="1" t="s">
        <v>70</v>
      </c>
    </row>
    <row r="3404" spans="1:8" x14ac:dyDescent="0.3">
      <c r="A3404" s="1" t="s">
        <v>725</v>
      </c>
      <c r="B3404" s="1" t="s">
        <v>726</v>
      </c>
      <c r="C3404" s="1">
        <v>2021</v>
      </c>
      <c r="D3404" s="1">
        <v>30058</v>
      </c>
      <c r="E3404" s="1">
        <v>445</v>
      </c>
      <c r="F3404" s="1">
        <v>249</v>
      </c>
      <c r="G3404" s="1">
        <v>713023</v>
      </c>
      <c r="H3404" s="1" t="s">
        <v>70</v>
      </c>
    </row>
    <row r="3405" spans="1:8" x14ac:dyDescent="0.3">
      <c r="A3405" s="1" t="s">
        <v>727</v>
      </c>
      <c r="B3405" s="1" t="s">
        <v>728</v>
      </c>
      <c r="C3405" s="1">
        <v>2021</v>
      </c>
      <c r="D3405" s="1">
        <v>21848</v>
      </c>
      <c r="E3405" s="1">
        <v>81</v>
      </c>
      <c r="F3405" s="1">
        <v>384</v>
      </c>
      <c r="G3405" s="1">
        <v>1223049</v>
      </c>
      <c r="H3405" s="1" t="s">
        <v>70</v>
      </c>
    </row>
    <row r="3406" spans="1:8" x14ac:dyDescent="0.3">
      <c r="A3406" s="1" t="s">
        <v>729</v>
      </c>
      <c r="B3406" s="1" t="s">
        <v>730</v>
      </c>
      <c r="C3406" s="1">
        <v>2021</v>
      </c>
      <c r="D3406" s="1">
        <v>28440</v>
      </c>
      <c r="E3406" s="1">
        <v>286</v>
      </c>
      <c r="F3406" s="1">
        <v>429</v>
      </c>
      <c r="G3406" s="1">
        <v>753892</v>
      </c>
      <c r="H3406" s="1" t="s">
        <v>70</v>
      </c>
    </row>
    <row r="3407" spans="1:8" x14ac:dyDescent="0.3">
      <c r="A3407" s="1" t="s">
        <v>731</v>
      </c>
      <c r="B3407" s="1" t="s">
        <v>732</v>
      </c>
      <c r="C3407" s="1">
        <v>2021</v>
      </c>
      <c r="D3407" s="1">
        <v>23179</v>
      </c>
      <c r="E3407" s="1">
        <v>437</v>
      </c>
      <c r="F3407" s="1">
        <v>349</v>
      </c>
      <c r="G3407" s="1">
        <v>589118</v>
      </c>
      <c r="H3407" s="1" t="s">
        <v>70</v>
      </c>
    </row>
    <row r="3408" spans="1:8" x14ac:dyDescent="0.3">
      <c r="A3408" s="1" t="s">
        <v>733</v>
      </c>
      <c r="B3408" s="1" t="s">
        <v>734</v>
      </c>
      <c r="C3408" s="1">
        <v>2021</v>
      </c>
      <c r="D3408" s="1">
        <v>39845</v>
      </c>
      <c r="E3408" s="1">
        <v>1377</v>
      </c>
      <c r="F3408" s="1">
        <v>2002</v>
      </c>
      <c r="G3408" s="1">
        <v>1044182</v>
      </c>
      <c r="H3408" s="1" t="s">
        <v>70</v>
      </c>
    </row>
    <row r="3409" spans="1:8" x14ac:dyDescent="0.3">
      <c r="A3409" s="1" t="s">
        <v>735</v>
      </c>
      <c r="B3409" s="1" t="s">
        <v>736</v>
      </c>
      <c r="C3409" s="1">
        <v>2021</v>
      </c>
      <c r="D3409" s="1">
        <v>25333</v>
      </c>
      <c r="E3409" s="1">
        <v>533</v>
      </c>
      <c r="F3409" s="1">
        <v>565</v>
      </c>
      <c r="G3409" s="1">
        <v>494602</v>
      </c>
      <c r="H3409" s="1" t="s">
        <v>70</v>
      </c>
    </row>
    <row r="3410" spans="1:8" x14ac:dyDescent="0.3">
      <c r="A3410" s="1" t="s">
        <v>737</v>
      </c>
      <c r="B3410" s="1" t="s">
        <v>738</v>
      </c>
      <c r="C3410" s="1">
        <v>2021</v>
      </c>
      <c r="D3410" s="1">
        <v>23376</v>
      </c>
      <c r="E3410" s="1">
        <v>204</v>
      </c>
      <c r="F3410" s="1">
        <v>327</v>
      </c>
      <c r="G3410" s="1">
        <v>1040181</v>
      </c>
      <c r="H3410" s="1" t="s">
        <v>70</v>
      </c>
    </row>
    <row r="3411" spans="1:8" x14ac:dyDescent="0.3">
      <c r="A3411" s="1" t="s">
        <v>739</v>
      </c>
      <c r="B3411" s="1" t="s">
        <v>740</v>
      </c>
      <c r="C3411" s="1">
        <v>2021</v>
      </c>
      <c r="D3411" s="1">
        <v>31056</v>
      </c>
      <c r="E3411" s="1">
        <v>915</v>
      </c>
      <c r="F3411" s="1">
        <v>724</v>
      </c>
      <c r="G3411" s="1">
        <v>795186</v>
      </c>
      <c r="H3411" s="1" t="s">
        <v>70</v>
      </c>
    </row>
    <row r="3412" spans="1:8" x14ac:dyDescent="0.3">
      <c r="A3412" s="1" t="s">
        <v>741</v>
      </c>
      <c r="B3412" s="1" t="s">
        <v>742</v>
      </c>
      <c r="C3412" s="1">
        <v>2021</v>
      </c>
      <c r="D3412" s="1">
        <v>13248</v>
      </c>
      <c r="E3412" s="1">
        <v>96</v>
      </c>
      <c r="F3412" s="1">
        <v>155</v>
      </c>
      <c r="G3412" s="1">
        <v>609683</v>
      </c>
      <c r="H3412" s="1" t="s">
        <v>70</v>
      </c>
    </row>
    <row r="3413" spans="1:8" x14ac:dyDescent="0.3">
      <c r="A3413" s="1" t="s">
        <v>743</v>
      </c>
      <c r="B3413" s="1" t="s">
        <v>744</v>
      </c>
      <c r="C3413" s="1">
        <v>2021</v>
      </c>
      <c r="D3413" s="1">
        <v>20207</v>
      </c>
      <c r="E3413" s="1">
        <v>433</v>
      </c>
      <c r="F3413" s="1">
        <v>421</v>
      </c>
      <c r="G3413" s="1">
        <v>728874</v>
      </c>
      <c r="H3413" s="1" t="s">
        <v>70</v>
      </c>
    </row>
    <row r="3414" spans="1:8" x14ac:dyDescent="0.3">
      <c r="A3414" s="1" t="s">
        <v>745</v>
      </c>
      <c r="B3414" s="1" t="s">
        <v>746</v>
      </c>
      <c r="C3414" s="1">
        <v>2021</v>
      </c>
      <c r="D3414" s="1">
        <v>45632</v>
      </c>
      <c r="E3414" s="1">
        <v>582</v>
      </c>
      <c r="F3414" s="1">
        <v>907</v>
      </c>
      <c r="G3414" s="1">
        <v>2602701</v>
      </c>
      <c r="H3414" s="1" t="s">
        <v>70</v>
      </c>
    </row>
    <row r="3415" spans="1:8" x14ac:dyDescent="0.3">
      <c r="A3415" s="1" t="s">
        <v>747</v>
      </c>
      <c r="B3415" s="1" t="s">
        <v>748</v>
      </c>
      <c r="C3415" s="1">
        <v>2021</v>
      </c>
      <c r="D3415" s="1">
        <v>29469</v>
      </c>
      <c r="E3415" s="1">
        <v>177</v>
      </c>
      <c r="F3415" s="1">
        <v>565</v>
      </c>
      <c r="G3415" s="1">
        <v>2894131</v>
      </c>
      <c r="H3415" s="1" t="s">
        <v>70</v>
      </c>
    </row>
    <row r="3416" spans="1:8" x14ac:dyDescent="0.3">
      <c r="A3416" s="1" t="s">
        <v>749</v>
      </c>
      <c r="B3416" s="1" t="s">
        <v>750</v>
      </c>
      <c r="C3416" s="1">
        <v>2021</v>
      </c>
      <c r="D3416" s="1">
        <v>16883</v>
      </c>
      <c r="E3416" s="1">
        <v>45</v>
      </c>
      <c r="F3416" s="1">
        <v>206</v>
      </c>
      <c r="G3416" s="1">
        <v>1199167</v>
      </c>
      <c r="H3416" s="1" t="s">
        <v>70</v>
      </c>
    </row>
    <row r="3417" spans="1:8" x14ac:dyDescent="0.3">
      <c r="A3417" s="1" t="s">
        <v>751</v>
      </c>
      <c r="B3417" s="1" t="s">
        <v>752</v>
      </c>
      <c r="C3417" s="1">
        <v>2021</v>
      </c>
      <c r="D3417" s="1">
        <v>19631</v>
      </c>
      <c r="E3417" s="1">
        <v>148</v>
      </c>
      <c r="F3417" s="1">
        <v>262</v>
      </c>
      <c r="G3417" s="1">
        <v>1064742</v>
      </c>
      <c r="H3417" s="1" t="s">
        <v>70</v>
      </c>
    </row>
    <row r="3418" spans="1:8" x14ac:dyDescent="0.3">
      <c r="A3418" s="1" t="s">
        <v>753</v>
      </c>
      <c r="B3418" s="1" t="s">
        <v>754</v>
      </c>
      <c r="C3418" s="1">
        <v>2021</v>
      </c>
      <c r="D3418" s="1">
        <v>13006</v>
      </c>
      <c r="E3418" s="1">
        <v>81</v>
      </c>
      <c r="F3418" s="1">
        <v>139</v>
      </c>
      <c r="G3418" s="1">
        <v>556153</v>
      </c>
      <c r="H3418" s="1" t="s">
        <v>70</v>
      </c>
    </row>
    <row r="3419" spans="1:8" x14ac:dyDescent="0.3">
      <c r="A3419" s="1" t="s">
        <v>755</v>
      </c>
      <c r="B3419" s="1" t="s">
        <v>756</v>
      </c>
      <c r="C3419" s="1">
        <v>2021</v>
      </c>
      <c r="D3419" s="1">
        <v>48416</v>
      </c>
      <c r="E3419" s="1">
        <v>671</v>
      </c>
      <c r="F3419" s="1">
        <v>0</v>
      </c>
      <c r="G3419" s="1">
        <v>3521225</v>
      </c>
      <c r="H3419" s="1" t="s">
        <v>70</v>
      </c>
    </row>
    <row r="3420" spans="1:8" x14ac:dyDescent="0.3">
      <c r="A3420" s="1" t="s">
        <v>757</v>
      </c>
      <c r="B3420" s="1" t="s">
        <v>758</v>
      </c>
      <c r="C3420" s="1">
        <v>2021</v>
      </c>
      <c r="D3420" s="1">
        <v>190070</v>
      </c>
      <c r="E3420" s="1">
        <v>2997</v>
      </c>
      <c r="F3420" s="1">
        <v>689</v>
      </c>
      <c r="G3420" s="1">
        <v>8461167</v>
      </c>
      <c r="H3420" s="1" t="s">
        <v>70</v>
      </c>
    </row>
    <row r="3421" spans="1:8" x14ac:dyDescent="0.3">
      <c r="A3421" s="1" t="s">
        <v>759</v>
      </c>
      <c r="B3421" s="1" t="s">
        <v>760</v>
      </c>
      <c r="C3421" s="1">
        <v>2021</v>
      </c>
      <c r="D3421" s="1">
        <v>22505</v>
      </c>
      <c r="E3421" s="1">
        <v>282</v>
      </c>
      <c r="F3421" s="1">
        <v>417</v>
      </c>
      <c r="G3421" s="1">
        <v>1112459</v>
      </c>
      <c r="H3421" s="1" t="s">
        <v>70</v>
      </c>
    </row>
    <row r="3422" spans="1:8" x14ac:dyDescent="0.3">
      <c r="A3422" s="2" t="s">
        <v>10</v>
      </c>
      <c r="B3422" s="2" t="s">
        <v>11</v>
      </c>
      <c r="C3422" s="1">
        <v>2022</v>
      </c>
      <c r="D3422" s="2">
        <v>34922</v>
      </c>
      <c r="E3422" s="2">
        <v>517</v>
      </c>
      <c r="F3422" s="2">
        <v>571</v>
      </c>
      <c r="G3422" s="2">
        <v>1272132</v>
      </c>
      <c r="H3422" s="1">
        <v>0</v>
      </c>
    </row>
    <row r="3423" spans="1:8" x14ac:dyDescent="0.3">
      <c r="A3423" s="1" t="s">
        <v>12</v>
      </c>
      <c r="B3423" s="1" t="s">
        <v>13</v>
      </c>
      <c r="C3423" s="1">
        <v>2022</v>
      </c>
      <c r="D3423" s="1">
        <v>40882</v>
      </c>
      <c r="E3423" s="1">
        <v>199</v>
      </c>
      <c r="F3423" s="1">
        <v>567</v>
      </c>
      <c r="G3423" s="1">
        <v>2493823</v>
      </c>
      <c r="H3423" s="1">
        <v>77</v>
      </c>
    </row>
    <row r="3424" spans="1:8" x14ac:dyDescent="0.3">
      <c r="A3424" s="1" t="s">
        <v>14</v>
      </c>
      <c r="B3424" s="1" t="s">
        <v>15</v>
      </c>
      <c r="C3424" s="1">
        <v>2022</v>
      </c>
      <c r="D3424" s="1">
        <v>34624</v>
      </c>
      <c r="E3424" s="1">
        <v>381</v>
      </c>
      <c r="F3424" s="1">
        <v>471</v>
      </c>
      <c r="G3424" s="1">
        <v>1965442</v>
      </c>
      <c r="H3424" s="1">
        <v>2</v>
      </c>
    </row>
    <row r="3425" spans="1:8" x14ac:dyDescent="0.3">
      <c r="A3425" s="1" t="s">
        <v>16</v>
      </c>
      <c r="B3425" s="1" t="s">
        <v>17</v>
      </c>
      <c r="C3425" s="1">
        <v>2022</v>
      </c>
      <c r="D3425" s="1">
        <v>12268</v>
      </c>
      <c r="E3425" s="1">
        <v>98</v>
      </c>
      <c r="F3425" s="1">
        <v>76</v>
      </c>
      <c r="G3425" s="1">
        <v>604141</v>
      </c>
      <c r="H3425" s="1">
        <v>0</v>
      </c>
    </row>
    <row r="3426" spans="1:8" x14ac:dyDescent="0.3">
      <c r="A3426" s="1" t="s">
        <v>18</v>
      </c>
      <c r="B3426" s="1" t="s">
        <v>19</v>
      </c>
      <c r="C3426" s="1">
        <v>2022</v>
      </c>
      <c r="D3426" s="1">
        <v>18589</v>
      </c>
      <c r="E3426" s="1">
        <v>219</v>
      </c>
      <c r="F3426" s="1">
        <v>180</v>
      </c>
      <c r="G3426" s="1">
        <v>617186</v>
      </c>
      <c r="H3426" s="1">
        <v>0</v>
      </c>
    </row>
    <row r="3427" spans="1:8" x14ac:dyDescent="0.3">
      <c r="A3427" s="1" t="s">
        <v>20</v>
      </c>
      <c r="B3427" s="1" t="s">
        <v>21</v>
      </c>
      <c r="C3427" s="1">
        <v>2022</v>
      </c>
      <c r="D3427" s="1">
        <v>27230</v>
      </c>
      <c r="E3427" s="1">
        <v>311</v>
      </c>
      <c r="F3427" s="1">
        <v>687</v>
      </c>
      <c r="G3427" s="1">
        <v>867675</v>
      </c>
      <c r="H3427" s="1">
        <v>37</v>
      </c>
    </row>
    <row r="3428" spans="1:8" x14ac:dyDescent="0.3">
      <c r="A3428" s="1" t="s">
        <v>22</v>
      </c>
      <c r="B3428" s="1" t="s">
        <v>23</v>
      </c>
      <c r="C3428" s="1">
        <v>2022</v>
      </c>
      <c r="D3428" s="1">
        <v>17117</v>
      </c>
      <c r="E3428" s="1">
        <v>68</v>
      </c>
      <c r="F3428" s="1">
        <v>155</v>
      </c>
      <c r="G3428" s="1">
        <v>813571</v>
      </c>
      <c r="H3428" s="1">
        <v>0</v>
      </c>
    </row>
    <row r="3429" spans="1:8" x14ac:dyDescent="0.3">
      <c r="A3429" s="1" t="s">
        <v>24</v>
      </c>
      <c r="B3429" s="1" t="s">
        <v>25</v>
      </c>
      <c r="C3429" s="1">
        <v>2022</v>
      </c>
      <c r="D3429" s="1">
        <v>66437</v>
      </c>
      <c r="E3429" s="1">
        <v>468</v>
      </c>
      <c r="F3429" s="1">
        <v>828</v>
      </c>
      <c r="G3429" s="1">
        <v>3833993</v>
      </c>
      <c r="H3429" s="1">
        <v>78</v>
      </c>
    </row>
    <row r="3430" spans="1:8" x14ac:dyDescent="0.3">
      <c r="A3430" s="1" t="s">
        <v>26</v>
      </c>
      <c r="B3430" s="1" t="s">
        <v>27</v>
      </c>
      <c r="C3430" s="1">
        <v>2022</v>
      </c>
      <c r="D3430" s="1">
        <v>19958</v>
      </c>
      <c r="E3430" s="1">
        <v>325</v>
      </c>
      <c r="F3430" s="1">
        <v>195</v>
      </c>
      <c r="G3430" s="1">
        <v>564535</v>
      </c>
      <c r="H3430" s="1">
        <v>101</v>
      </c>
    </row>
    <row r="3431" spans="1:8" x14ac:dyDescent="0.3">
      <c r="A3431" s="1" t="s">
        <v>28</v>
      </c>
      <c r="B3431" s="1" t="s">
        <v>29</v>
      </c>
      <c r="C3431" s="1">
        <v>2022</v>
      </c>
      <c r="D3431" s="1">
        <v>21227</v>
      </c>
      <c r="E3431" s="1">
        <v>165</v>
      </c>
      <c r="F3431" s="1">
        <v>469</v>
      </c>
      <c r="G3431" s="1">
        <v>792704</v>
      </c>
      <c r="H3431" s="1">
        <v>0</v>
      </c>
    </row>
    <row r="3432" spans="1:8" x14ac:dyDescent="0.3">
      <c r="A3432" s="1" t="s">
        <v>30</v>
      </c>
      <c r="B3432" s="1" t="s">
        <v>31</v>
      </c>
      <c r="C3432" s="1">
        <v>2022</v>
      </c>
      <c r="D3432" s="1">
        <v>43520</v>
      </c>
      <c r="E3432" s="1">
        <v>471</v>
      </c>
      <c r="F3432" s="1">
        <v>726</v>
      </c>
      <c r="G3432" s="1">
        <v>1542683</v>
      </c>
      <c r="H3432" s="1">
        <v>0</v>
      </c>
    </row>
    <row r="3433" spans="1:8" x14ac:dyDescent="0.3">
      <c r="A3433" s="1" t="s">
        <v>32</v>
      </c>
      <c r="B3433" s="1" t="s">
        <v>33</v>
      </c>
      <c r="C3433" s="1">
        <v>2022</v>
      </c>
      <c r="D3433" s="1">
        <v>17306</v>
      </c>
      <c r="E3433" s="1">
        <v>57</v>
      </c>
      <c r="F3433" s="1">
        <v>93</v>
      </c>
      <c r="G3433" s="1">
        <v>554014</v>
      </c>
      <c r="H3433" s="1">
        <v>0</v>
      </c>
    </row>
    <row r="3434" spans="1:8" x14ac:dyDescent="0.3">
      <c r="A3434" s="1" t="s">
        <v>34</v>
      </c>
      <c r="B3434" s="1" t="s">
        <v>35</v>
      </c>
      <c r="C3434" s="1">
        <v>2022</v>
      </c>
      <c r="D3434" s="1">
        <v>12495</v>
      </c>
      <c r="E3434" s="1">
        <v>150</v>
      </c>
      <c r="F3434" s="1">
        <v>165</v>
      </c>
      <c r="G3434" s="1">
        <v>209387</v>
      </c>
      <c r="H3434" s="1">
        <v>2</v>
      </c>
    </row>
    <row r="3435" spans="1:8" x14ac:dyDescent="0.3">
      <c r="A3435" s="1" t="s">
        <v>36</v>
      </c>
      <c r="B3435" s="1" t="s">
        <v>37</v>
      </c>
      <c r="C3435" s="1">
        <v>2022</v>
      </c>
      <c r="D3435" s="1">
        <v>39903</v>
      </c>
      <c r="E3435" s="1">
        <v>771</v>
      </c>
      <c r="F3435" s="1">
        <v>472</v>
      </c>
      <c r="G3435" s="1">
        <v>1967704</v>
      </c>
      <c r="H3435" s="1">
        <v>201</v>
      </c>
    </row>
    <row r="3436" spans="1:8" x14ac:dyDescent="0.3">
      <c r="A3436" s="1" t="s">
        <v>38</v>
      </c>
      <c r="B3436" s="1" t="s">
        <v>39</v>
      </c>
      <c r="C3436" s="1">
        <v>2022</v>
      </c>
      <c r="D3436" s="1">
        <v>31395</v>
      </c>
      <c r="E3436" s="1">
        <v>1000</v>
      </c>
      <c r="F3436" s="1">
        <v>674</v>
      </c>
      <c r="G3436" s="1">
        <v>1288998</v>
      </c>
      <c r="H3436" s="1">
        <v>10</v>
      </c>
    </row>
    <row r="3437" spans="1:8" x14ac:dyDescent="0.3">
      <c r="A3437" s="1" t="s">
        <v>40</v>
      </c>
      <c r="B3437" s="1" t="s">
        <v>41</v>
      </c>
      <c r="C3437" s="1">
        <v>2022</v>
      </c>
      <c r="D3437" s="1">
        <v>23219</v>
      </c>
      <c r="E3437" s="1">
        <v>259</v>
      </c>
      <c r="F3437" s="1">
        <v>289</v>
      </c>
      <c r="G3437" s="1">
        <v>1251313</v>
      </c>
      <c r="H3437" s="1">
        <v>0</v>
      </c>
    </row>
    <row r="3438" spans="1:8" x14ac:dyDescent="0.3">
      <c r="A3438" s="1" t="s">
        <v>42</v>
      </c>
      <c r="B3438" s="1" t="s">
        <v>43</v>
      </c>
      <c r="C3438" s="1">
        <v>2022</v>
      </c>
      <c r="D3438" s="1">
        <v>15850</v>
      </c>
      <c r="E3438" s="1">
        <v>214</v>
      </c>
      <c r="F3438" s="1">
        <v>196</v>
      </c>
      <c r="G3438" s="1">
        <v>1009899</v>
      </c>
      <c r="H3438" s="1">
        <v>8</v>
      </c>
    </row>
    <row r="3439" spans="1:8" x14ac:dyDescent="0.3">
      <c r="A3439" s="1" t="s">
        <v>44</v>
      </c>
      <c r="B3439" s="1" t="s">
        <v>45</v>
      </c>
      <c r="C3439" s="1">
        <v>2022</v>
      </c>
      <c r="D3439" s="1">
        <v>21366</v>
      </c>
      <c r="E3439" s="1">
        <v>782</v>
      </c>
      <c r="F3439" s="1">
        <v>248</v>
      </c>
      <c r="G3439" s="1">
        <v>123022</v>
      </c>
      <c r="H3439" s="1">
        <v>59</v>
      </c>
    </row>
    <row r="3440" spans="1:8" x14ac:dyDescent="0.3">
      <c r="A3440" s="1" t="s">
        <v>46</v>
      </c>
      <c r="B3440" s="1" t="s">
        <v>47</v>
      </c>
      <c r="C3440" s="1">
        <v>2022</v>
      </c>
      <c r="D3440" s="1">
        <v>64089</v>
      </c>
      <c r="E3440" s="1">
        <v>865</v>
      </c>
      <c r="F3440" s="1">
        <v>1024</v>
      </c>
      <c r="G3440" s="1">
        <v>1391560</v>
      </c>
      <c r="H3440" s="1">
        <v>61</v>
      </c>
    </row>
    <row r="3441" spans="1:8" x14ac:dyDescent="0.3">
      <c r="A3441" s="1" t="s">
        <v>48</v>
      </c>
      <c r="B3441" s="1" t="s">
        <v>49</v>
      </c>
      <c r="C3441" s="1">
        <v>2022</v>
      </c>
      <c r="D3441" s="1">
        <v>31196</v>
      </c>
      <c r="E3441" s="1">
        <v>708</v>
      </c>
      <c r="F3441" s="1">
        <v>474</v>
      </c>
      <c r="G3441" s="1">
        <v>808486</v>
      </c>
      <c r="H3441" s="1">
        <v>10</v>
      </c>
    </row>
    <row r="3442" spans="1:8" x14ac:dyDescent="0.3">
      <c r="A3442" s="1" t="s">
        <v>50</v>
      </c>
      <c r="B3442" s="1" t="s">
        <v>51</v>
      </c>
      <c r="C3442" s="1">
        <v>2022</v>
      </c>
      <c r="D3442" s="1">
        <v>22971</v>
      </c>
      <c r="E3442" s="1">
        <v>141</v>
      </c>
      <c r="F3442" s="1">
        <v>350</v>
      </c>
      <c r="G3442" s="1">
        <v>1123027</v>
      </c>
      <c r="H3442" s="1">
        <v>36</v>
      </c>
    </row>
    <row r="3443" spans="1:8" x14ac:dyDescent="0.3">
      <c r="A3443" s="1" t="s">
        <v>52</v>
      </c>
      <c r="B3443" s="1" t="s">
        <v>53</v>
      </c>
      <c r="C3443" s="1">
        <v>2022</v>
      </c>
      <c r="D3443" s="1">
        <v>18083</v>
      </c>
      <c r="E3443" s="1">
        <v>144</v>
      </c>
      <c r="F3443" s="1">
        <v>227</v>
      </c>
      <c r="G3443" s="1">
        <v>488440</v>
      </c>
      <c r="H3443" s="1">
        <v>8</v>
      </c>
    </row>
    <row r="3444" spans="1:8" x14ac:dyDescent="0.3">
      <c r="A3444" s="1" t="s">
        <v>54</v>
      </c>
      <c r="B3444" s="1" t="s">
        <v>55</v>
      </c>
      <c r="C3444" s="1">
        <v>2022</v>
      </c>
      <c r="D3444" s="1">
        <v>70540</v>
      </c>
      <c r="E3444" s="1">
        <v>3466</v>
      </c>
      <c r="F3444" s="1">
        <v>1541</v>
      </c>
      <c r="G3444" s="1">
        <v>462325</v>
      </c>
      <c r="H3444" s="1">
        <v>14</v>
      </c>
    </row>
    <row r="3445" spans="1:8" x14ac:dyDescent="0.3">
      <c r="A3445" s="1" t="s">
        <v>56</v>
      </c>
      <c r="B3445" s="1" t="s">
        <v>57</v>
      </c>
      <c r="C3445" s="1">
        <v>2022</v>
      </c>
      <c r="D3445" s="1">
        <v>24961</v>
      </c>
      <c r="E3445" s="1">
        <v>182</v>
      </c>
      <c r="F3445" s="1">
        <v>252</v>
      </c>
      <c r="G3445" s="1">
        <v>620790</v>
      </c>
      <c r="H3445" s="1">
        <v>12</v>
      </c>
    </row>
    <row r="3446" spans="1:8" x14ac:dyDescent="0.3">
      <c r="A3446" s="1" t="s">
        <v>58</v>
      </c>
      <c r="B3446" s="1" t="s">
        <v>59</v>
      </c>
      <c r="C3446" s="1">
        <v>2022</v>
      </c>
      <c r="D3446" s="1">
        <v>35919</v>
      </c>
      <c r="E3446" s="1">
        <v>391</v>
      </c>
      <c r="F3446" s="1">
        <v>418</v>
      </c>
      <c r="G3446" s="1">
        <v>1089129</v>
      </c>
      <c r="H3446" s="1">
        <v>0</v>
      </c>
    </row>
    <row r="3447" spans="1:8" x14ac:dyDescent="0.3">
      <c r="A3447" s="1" t="s">
        <v>60</v>
      </c>
      <c r="B3447" s="1" t="s">
        <v>61</v>
      </c>
      <c r="C3447" s="1">
        <v>2022</v>
      </c>
      <c r="D3447" s="1">
        <v>16134</v>
      </c>
      <c r="E3447" s="1">
        <v>81</v>
      </c>
      <c r="F3447" s="1">
        <v>177</v>
      </c>
      <c r="G3447" s="1">
        <v>822540</v>
      </c>
      <c r="H3447" s="1">
        <v>32</v>
      </c>
    </row>
    <row r="3448" spans="1:8" x14ac:dyDescent="0.3">
      <c r="A3448" s="1" t="s">
        <v>62</v>
      </c>
      <c r="B3448" s="1" t="s">
        <v>63</v>
      </c>
      <c r="C3448" s="1">
        <v>2022</v>
      </c>
      <c r="D3448" s="1">
        <v>37537</v>
      </c>
      <c r="E3448" s="1">
        <v>282</v>
      </c>
      <c r="F3448" s="1">
        <v>882</v>
      </c>
      <c r="G3448" s="1">
        <v>1233683</v>
      </c>
      <c r="H3448" s="1">
        <v>0</v>
      </c>
    </row>
    <row r="3449" spans="1:8" x14ac:dyDescent="0.3">
      <c r="A3449" s="1" t="s">
        <v>64</v>
      </c>
      <c r="B3449" s="1" t="s">
        <v>65</v>
      </c>
      <c r="C3449" s="1">
        <v>2022</v>
      </c>
      <c r="D3449" s="1">
        <v>44749</v>
      </c>
      <c r="E3449" s="1">
        <v>341</v>
      </c>
      <c r="F3449" s="1">
        <v>851</v>
      </c>
      <c r="G3449" s="1">
        <v>2905174</v>
      </c>
      <c r="H3449" s="1">
        <v>0</v>
      </c>
    </row>
    <row r="3450" spans="1:8" x14ac:dyDescent="0.3">
      <c r="A3450" s="1" t="s">
        <v>66</v>
      </c>
      <c r="B3450" s="1" t="s">
        <v>67</v>
      </c>
      <c r="C3450" s="1">
        <v>2022</v>
      </c>
      <c r="D3450" s="1">
        <v>378793</v>
      </c>
      <c r="E3450" s="1">
        <v>9039</v>
      </c>
      <c r="F3450" s="1">
        <v>12755</v>
      </c>
      <c r="G3450" s="1">
        <v>9086338</v>
      </c>
      <c r="H3450" s="1">
        <v>2238</v>
      </c>
    </row>
    <row r="3451" spans="1:8" x14ac:dyDescent="0.3">
      <c r="A3451" s="1" t="s">
        <v>68</v>
      </c>
      <c r="B3451" s="1" t="s">
        <v>69</v>
      </c>
      <c r="C3451" s="1">
        <v>2022</v>
      </c>
      <c r="D3451" s="1">
        <v>51031</v>
      </c>
      <c r="E3451" s="1">
        <v>35</v>
      </c>
      <c r="F3451" s="1">
        <v>694</v>
      </c>
      <c r="G3451" s="1">
        <v>4178658</v>
      </c>
      <c r="H3451" s="1">
        <v>214</v>
      </c>
    </row>
    <row r="3452" spans="1:8" x14ac:dyDescent="0.3">
      <c r="A3452" s="1" t="s">
        <v>71</v>
      </c>
      <c r="B3452" s="1" t="s">
        <v>72</v>
      </c>
      <c r="C3452" s="1">
        <v>2022</v>
      </c>
      <c r="D3452" s="1">
        <v>20794</v>
      </c>
      <c r="E3452" s="1">
        <v>348</v>
      </c>
      <c r="F3452" s="1">
        <v>182</v>
      </c>
      <c r="G3452" s="1">
        <v>739690</v>
      </c>
      <c r="H3452" s="1">
        <v>2</v>
      </c>
    </row>
    <row r="3453" spans="1:8" x14ac:dyDescent="0.3">
      <c r="A3453" s="1" t="s">
        <v>73</v>
      </c>
      <c r="B3453" s="1" t="s">
        <v>74</v>
      </c>
      <c r="C3453" s="1">
        <v>2022</v>
      </c>
      <c r="D3453" s="1">
        <v>28136</v>
      </c>
      <c r="E3453" s="1">
        <v>469</v>
      </c>
      <c r="F3453" s="1">
        <v>302</v>
      </c>
      <c r="G3453" s="1">
        <v>1358966</v>
      </c>
      <c r="H3453" s="1">
        <v>10</v>
      </c>
    </row>
    <row r="3454" spans="1:8" x14ac:dyDescent="0.3">
      <c r="A3454" s="1" t="s">
        <v>75</v>
      </c>
      <c r="B3454" s="1" t="s">
        <v>76</v>
      </c>
      <c r="C3454" s="1">
        <v>2022</v>
      </c>
      <c r="D3454" s="1">
        <v>42949</v>
      </c>
      <c r="E3454" s="1">
        <v>1595</v>
      </c>
      <c r="F3454" s="1">
        <v>488</v>
      </c>
      <c r="G3454" s="1">
        <v>1908458</v>
      </c>
      <c r="H3454" s="1">
        <v>0</v>
      </c>
    </row>
    <row r="3455" spans="1:8" x14ac:dyDescent="0.3">
      <c r="A3455" s="1" t="s">
        <v>77</v>
      </c>
      <c r="B3455" s="1" t="s">
        <v>78</v>
      </c>
      <c r="C3455" s="1">
        <v>2022</v>
      </c>
      <c r="D3455" s="1">
        <v>16868</v>
      </c>
      <c r="E3455" s="1">
        <v>156</v>
      </c>
      <c r="F3455" s="1">
        <v>110</v>
      </c>
      <c r="G3455" s="1">
        <v>972575</v>
      </c>
      <c r="H3455" s="1">
        <v>0</v>
      </c>
    </row>
    <row r="3456" spans="1:8" x14ac:dyDescent="0.3">
      <c r="A3456" s="1" t="s">
        <v>79</v>
      </c>
      <c r="B3456" s="1" t="s">
        <v>80</v>
      </c>
      <c r="C3456" s="1">
        <v>2022</v>
      </c>
      <c r="D3456" s="1">
        <v>14786</v>
      </c>
      <c r="E3456" s="1">
        <v>145</v>
      </c>
      <c r="F3456" s="1">
        <v>91</v>
      </c>
      <c r="G3456" s="1">
        <v>1369848</v>
      </c>
      <c r="H3456" s="1">
        <v>0</v>
      </c>
    </row>
    <row r="3457" spans="1:8" x14ac:dyDescent="0.3">
      <c r="A3457" s="1" t="s">
        <v>81</v>
      </c>
      <c r="B3457" s="1" t="s">
        <v>82</v>
      </c>
      <c r="C3457" s="1">
        <v>2022</v>
      </c>
      <c r="D3457" s="1">
        <v>12982</v>
      </c>
      <c r="E3457" s="1">
        <v>253</v>
      </c>
      <c r="F3457" s="1">
        <v>84</v>
      </c>
      <c r="G3457" s="1">
        <v>855981</v>
      </c>
      <c r="H3457" s="1">
        <v>0</v>
      </c>
    </row>
    <row r="3458" spans="1:8" x14ac:dyDescent="0.3">
      <c r="A3458" s="1" t="s">
        <v>83</v>
      </c>
      <c r="B3458" s="1" t="s">
        <v>84</v>
      </c>
      <c r="C3458" s="1">
        <v>2022</v>
      </c>
      <c r="D3458" s="1">
        <v>59984</v>
      </c>
      <c r="E3458" s="1">
        <v>376</v>
      </c>
      <c r="F3458" s="1">
        <v>587</v>
      </c>
      <c r="G3458" s="1">
        <v>7757093</v>
      </c>
      <c r="H3458" s="1">
        <v>78</v>
      </c>
    </row>
    <row r="3459" spans="1:8" x14ac:dyDescent="0.3">
      <c r="A3459" s="1" t="s">
        <v>85</v>
      </c>
      <c r="B3459" s="1" t="s">
        <v>86</v>
      </c>
      <c r="C3459" s="1">
        <v>2022</v>
      </c>
      <c r="D3459" s="1">
        <v>20765</v>
      </c>
      <c r="E3459" s="1">
        <v>236</v>
      </c>
      <c r="F3459" s="1">
        <v>71</v>
      </c>
      <c r="G3459" s="1">
        <v>691032</v>
      </c>
      <c r="H3459" s="1">
        <v>0</v>
      </c>
    </row>
    <row r="3460" spans="1:8" x14ac:dyDescent="0.3">
      <c r="A3460" s="1" t="s">
        <v>87</v>
      </c>
      <c r="B3460" s="1" t="s">
        <v>88</v>
      </c>
      <c r="C3460" s="1">
        <v>2022</v>
      </c>
      <c r="D3460" s="1">
        <v>15249</v>
      </c>
      <c r="E3460" s="1">
        <v>192</v>
      </c>
      <c r="F3460" s="1">
        <v>145</v>
      </c>
      <c r="G3460" s="1">
        <v>1354645</v>
      </c>
      <c r="H3460" s="1">
        <v>0</v>
      </c>
    </row>
    <row r="3461" spans="1:8" x14ac:dyDescent="0.3">
      <c r="A3461" s="1" t="s">
        <v>89</v>
      </c>
      <c r="B3461" s="1" t="s">
        <v>90</v>
      </c>
      <c r="C3461" s="1">
        <v>2022</v>
      </c>
      <c r="D3461" s="1">
        <v>28155</v>
      </c>
      <c r="E3461" s="1">
        <v>492</v>
      </c>
      <c r="F3461" s="1">
        <v>208</v>
      </c>
      <c r="G3461" s="1">
        <v>2810330</v>
      </c>
      <c r="H3461" s="1">
        <v>7</v>
      </c>
    </row>
    <row r="3462" spans="1:8" x14ac:dyDescent="0.3">
      <c r="A3462" s="1" t="s">
        <v>91</v>
      </c>
      <c r="B3462" s="1" t="s">
        <v>92</v>
      </c>
      <c r="C3462" s="1">
        <v>2022</v>
      </c>
      <c r="D3462" s="1">
        <v>12512</v>
      </c>
      <c r="E3462" s="1">
        <v>111</v>
      </c>
      <c r="F3462" s="1">
        <v>36</v>
      </c>
      <c r="G3462" s="1">
        <v>419775</v>
      </c>
      <c r="H3462" s="1">
        <v>4</v>
      </c>
    </row>
    <row r="3463" spans="1:8" x14ac:dyDescent="0.3">
      <c r="A3463" s="1" t="s">
        <v>93</v>
      </c>
      <c r="B3463" s="1" t="s">
        <v>94</v>
      </c>
      <c r="C3463" s="1">
        <v>2022</v>
      </c>
      <c r="D3463" s="1">
        <v>14694</v>
      </c>
      <c r="E3463" s="1">
        <v>213</v>
      </c>
      <c r="F3463" s="1">
        <v>153</v>
      </c>
      <c r="G3463" s="1">
        <v>1128988</v>
      </c>
      <c r="H3463" s="1">
        <v>0</v>
      </c>
    </row>
    <row r="3464" spans="1:8" x14ac:dyDescent="0.3">
      <c r="A3464" s="1" t="s">
        <v>95</v>
      </c>
      <c r="B3464" s="1" t="s">
        <v>96</v>
      </c>
      <c r="C3464" s="1">
        <v>2022</v>
      </c>
      <c r="D3464" s="1">
        <v>12667</v>
      </c>
      <c r="E3464" s="1">
        <v>148</v>
      </c>
      <c r="F3464" s="1">
        <v>111</v>
      </c>
      <c r="G3464" s="1">
        <v>863372</v>
      </c>
      <c r="H3464" s="1">
        <v>16</v>
      </c>
    </row>
    <row r="3465" spans="1:8" x14ac:dyDescent="0.3">
      <c r="A3465" s="1" t="s">
        <v>97</v>
      </c>
      <c r="B3465" s="1" t="s">
        <v>98</v>
      </c>
      <c r="C3465" s="1">
        <v>2022</v>
      </c>
      <c r="D3465" s="1">
        <v>33535</v>
      </c>
      <c r="E3465" s="1">
        <v>566</v>
      </c>
      <c r="F3465" s="1">
        <v>385</v>
      </c>
      <c r="G3465" s="1">
        <v>1639385</v>
      </c>
      <c r="H3465" s="1">
        <v>59</v>
      </c>
    </row>
    <row r="3466" spans="1:8" x14ac:dyDescent="0.3">
      <c r="A3466" s="1" t="s">
        <v>99</v>
      </c>
      <c r="B3466" s="1" t="s">
        <v>100</v>
      </c>
      <c r="C3466" s="1">
        <v>2022</v>
      </c>
      <c r="D3466" s="1">
        <v>36659</v>
      </c>
      <c r="E3466" s="1">
        <v>934</v>
      </c>
      <c r="F3466" s="1">
        <v>196</v>
      </c>
      <c r="G3466" s="1">
        <v>1741652</v>
      </c>
      <c r="H3466" s="1">
        <v>4</v>
      </c>
    </row>
    <row r="3467" spans="1:8" x14ac:dyDescent="0.3">
      <c r="A3467" s="1" t="s">
        <v>101</v>
      </c>
      <c r="B3467" s="1" t="s">
        <v>102</v>
      </c>
      <c r="C3467" s="1">
        <v>2022</v>
      </c>
      <c r="D3467" s="1">
        <v>15695</v>
      </c>
      <c r="E3467" s="1">
        <v>206</v>
      </c>
      <c r="F3467" s="1">
        <v>85</v>
      </c>
      <c r="G3467" s="1">
        <v>1229492</v>
      </c>
      <c r="H3467" s="1">
        <v>0</v>
      </c>
    </row>
    <row r="3468" spans="1:8" x14ac:dyDescent="0.3">
      <c r="A3468" s="1" t="s">
        <v>103</v>
      </c>
      <c r="B3468" s="1" t="s">
        <v>104</v>
      </c>
      <c r="C3468" s="1">
        <v>2022</v>
      </c>
      <c r="D3468" s="1">
        <v>11678</v>
      </c>
      <c r="E3468" s="1">
        <v>94</v>
      </c>
      <c r="F3468" s="1">
        <v>61</v>
      </c>
      <c r="G3468" s="1">
        <v>1359019</v>
      </c>
      <c r="H3468" s="1">
        <v>0</v>
      </c>
    </row>
    <row r="3469" spans="1:8" x14ac:dyDescent="0.3">
      <c r="A3469" s="1" t="s">
        <v>105</v>
      </c>
      <c r="B3469" s="1" t="s">
        <v>106</v>
      </c>
      <c r="C3469" s="1">
        <v>2022</v>
      </c>
      <c r="D3469" s="1">
        <v>27622</v>
      </c>
      <c r="E3469" s="1">
        <v>304</v>
      </c>
      <c r="F3469" s="1">
        <v>119</v>
      </c>
      <c r="G3469" s="1">
        <v>582617</v>
      </c>
      <c r="H3469" s="1">
        <v>0</v>
      </c>
    </row>
    <row r="3470" spans="1:8" x14ac:dyDescent="0.3">
      <c r="A3470" s="1" t="s">
        <v>107</v>
      </c>
      <c r="B3470" s="1" t="s">
        <v>108</v>
      </c>
      <c r="C3470" s="1">
        <v>2022</v>
      </c>
      <c r="D3470" s="1">
        <v>23648</v>
      </c>
      <c r="E3470" s="1">
        <v>324</v>
      </c>
      <c r="F3470" s="1">
        <v>162</v>
      </c>
      <c r="G3470" s="1">
        <v>1843328</v>
      </c>
      <c r="H3470" s="1">
        <v>0</v>
      </c>
    </row>
    <row r="3471" spans="1:8" x14ac:dyDescent="0.3">
      <c r="A3471" s="1" t="s">
        <v>109</v>
      </c>
      <c r="B3471" s="1" t="s">
        <v>110</v>
      </c>
      <c r="C3471" s="1">
        <v>2022</v>
      </c>
      <c r="D3471" s="1">
        <v>157710</v>
      </c>
      <c r="E3471" s="1">
        <v>1642</v>
      </c>
      <c r="F3471" s="1">
        <v>3492</v>
      </c>
      <c r="G3471" s="1">
        <v>17477971</v>
      </c>
      <c r="H3471" s="1">
        <v>344</v>
      </c>
    </row>
    <row r="3472" spans="1:8" x14ac:dyDescent="0.3">
      <c r="A3472" s="1" t="s">
        <v>111</v>
      </c>
      <c r="B3472" s="1" t="s">
        <v>112</v>
      </c>
      <c r="C3472" s="1">
        <v>2022</v>
      </c>
      <c r="D3472" s="1">
        <v>40966</v>
      </c>
      <c r="E3472" s="1">
        <v>429</v>
      </c>
      <c r="F3472" s="1">
        <v>712</v>
      </c>
      <c r="G3472" s="1">
        <v>6393297</v>
      </c>
      <c r="H3472" s="1">
        <v>0</v>
      </c>
    </row>
    <row r="3473" spans="1:8" x14ac:dyDescent="0.3">
      <c r="A3473" s="1" t="s">
        <v>113</v>
      </c>
      <c r="B3473" s="1" t="s">
        <v>114</v>
      </c>
      <c r="C3473" s="1">
        <v>2022</v>
      </c>
      <c r="D3473" s="1">
        <v>98403</v>
      </c>
      <c r="E3473" s="1">
        <v>1811</v>
      </c>
      <c r="F3473" s="1">
        <v>1245</v>
      </c>
      <c r="G3473" s="1">
        <v>4620295</v>
      </c>
      <c r="H3473" s="1">
        <v>327</v>
      </c>
    </row>
    <row r="3474" spans="1:8" x14ac:dyDescent="0.3">
      <c r="A3474" s="1" t="s">
        <v>115</v>
      </c>
      <c r="B3474" s="1" t="s">
        <v>116</v>
      </c>
      <c r="C3474" s="1">
        <v>2022</v>
      </c>
      <c r="D3474" s="1">
        <v>47480</v>
      </c>
      <c r="E3474" s="1">
        <v>440</v>
      </c>
      <c r="F3474" s="1">
        <v>470</v>
      </c>
      <c r="G3474" s="1">
        <v>2802334</v>
      </c>
      <c r="H3474" s="1">
        <v>94</v>
      </c>
    </row>
    <row r="3475" spans="1:8" x14ac:dyDescent="0.3">
      <c r="A3475" s="1" t="s">
        <v>117</v>
      </c>
      <c r="B3475" s="1" t="s">
        <v>118</v>
      </c>
      <c r="C3475" s="1">
        <v>2022</v>
      </c>
      <c r="D3475" s="1">
        <v>39738</v>
      </c>
      <c r="E3475" s="1">
        <v>524</v>
      </c>
      <c r="F3475" s="1">
        <v>215</v>
      </c>
      <c r="G3475" s="1">
        <v>765962</v>
      </c>
      <c r="H3475" s="1">
        <v>6</v>
      </c>
    </row>
    <row r="3476" spans="1:8" x14ac:dyDescent="0.3">
      <c r="A3476" s="1" t="s">
        <v>119</v>
      </c>
      <c r="B3476" s="1" t="s">
        <v>120</v>
      </c>
      <c r="C3476" s="1">
        <v>2022</v>
      </c>
      <c r="D3476" s="1">
        <v>32515</v>
      </c>
      <c r="E3476" s="1">
        <v>267</v>
      </c>
      <c r="F3476" s="1">
        <v>107</v>
      </c>
      <c r="G3476" s="1">
        <v>511747</v>
      </c>
      <c r="H3476" s="1">
        <v>20</v>
      </c>
    </row>
    <row r="3477" spans="1:8" x14ac:dyDescent="0.3">
      <c r="A3477" s="1" t="s">
        <v>121</v>
      </c>
      <c r="B3477" s="1" t="s">
        <v>122</v>
      </c>
      <c r="C3477" s="1">
        <v>2022</v>
      </c>
      <c r="D3477" s="1">
        <v>27950</v>
      </c>
      <c r="E3477" s="1">
        <v>275</v>
      </c>
      <c r="F3477" s="1">
        <v>41</v>
      </c>
      <c r="G3477" s="1">
        <v>201369</v>
      </c>
      <c r="H3477" s="1">
        <v>0</v>
      </c>
    </row>
    <row r="3478" spans="1:8" x14ac:dyDescent="0.3">
      <c r="A3478" s="1" t="s">
        <v>123</v>
      </c>
      <c r="B3478" s="1" t="s">
        <v>124</v>
      </c>
      <c r="C3478" s="1">
        <v>2022</v>
      </c>
      <c r="D3478" s="1">
        <v>22531</v>
      </c>
      <c r="E3478" s="1">
        <v>60</v>
      </c>
      <c r="F3478" s="1">
        <v>72</v>
      </c>
      <c r="G3478" s="1">
        <v>682833</v>
      </c>
      <c r="H3478" s="1">
        <v>0</v>
      </c>
    </row>
    <row r="3479" spans="1:8" x14ac:dyDescent="0.3">
      <c r="A3479" s="1" t="s">
        <v>125</v>
      </c>
      <c r="B3479" s="1" t="s">
        <v>126</v>
      </c>
      <c r="C3479" s="1">
        <v>2022</v>
      </c>
      <c r="D3479" s="1">
        <v>13493</v>
      </c>
      <c r="E3479" s="1">
        <v>84</v>
      </c>
      <c r="F3479" s="1">
        <v>50</v>
      </c>
      <c r="G3479" s="1">
        <v>105549</v>
      </c>
      <c r="H3479" s="1">
        <v>0</v>
      </c>
    </row>
    <row r="3480" spans="1:8" x14ac:dyDescent="0.3">
      <c r="A3480" s="1" t="s">
        <v>127</v>
      </c>
      <c r="B3480" s="1" t="s">
        <v>128</v>
      </c>
      <c r="C3480" s="1">
        <v>2022</v>
      </c>
      <c r="D3480" s="1">
        <v>23909</v>
      </c>
      <c r="E3480" s="1">
        <v>138</v>
      </c>
      <c r="F3480" s="1">
        <v>38</v>
      </c>
      <c r="G3480" s="1">
        <v>321421</v>
      </c>
      <c r="H3480" s="1">
        <v>0</v>
      </c>
    </row>
    <row r="3481" spans="1:8" x14ac:dyDescent="0.3">
      <c r="A3481" s="1" t="s">
        <v>129</v>
      </c>
      <c r="B3481" s="1" t="s">
        <v>130</v>
      </c>
      <c r="C3481" s="1">
        <v>2022</v>
      </c>
      <c r="D3481" s="1">
        <v>31956</v>
      </c>
      <c r="E3481" s="1">
        <v>214</v>
      </c>
      <c r="F3481" s="1">
        <v>120</v>
      </c>
      <c r="G3481" s="1">
        <v>472620</v>
      </c>
      <c r="H3481" s="1">
        <v>0</v>
      </c>
    </row>
    <row r="3482" spans="1:8" x14ac:dyDescent="0.3">
      <c r="A3482" s="1" t="s">
        <v>131</v>
      </c>
      <c r="B3482" s="1" t="s">
        <v>132</v>
      </c>
      <c r="C3482" s="1">
        <v>2022</v>
      </c>
      <c r="D3482" s="1">
        <v>31405</v>
      </c>
      <c r="E3482" s="1">
        <v>360</v>
      </c>
      <c r="F3482" s="1">
        <v>112</v>
      </c>
      <c r="G3482" s="1">
        <v>376328</v>
      </c>
      <c r="H3482" s="1">
        <v>0</v>
      </c>
    </row>
    <row r="3483" spans="1:8" x14ac:dyDescent="0.3">
      <c r="A3483" s="1" t="s">
        <v>133</v>
      </c>
      <c r="B3483" s="1" t="s">
        <v>134</v>
      </c>
      <c r="C3483" s="1">
        <v>2022</v>
      </c>
      <c r="D3483" s="1">
        <v>55316</v>
      </c>
      <c r="E3483" s="1">
        <v>1423</v>
      </c>
      <c r="F3483" s="1">
        <v>231</v>
      </c>
      <c r="G3483" s="1">
        <v>377146</v>
      </c>
      <c r="H3483" s="1">
        <v>0</v>
      </c>
    </row>
    <row r="3484" spans="1:8" x14ac:dyDescent="0.3">
      <c r="A3484" s="1" t="s">
        <v>135</v>
      </c>
      <c r="B3484" s="1" t="s">
        <v>136</v>
      </c>
      <c r="C3484" s="1">
        <v>2022</v>
      </c>
      <c r="D3484" s="1">
        <v>19755</v>
      </c>
      <c r="E3484" s="1">
        <v>250</v>
      </c>
      <c r="F3484" s="1">
        <v>102</v>
      </c>
      <c r="G3484" s="1">
        <v>287059</v>
      </c>
      <c r="H3484" s="1">
        <v>0</v>
      </c>
    </row>
    <row r="3485" spans="1:8" x14ac:dyDescent="0.3">
      <c r="A3485" s="1" t="s">
        <v>137</v>
      </c>
      <c r="B3485" s="1" t="s">
        <v>138</v>
      </c>
      <c r="C3485" s="1">
        <v>2022</v>
      </c>
      <c r="D3485" s="1">
        <v>35175</v>
      </c>
      <c r="E3485" s="1">
        <v>470</v>
      </c>
      <c r="F3485" s="1">
        <v>191</v>
      </c>
      <c r="G3485" s="1">
        <v>682072</v>
      </c>
      <c r="H3485" s="1">
        <v>52</v>
      </c>
    </row>
    <row r="3486" spans="1:8" x14ac:dyDescent="0.3">
      <c r="A3486" s="1" t="s">
        <v>139</v>
      </c>
      <c r="B3486" s="1" t="s">
        <v>140</v>
      </c>
      <c r="C3486" s="1">
        <v>2022</v>
      </c>
      <c r="D3486" s="1">
        <v>20780</v>
      </c>
      <c r="E3486" s="1">
        <v>149</v>
      </c>
      <c r="F3486" s="1">
        <v>67</v>
      </c>
      <c r="G3486" s="1">
        <v>1085436</v>
      </c>
      <c r="H3486" s="1">
        <v>8</v>
      </c>
    </row>
    <row r="3487" spans="1:8" x14ac:dyDescent="0.3">
      <c r="A3487" s="1" t="s">
        <v>141</v>
      </c>
      <c r="B3487" s="1" t="s">
        <v>142</v>
      </c>
      <c r="C3487" s="1">
        <v>2022</v>
      </c>
      <c r="D3487" s="1">
        <v>12978</v>
      </c>
      <c r="E3487" s="1">
        <v>101</v>
      </c>
      <c r="F3487" s="1">
        <v>62</v>
      </c>
      <c r="G3487" s="1">
        <v>167032</v>
      </c>
      <c r="H3487" s="1">
        <v>0</v>
      </c>
    </row>
    <row r="3488" spans="1:8" x14ac:dyDescent="0.3">
      <c r="A3488" s="1" t="s">
        <v>143</v>
      </c>
      <c r="B3488" s="1" t="s">
        <v>144</v>
      </c>
      <c r="C3488" s="1">
        <v>2022</v>
      </c>
      <c r="D3488" s="1">
        <v>44287</v>
      </c>
      <c r="E3488" s="1">
        <v>415</v>
      </c>
      <c r="F3488" s="1">
        <v>331</v>
      </c>
      <c r="G3488" s="1">
        <v>1073325</v>
      </c>
      <c r="H3488" s="1">
        <v>0</v>
      </c>
    </row>
    <row r="3489" spans="1:8" x14ac:dyDescent="0.3">
      <c r="A3489" s="1" t="s">
        <v>145</v>
      </c>
      <c r="B3489" s="1" t="s">
        <v>146</v>
      </c>
      <c r="C3489" s="1">
        <v>2022</v>
      </c>
      <c r="D3489" s="1">
        <v>20032</v>
      </c>
      <c r="E3489" s="1">
        <v>260</v>
      </c>
      <c r="F3489" s="1">
        <v>156</v>
      </c>
      <c r="G3489" s="1">
        <v>559049</v>
      </c>
      <c r="H3489" s="1">
        <v>0</v>
      </c>
    </row>
    <row r="3490" spans="1:8" x14ac:dyDescent="0.3">
      <c r="A3490" s="1" t="s">
        <v>147</v>
      </c>
      <c r="B3490" s="1" t="s">
        <v>148</v>
      </c>
      <c r="C3490" s="1">
        <v>2022</v>
      </c>
      <c r="D3490" s="1">
        <v>19957</v>
      </c>
      <c r="E3490" s="1">
        <v>174</v>
      </c>
      <c r="F3490" s="1">
        <v>102</v>
      </c>
      <c r="G3490" s="1">
        <v>383222</v>
      </c>
      <c r="H3490" s="1">
        <v>0</v>
      </c>
    </row>
    <row r="3491" spans="1:8" x14ac:dyDescent="0.3">
      <c r="A3491" s="1" t="s">
        <v>149</v>
      </c>
      <c r="B3491" s="1" t="s">
        <v>47</v>
      </c>
      <c r="C3491" s="1">
        <v>2022</v>
      </c>
      <c r="D3491" s="1">
        <v>28129</v>
      </c>
      <c r="E3491" s="1">
        <v>424</v>
      </c>
      <c r="F3491" s="1">
        <v>288</v>
      </c>
      <c r="G3491" s="1">
        <v>804060</v>
      </c>
      <c r="H3491" s="1">
        <v>2</v>
      </c>
    </row>
    <row r="3492" spans="1:8" x14ac:dyDescent="0.3">
      <c r="A3492" s="1" t="s">
        <v>150</v>
      </c>
      <c r="B3492" s="1" t="s">
        <v>151</v>
      </c>
      <c r="C3492" s="1">
        <v>2022</v>
      </c>
      <c r="D3492" s="1">
        <v>28034</v>
      </c>
      <c r="E3492" s="1">
        <v>177</v>
      </c>
      <c r="F3492" s="1">
        <v>115</v>
      </c>
      <c r="G3492" s="1">
        <v>422708</v>
      </c>
      <c r="H3492" s="1">
        <v>8</v>
      </c>
    </row>
    <row r="3493" spans="1:8" x14ac:dyDescent="0.3">
      <c r="A3493" s="1" t="s">
        <v>152</v>
      </c>
      <c r="B3493" s="1" t="s">
        <v>153</v>
      </c>
      <c r="C3493" s="1">
        <v>2022</v>
      </c>
      <c r="D3493" s="1">
        <v>14291</v>
      </c>
      <c r="E3493" s="1">
        <v>90</v>
      </c>
      <c r="F3493" s="1">
        <v>67</v>
      </c>
      <c r="G3493" s="1">
        <v>796510</v>
      </c>
      <c r="H3493" s="1">
        <v>28</v>
      </c>
    </row>
    <row r="3494" spans="1:8" x14ac:dyDescent="0.3">
      <c r="A3494" s="1" t="s">
        <v>154</v>
      </c>
      <c r="B3494" s="1" t="s">
        <v>155</v>
      </c>
      <c r="C3494" s="1">
        <v>2022</v>
      </c>
      <c r="D3494" s="1">
        <v>36422</v>
      </c>
      <c r="E3494" s="1">
        <v>313</v>
      </c>
      <c r="F3494" s="1">
        <v>17</v>
      </c>
      <c r="G3494" s="1">
        <v>139037</v>
      </c>
      <c r="H3494" s="1">
        <v>2</v>
      </c>
    </row>
    <row r="3495" spans="1:8" x14ac:dyDescent="0.3">
      <c r="A3495" s="1" t="s">
        <v>156</v>
      </c>
      <c r="B3495" s="1" t="s">
        <v>157</v>
      </c>
      <c r="C3495" s="1">
        <v>2022</v>
      </c>
      <c r="D3495" s="1">
        <v>24583</v>
      </c>
      <c r="E3495" s="1">
        <v>552</v>
      </c>
      <c r="F3495" s="1">
        <v>435</v>
      </c>
      <c r="G3495" s="1">
        <v>1685687</v>
      </c>
      <c r="H3495" s="1">
        <v>0</v>
      </c>
    </row>
    <row r="3496" spans="1:8" x14ac:dyDescent="0.3">
      <c r="A3496" s="1" t="s">
        <v>158</v>
      </c>
      <c r="B3496" s="1" t="s">
        <v>159</v>
      </c>
      <c r="C3496" s="1">
        <v>2022</v>
      </c>
      <c r="D3496" s="1">
        <v>25970</v>
      </c>
      <c r="E3496" s="1">
        <v>128</v>
      </c>
      <c r="F3496" s="1">
        <v>295</v>
      </c>
      <c r="G3496" s="1">
        <v>1212064</v>
      </c>
      <c r="H3496" s="1">
        <v>15</v>
      </c>
    </row>
    <row r="3497" spans="1:8" x14ac:dyDescent="0.3">
      <c r="A3497" s="1" t="s">
        <v>160</v>
      </c>
      <c r="B3497" s="1" t="s">
        <v>161</v>
      </c>
      <c r="C3497" s="1">
        <v>2022</v>
      </c>
      <c r="D3497" s="1">
        <v>166214</v>
      </c>
      <c r="E3497" s="1">
        <v>3048</v>
      </c>
      <c r="F3497" s="1">
        <v>3835</v>
      </c>
      <c r="G3497" s="1">
        <v>6451547</v>
      </c>
      <c r="H3497" s="1">
        <v>9</v>
      </c>
    </row>
    <row r="3498" spans="1:8" x14ac:dyDescent="0.3">
      <c r="A3498" s="1" t="s">
        <v>162</v>
      </c>
      <c r="B3498" s="1" t="s">
        <v>163</v>
      </c>
      <c r="C3498" s="1">
        <v>2022</v>
      </c>
      <c r="D3498" s="1">
        <v>25399</v>
      </c>
      <c r="E3498" s="1">
        <v>432</v>
      </c>
      <c r="F3498" s="1">
        <v>251</v>
      </c>
      <c r="G3498" s="1">
        <v>2217898</v>
      </c>
      <c r="H3498" s="1">
        <v>0</v>
      </c>
    </row>
    <row r="3499" spans="1:8" x14ac:dyDescent="0.3">
      <c r="A3499" s="1" t="s">
        <v>164</v>
      </c>
      <c r="B3499" s="1" t="s">
        <v>165</v>
      </c>
      <c r="C3499" s="1">
        <v>2022</v>
      </c>
      <c r="D3499" s="1">
        <v>25453</v>
      </c>
      <c r="E3499" s="1">
        <v>525</v>
      </c>
      <c r="F3499" s="1">
        <v>287</v>
      </c>
      <c r="G3499" s="1">
        <v>496459</v>
      </c>
      <c r="H3499" s="1">
        <v>10</v>
      </c>
    </row>
    <row r="3500" spans="1:8" x14ac:dyDescent="0.3">
      <c r="A3500" s="1" t="s">
        <v>166</v>
      </c>
      <c r="B3500" s="1" t="s">
        <v>167</v>
      </c>
      <c r="C3500" s="1">
        <v>2022</v>
      </c>
      <c r="D3500" s="1">
        <v>20310</v>
      </c>
      <c r="E3500" s="1">
        <v>153</v>
      </c>
      <c r="F3500" s="1">
        <v>153</v>
      </c>
      <c r="G3500" s="1">
        <v>910038</v>
      </c>
      <c r="H3500" s="1">
        <v>30</v>
      </c>
    </row>
    <row r="3501" spans="1:8" x14ac:dyDescent="0.3">
      <c r="A3501" s="1" t="s">
        <v>168</v>
      </c>
      <c r="B3501" s="1" t="s">
        <v>169</v>
      </c>
      <c r="C3501" s="1">
        <v>2022</v>
      </c>
      <c r="D3501" s="1">
        <v>21555</v>
      </c>
      <c r="E3501" s="1">
        <v>227</v>
      </c>
      <c r="F3501" s="1">
        <v>232</v>
      </c>
      <c r="G3501" s="1">
        <v>1108627</v>
      </c>
      <c r="H3501" s="1">
        <v>0</v>
      </c>
    </row>
    <row r="3502" spans="1:8" x14ac:dyDescent="0.3">
      <c r="A3502" s="1" t="s">
        <v>170</v>
      </c>
      <c r="B3502" s="1" t="s">
        <v>171</v>
      </c>
      <c r="C3502" s="1">
        <v>2022</v>
      </c>
      <c r="D3502" s="1">
        <v>32928</v>
      </c>
      <c r="E3502" s="1">
        <v>449</v>
      </c>
      <c r="F3502" s="1">
        <v>427</v>
      </c>
      <c r="G3502" s="1">
        <v>1669321</v>
      </c>
      <c r="H3502" s="1">
        <v>26</v>
      </c>
    </row>
    <row r="3503" spans="1:8" x14ac:dyDescent="0.3">
      <c r="A3503" s="1" t="s">
        <v>172</v>
      </c>
      <c r="B3503" s="1" t="s">
        <v>173</v>
      </c>
      <c r="C3503" s="1">
        <v>2022</v>
      </c>
      <c r="D3503" s="1">
        <v>18435</v>
      </c>
      <c r="E3503" s="1">
        <v>404</v>
      </c>
      <c r="F3503" s="1">
        <v>362</v>
      </c>
      <c r="G3503" s="1">
        <v>466383</v>
      </c>
      <c r="H3503" s="1">
        <v>10</v>
      </c>
    </row>
    <row r="3504" spans="1:8" x14ac:dyDescent="0.3">
      <c r="A3504" s="1" t="s">
        <v>174</v>
      </c>
      <c r="B3504" s="1" t="s">
        <v>175</v>
      </c>
      <c r="C3504" s="1">
        <v>2022</v>
      </c>
      <c r="D3504" s="1">
        <v>17696</v>
      </c>
      <c r="E3504" s="1">
        <v>272</v>
      </c>
      <c r="F3504" s="1">
        <v>217</v>
      </c>
      <c r="G3504" s="1">
        <v>745452</v>
      </c>
      <c r="H3504" s="1">
        <v>12</v>
      </c>
    </row>
    <row r="3505" spans="1:8" x14ac:dyDescent="0.3">
      <c r="A3505" s="1" t="s">
        <v>176</v>
      </c>
      <c r="B3505" s="1" t="s">
        <v>177</v>
      </c>
      <c r="C3505" s="1">
        <v>2022</v>
      </c>
      <c r="D3505" s="1">
        <v>13066</v>
      </c>
      <c r="E3505" s="1">
        <v>131</v>
      </c>
      <c r="F3505" s="1">
        <v>93</v>
      </c>
      <c r="G3505" s="1">
        <v>936519</v>
      </c>
      <c r="H3505" s="1">
        <v>9</v>
      </c>
    </row>
    <row r="3506" spans="1:8" x14ac:dyDescent="0.3">
      <c r="A3506" s="1" t="s">
        <v>178</v>
      </c>
      <c r="B3506" s="1" t="s">
        <v>179</v>
      </c>
      <c r="C3506" s="1">
        <v>2022</v>
      </c>
      <c r="D3506" s="1">
        <v>20990</v>
      </c>
      <c r="E3506" s="1">
        <v>228</v>
      </c>
      <c r="F3506" s="1">
        <v>342</v>
      </c>
      <c r="G3506" s="1">
        <v>329752</v>
      </c>
      <c r="H3506" s="1">
        <v>0</v>
      </c>
    </row>
    <row r="3507" spans="1:8" x14ac:dyDescent="0.3">
      <c r="A3507" s="1" t="s">
        <v>180</v>
      </c>
      <c r="B3507" s="1" t="s">
        <v>181</v>
      </c>
      <c r="C3507" s="1">
        <v>2022</v>
      </c>
      <c r="D3507" s="1">
        <v>27089</v>
      </c>
      <c r="E3507" s="1">
        <v>427</v>
      </c>
      <c r="F3507" s="1">
        <v>249</v>
      </c>
      <c r="G3507" s="1">
        <v>760665</v>
      </c>
      <c r="H3507" s="1">
        <v>22</v>
      </c>
    </row>
    <row r="3508" spans="1:8" x14ac:dyDescent="0.3">
      <c r="A3508" s="1" t="s">
        <v>182</v>
      </c>
      <c r="B3508" s="1" t="s">
        <v>183</v>
      </c>
      <c r="C3508" s="1">
        <v>2022</v>
      </c>
      <c r="D3508" s="1">
        <v>30210</v>
      </c>
      <c r="E3508" s="1">
        <v>200</v>
      </c>
      <c r="F3508" s="1">
        <v>345</v>
      </c>
      <c r="G3508" s="1">
        <v>2215372</v>
      </c>
      <c r="H3508" s="1">
        <v>22</v>
      </c>
    </row>
    <row r="3509" spans="1:8" x14ac:dyDescent="0.3">
      <c r="A3509" s="1" t="s">
        <v>184</v>
      </c>
      <c r="B3509" s="1" t="s">
        <v>185</v>
      </c>
      <c r="C3509" s="1">
        <v>2022</v>
      </c>
      <c r="D3509" s="1">
        <v>35850</v>
      </c>
      <c r="E3509" s="1">
        <v>324</v>
      </c>
      <c r="F3509" s="1">
        <v>436</v>
      </c>
      <c r="G3509" s="1">
        <v>1711490</v>
      </c>
      <c r="H3509" s="1">
        <v>12</v>
      </c>
    </row>
    <row r="3510" spans="1:8" x14ac:dyDescent="0.3">
      <c r="A3510" s="1" t="s">
        <v>186</v>
      </c>
      <c r="B3510" s="1" t="s">
        <v>187</v>
      </c>
      <c r="C3510" s="1">
        <v>2022</v>
      </c>
      <c r="D3510" s="1">
        <v>13404</v>
      </c>
      <c r="E3510" s="1">
        <v>184</v>
      </c>
      <c r="F3510" s="1">
        <v>129</v>
      </c>
      <c r="G3510" s="1">
        <v>132825</v>
      </c>
      <c r="H3510" s="1">
        <v>0</v>
      </c>
    </row>
    <row r="3511" spans="1:8" x14ac:dyDescent="0.3">
      <c r="A3511" s="1" t="s">
        <v>188</v>
      </c>
      <c r="B3511" s="1" t="s">
        <v>189</v>
      </c>
      <c r="C3511" s="1">
        <v>2022</v>
      </c>
      <c r="D3511" s="1">
        <v>56496</v>
      </c>
      <c r="E3511" s="1">
        <v>523</v>
      </c>
      <c r="F3511" s="1">
        <v>1303</v>
      </c>
      <c r="G3511" s="1">
        <v>6218202</v>
      </c>
      <c r="H3511" s="1">
        <v>0</v>
      </c>
    </row>
    <row r="3512" spans="1:8" x14ac:dyDescent="0.3">
      <c r="A3512" s="1" t="s">
        <v>190</v>
      </c>
      <c r="B3512" s="1" t="s">
        <v>191</v>
      </c>
      <c r="C3512" s="1">
        <v>2022</v>
      </c>
      <c r="D3512" s="1">
        <v>66976</v>
      </c>
      <c r="E3512" s="1">
        <v>1803</v>
      </c>
      <c r="F3512" s="1">
        <v>1666</v>
      </c>
      <c r="G3512" s="1">
        <v>5155228</v>
      </c>
      <c r="H3512" s="1">
        <v>336</v>
      </c>
    </row>
    <row r="3513" spans="1:8" x14ac:dyDescent="0.3">
      <c r="A3513" s="1" t="s">
        <v>192</v>
      </c>
      <c r="B3513" s="1" t="s">
        <v>193</v>
      </c>
      <c r="C3513" s="1">
        <v>2022</v>
      </c>
      <c r="D3513" s="1">
        <v>42321</v>
      </c>
      <c r="E3513" s="1">
        <v>430</v>
      </c>
      <c r="F3513" s="1">
        <v>347</v>
      </c>
      <c r="G3513" s="1">
        <v>1715144</v>
      </c>
      <c r="H3513" s="1">
        <v>0</v>
      </c>
    </row>
    <row r="3514" spans="1:8" x14ac:dyDescent="0.3">
      <c r="A3514" s="1" t="s">
        <v>194</v>
      </c>
      <c r="B3514" s="1" t="s">
        <v>195</v>
      </c>
      <c r="C3514" s="1">
        <v>2022</v>
      </c>
      <c r="D3514" s="1">
        <v>39211</v>
      </c>
      <c r="E3514" s="1">
        <v>444</v>
      </c>
      <c r="F3514" s="1">
        <v>307</v>
      </c>
      <c r="G3514" s="1">
        <v>3684030</v>
      </c>
      <c r="H3514" s="1">
        <v>60</v>
      </c>
    </row>
    <row r="3515" spans="1:8" x14ac:dyDescent="0.3">
      <c r="A3515" s="1" t="s">
        <v>196</v>
      </c>
      <c r="B3515" s="1" t="s">
        <v>197</v>
      </c>
      <c r="C3515" s="1">
        <v>2022</v>
      </c>
      <c r="D3515" s="1">
        <v>20125</v>
      </c>
      <c r="E3515" s="1">
        <v>147</v>
      </c>
      <c r="F3515" s="1">
        <v>54</v>
      </c>
      <c r="G3515" s="1">
        <v>877228</v>
      </c>
      <c r="H3515" s="1">
        <v>0</v>
      </c>
    </row>
    <row r="3516" spans="1:8" x14ac:dyDescent="0.3">
      <c r="A3516" s="1" t="s">
        <v>198</v>
      </c>
      <c r="B3516" s="1" t="s">
        <v>199</v>
      </c>
      <c r="C3516" s="1">
        <v>2022</v>
      </c>
      <c r="D3516" s="1">
        <v>17020</v>
      </c>
      <c r="E3516" s="1">
        <v>77</v>
      </c>
      <c r="F3516" s="1">
        <v>56</v>
      </c>
      <c r="G3516" s="1">
        <v>391093</v>
      </c>
      <c r="H3516" s="1">
        <v>30</v>
      </c>
    </row>
    <row r="3517" spans="1:8" x14ac:dyDescent="0.3">
      <c r="A3517" s="1" t="s">
        <v>200</v>
      </c>
      <c r="B3517" s="1" t="s">
        <v>201</v>
      </c>
      <c r="C3517" s="1">
        <v>2022</v>
      </c>
      <c r="D3517" s="1">
        <v>27829</v>
      </c>
      <c r="E3517" s="1">
        <v>111</v>
      </c>
      <c r="F3517" s="1">
        <v>65</v>
      </c>
      <c r="G3517" s="1">
        <v>1142242</v>
      </c>
      <c r="H3517" s="1">
        <v>0</v>
      </c>
    </row>
    <row r="3518" spans="1:8" x14ac:dyDescent="0.3">
      <c r="A3518" s="1" t="s">
        <v>202</v>
      </c>
      <c r="B3518" s="1" t="s">
        <v>203</v>
      </c>
      <c r="C3518" s="1">
        <v>2022</v>
      </c>
      <c r="D3518" s="1">
        <v>26918</v>
      </c>
      <c r="E3518" s="1">
        <v>511</v>
      </c>
      <c r="F3518" s="1">
        <v>62</v>
      </c>
      <c r="G3518" s="1">
        <v>369511</v>
      </c>
      <c r="H3518" s="1">
        <v>0</v>
      </c>
    </row>
    <row r="3519" spans="1:8" x14ac:dyDescent="0.3">
      <c r="A3519" s="1" t="s">
        <v>204</v>
      </c>
      <c r="B3519" s="1" t="s">
        <v>205</v>
      </c>
      <c r="C3519" s="1">
        <v>2022</v>
      </c>
      <c r="D3519" s="1">
        <v>26591</v>
      </c>
      <c r="E3519" s="1">
        <v>212</v>
      </c>
      <c r="F3519" s="1">
        <v>141</v>
      </c>
      <c r="G3519" s="1">
        <v>357559</v>
      </c>
      <c r="H3519" s="1">
        <v>0</v>
      </c>
    </row>
    <row r="3520" spans="1:8" x14ac:dyDescent="0.3">
      <c r="A3520" s="1" t="s">
        <v>206</v>
      </c>
      <c r="B3520" s="1" t="s">
        <v>207</v>
      </c>
      <c r="C3520" s="1">
        <v>2022</v>
      </c>
      <c r="D3520" s="1">
        <v>54106</v>
      </c>
      <c r="E3520" s="1">
        <v>589</v>
      </c>
      <c r="F3520" s="1">
        <v>377</v>
      </c>
      <c r="G3520" s="1">
        <v>997846</v>
      </c>
      <c r="H3520" s="1">
        <v>0</v>
      </c>
    </row>
    <row r="3521" spans="1:8" x14ac:dyDescent="0.3">
      <c r="A3521" s="1" t="s">
        <v>208</v>
      </c>
      <c r="B3521" s="1" t="s">
        <v>209</v>
      </c>
      <c r="C3521" s="1">
        <v>2022</v>
      </c>
      <c r="D3521" s="1">
        <v>17377</v>
      </c>
      <c r="E3521" s="1">
        <v>229</v>
      </c>
      <c r="F3521" s="1">
        <v>59</v>
      </c>
      <c r="G3521" s="1">
        <v>269536</v>
      </c>
      <c r="H3521" s="1">
        <v>0</v>
      </c>
    </row>
    <row r="3522" spans="1:8" x14ac:dyDescent="0.3">
      <c r="A3522" s="1" t="s">
        <v>210</v>
      </c>
      <c r="B3522" s="1" t="s">
        <v>211</v>
      </c>
      <c r="C3522" s="1">
        <v>2022</v>
      </c>
      <c r="D3522" s="1">
        <v>31867</v>
      </c>
      <c r="E3522" s="1">
        <v>440</v>
      </c>
      <c r="F3522" s="1">
        <v>43</v>
      </c>
      <c r="G3522" s="1">
        <v>330749</v>
      </c>
      <c r="H3522" s="1">
        <v>0</v>
      </c>
    </row>
    <row r="3523" spans="1:8" x14ac:dyDescent="0.3">
      <c r="A3523" s="1" t="s">
        <v>212</v>
      </c>
      <c r="B3523" s="1" t="s">
        <v>213</v>
      </c>
      <c r="C3523" s="1">
        <v>2022</v>
      </c>
      <c r="D3523" s="1">
        <v>16254</v>
      </c>
      <c r="E3523" s="1">
        <v>181</v>
      </c>
      <c r="F3523" s="1">
        <v>36</v>
      </c>
      <c r="G3523" s="1">
        <v>193347</v>
      </c>
      <c r="H3523" s="1">
        <v>0</v>
      </c>
    </row>
    <row r="3524" spans="1:8" x14ac:dyDescent="0.3">
      <c r="A3524" s="1" t="s">
        <v>214</v>
      </c>
      <c r="B3524" s="1" t="s">
        <v>215</v>
      </c>
      <c r="C3524" s="1">
        <v>2022</v>
      </c>
      <c r="D3524" s="1">
        <v>44559</v>
      </c>
      <c r="E3524" s="1">
        <v>421</v>
      </c>
      <c r="F3524" s="1">
        <v>213</v>
      </c>
      <c r="G3524" s="1">
        <v>1501231</v>
      </c>
      <c r="H3524" s="1">
        <v>26</v>
      </c>
    </row>
    <row r="3525" spans="1:8" x14ac:dyDescent="0.3">
      <c r="A3525" s="1" t="s">
        <v>216</v>
      </c>
      <c r="B3525" s="1" t="s">
        <v>217</v>
      </c>
      <c r="C3525" s="1">
        <v>2022</v>
      </c>
      <c r="D3525" s="1">
        <v>17094</v>
      </c>
      <c r="E3525" s="1">
        <v>148</v>
      </c>
      <c r="F3525" s="1">
        <v>123</v>
      </c>
      <c r="G3525" s="1">
        <v>432734</v>
      </c>
      <c r="H3525" s="1">
        <v>0</v>
      </c>
    </row>
    <row r="3526" spans="1:8" x14ac:dyDescent="0.3">
      <c r="A3526" s="1" t="s">
        <v>218</v>
      </c>
      <c r="B3526" s="1" t="s">
        <v>219</v>
      </c>
      <c r="C3526" s="1">
        <v>2022</v>
      </c>
      <c r="D3526" s="1">
        <v>40815</v>
      </c>
      <c r="E3526" s="1">
        <v>361</v>
      </c>
      <c r="F3526" s="1">
        <v>147</v>
      </c>
      <c r="G3526" s="1">
        <v>1124598</v>
      </c>
      <c r="H3526" s="1">
        <v>0</v>
      </c>
    </row>
    <row r="3527" spans="1:8" x14ac:dyDescent="0.3">
      <c r="A3527" s="1" t="s">
        <v>220</v>
      </c>
      <c r="B3527" s="1" t="s">
        <v>221</v>
      </c>
      <c r="C3527" s="1">
        <v>2022</v>
      </c>
      <c r="D3527" s="1">
        <v>12826</v>
      </c>
      <c r="E3527" s="1">
        <v>154</v>
      </c>
      <c r="F3527" s="1">
        <v>0</v>
      </c>
      <c r="G3527" s="1">
        <v>5680</v>
      </c>
      <c r="H3527" s="1">
        <v>0</v>
      </c>
    </row>
    <row r="3528" spans="1:8" x14ac:dyDescent="0.3">
      <c r="A3528" s="1" t="s">
        <v>222</v>
      </c>
      <c r="B3528" s="1" t="s">
        <v>151</v>
      </c>
      <c r="C3528" s="1">
        <v>2022</v>
      </c>
      <c r="D3528" s="1">
        <v>46758</v>
      </c>
      <c r="E3528" s="1">
        <v>362</v>
      </c>
      <c r="F3528" s="1">
        <v>309</v>
      </c>
      <c r="G3528" s="1">
        <v>3145427</v>
      </c>
      <c r="H3528" s="1">
        <v>81</v>
      </c>
    </row>
    <row r="3529" spans="1:8" x14ac:dyDescent="0.3">
      <c r="A3529" s="1" t="s">
        <v>223</v>
      </c>
      <c r="B3529" s="1" t="s">
        <v>224</v>
      </c>
      <c r="C3529" s="1">
        <v>2022</v>
      </c>
      <c r="D3529" s="1">
        <v>26702</v>
      </c>
      <c r="E3529" s="1">
        <v>257</v>
      </c>
      <c r="F3529" s="1">
        <v>84</v>
      </c>
      <c r="G3529" s="1">
        <v>809307</v>
      </c>
      <c r="H3529" s="1">
        <v>38</v>
      </c>
    </row>
    <row r="3530" spans="1:8" x14ac:dyDescent="0.3">
      <c r="A3530" s="1" t="s">
        <v>225</v>
      </c>
      <c r="B3530" s="1" t="s">
        <v>226</v>
      </c>
      <c r="C3530" s="1">
        <v>2022</v>
      </c>
      <c r="D3530" s="1">
        <v>14290</v>
      </c>
      <c r="E3530" s="1">
        <v>235</v>
      </c>
      <c r="F3530" s="1">
        <v>65</v>
      </c>
      <c r="G3530" s="1">
        <v>261410</v>
      </c>
      <c r="H3530" s="1">
        <v>0</v>
      </c>
    </row>
    <row r="3531" spans="1:8" x14ac:dyDescent="0.3">
      <c r="A3531" s="1" t="s">
        <v>227</v>
      </c>
      <c r="B3531" s="1" t="s">
        <v>228</v>
      </c>
      <c r="C3531" s="1">
        <v>2022</v>
      </c>
      <c r="D3531" s="1">
        <v>25622</v>
      </c>
      <c r="E3531" s="1">
        <v>248</v>
      </c>
      <c r="F3531" s="1">
        <v>157</v>
      </c>
      <c r="G3531" s="1">
        <v>1368332</v>
      </c>
      <c r="H3531" s="1">
        <v>339</v>
      </c>
    </row>
    <row r="3532" spans="1:8" x14ac:dyDescent="0.3">
      <c r="A3532" s="1" t="s">
        <v>229</v>
      </c>
      <c r="B3532" s="1" t="s">
        <v>230</v>
      </c>
      <c r="C3532" s="1">
        <v>2022</v>
      </c>
      <c r="D3532" s="1">
        <v>70780</v>
      </c>
      <c r="E3532" s="1">
        <v>827</v>
      </c>
      <c r="F3532" s="1">
        <v>360</v>
      </c>
      <c r="G3532" s="1">
        <v>1922052</v>
      </c>
      <c r="H3532" s="1">
        <v>78</v>
      </c>
    </row>
    <row r="3533" spans="1:8" x14ac:dyDescent="0.3">
      <c r="A3533" s="1" t="s">
        <v>231</v>
      </c>
      <c r="B3533" s="1" t="s">
        <v>232</v>
      </c>
      <c r="C3533" s="1">
        <v>2022</v>
      </c>
      <c r="D3533" s="1">
        <v>12003</v>
      </c>
      <c r="E3533" s="1">
        <v>124</v>
      </c>
      <c r="F3533" s="1">
        <v>52</v>
      </c>
      <c r="G3533" s="1">
        <v>279493</v>
      </c>
      <c r="H3533" s="1">
        <v>0</v>
      </c>
    </row>
    <row r="3534" spans="1:8" x14ac:dyDescent="0.3">
      <c r="A3534" s="1" t="s">
        <v>233</v>
      </c>
      <c r="B3534" s="1" t="s">
        <v>234</v>
      </c>
      <c r="C3534" s="1">
        <v>2022</v>
      </c>
      <c r="D3534" s="1">
        <v>376215</v>
      </c>
      <c r="E3534" s="1">
        <v>5788</v>
      </c>
      <c r="F3534" s="1">
        <v>7168</v>
      </c>
      <c r="G3534" s="1">
        <v>25609789</v>
      </c>
      <c r="H3534" s="1">
        <v>82</v>
      </c>
    </row>
    <row r="3535" spans="1:8" x14ac:dyDescent="0.3">
      <c r="A3535" s="1" t="s">
        <v>235</v>
      </c>
      <c r="B3535" s="1" t="s">
        <v>236</v>
      </c>
      <c r="C3535" s="1">
        <v>2022</v>
      </c>
      <c r="D3535" s="1">
        <v>32398</v>
      </c>
      <c r="E3535" s="1">
        <v>576</v>
      </c>
      <c r="F3535" s="1">
        <v>470</v>
      </c>
      <c r="G3535" s="1">
        <v>4520999</v>
      </c>
      <c r="H3535" s="1">
        <v>0</v>
      </c>
    </row>
    <row r="3536" spans="1:8" x14ac:dyDescent="0.3">
      <c r="A3536" s="1" t="s">
        <v>237</v>
      </c>
      <c r="B3536" s="1" t="s">
        <v>238</v>
      </c>
      <c r="C3536" s="1">
        <v>2022</v>
      </c>
      <c r="D3536" s="1">
        <v>20820</v>
      </c>
      <c r="E3536" s="1">
        <v>411</v>
      </c>
      <c r="F3536" s="1">
        <v>333</v>
      </c>
      <c r="G3536" s="1">
        <v>959934</v>
      </c>
      <c r="H3536" s="1">
        <v>38</v>
      </c>
    </row>
    <row r="3537" spans="1:8" x14ac:dyDescent="0.3">
      <c r="A3537" s="1" t="s">
        <v>239</v>
      </c>
      <c r="B3537" s="1" t="s">
        <v>240</v>
      </c>
      <c r="C3537" s="1">
        <v>2022</v>
      </c>
      <c r="D3537" s="1">
        <v>34415</v>
      </c>
      <c r="E3537" s="1">
        <v>543</v>
      </c>
      <c r="F3537" s="1">
        <v>349</v>
      </c>
      <c r="G3537" s="1">
        <v>449015</v>
      </c>
      <c r="H3537" s="1">
        <v>4</v>
      </c>
    </row>
    <row r="3538" spans="1:8" x14ac:dyDescent="0.3">
      <c r="A3538" s="1" t="s">
        <v>241</v>
      </c>
      <c r="B3538" s="1" t="s">
        <v>242</v>
      </c>
      <c r="C3538" s="1">
        <v>2022</v>
      </c>
      <c r="D3538" s="1">
        <v>29237</v>
      </c>
      <c r="E3538" s="1">
        <v>453</v>
      </c>
      <c r="F3538" s="1">
        <v>75</v>
      </c>
      <c r="G3538" s="1">
        <v>410677</v>
      </c>
      <c r="H3538" s="1">
        <v>0</v>
      </c>
    </row>
    <row r="3539" spans="1:8" x14ac:dyDescent="0.3">
      <c r="A3539" s="1" t="s">
        <v>243</v>
      </c>
      <c r="B3539" s="1" t="s">
        <v>244</v>
      </c>
      <c r="C3539" s="1">
        <v>2022</v>
      </c>
      <c r="D3539" s="1">
        <v>46846</v>
      </c>
      <c r="E3539" s="1">
        <v>324</v>
      </c>
      <c r="F3539" s="1">
        <v>367</v>
      </c>
      <c r="G3539" s="1">
        <v>3978390</v>
      </c>
      <c r="H3539" s="1">
        <v>84</v>
      </c>
    </row>
    <row r="3540" spans="1:8" x14ac:dyDescent="0.3">
      <c r="A3540" s="1" t="s">
        <v>245</v>
      </c>
      <c r="B3540" s="1" t="s">
        <v>246</v>
      </c>
      <c r="C3540" s="1">
        <v>2022</v>
      </c>
      <c r="D3540" s="1">
        <v>17432</v>
      </c>
      <c r="E3540" s="1">
        <v>310</v>
      </c>
      <c r="F3540" s="1">
        <v>142</v>
      </c>
      <c r="G3540" s="1">
        <v>238463</v>
      </c>
      <c r="H3540" s="1">
        <v>0</v>
      </c>
    </row>
    <row r="3541" spans="1:8" x14ac:dyDescent="0.3">
      <c r="A3541" s="1" t="s">
        <v>247</v>
      </c>
      <c r="B3541" s="1" t="s">
        <v>248</v>
      </c>
      <c r="C3541" s="1">
        <v>2022</v>
      </c>
      <c r="D3541" s="1">
        <v>33585</v>
      </c>
      <c r="E3541" s="1">
        <v>382</v>
      </c>
      <c r="F3541" s="1">
        <v>107</v>
      </c>
      <c r="G3541" s="1">
        <v>969113</v>
      </c>
      <c r="H3541" s="1">
        <v>12</v>
      </c>
    </row>
    <row r="3542" spans="1:8" x14ac:dyDescent="0.3">
      <c r="A3542" s="1" t="s">
        <v>249</v>
      </c>
      <c r="B3542" s="1" t="s">
        <v>250</v>
      </c>
      <c r="C3542" s="1">
        <v>2022</v>
      </c>
      <c r="D3542" s="1">
        <v>102868</v>
      </c>
      <c r="E3542" s="1">
        <v>1761</v>
      </c>
      <c r="F3542" s="1">
        <v>741</v>
      </c>
      <c r="G3542" s="1">
        <v>1289083</v>
      </c>
      <c r="H3542" s="1">
        <v>102</v>
      </c>
    </row>
    <row r="3543" spans="1:8" x14ac:dyDescent="0.3">
      <c r="A3543" s="1" t="s">
        <v>251</v>
      </c>
      <c r="B3543" s="1" t="s">
        <v>252</v>
      </c>
      <c r="C3543" s="1">
        <v>2022</v>
      </c>
      <c r="D3543" s="1">
        <v>36202</v>
      </c>
      <c r="E3543" s="1">
        <v>746</v>
      </c>
      <c r="F3543" s="1">
        <v>81</v>
      </c>
      <c r="G3543" s="1">
        <v>362136</v>
      </c>
      <c r="H3543" s="1">
        <v>19</v>
      </c>
    </row>
    <row r="3544" spans="1:8" x14ac:dyDescent="0.3">
      <c r="A3544" s="1" t="s">
        <v>253</v>
      </c>
      <c r="B3544" s="1" t="s">
        <v>254</v>
      </c>
      <c r="C3544" s="1">
        <v>2022</v>
      </c>
      <c r="D3544" s="1">
        <v>18017</v>
      </c>
      <c r="E3544" s="1">
        <v>140</v>
      </c>
      <c r="F3544" s="1">
        <v>26</v>
      </c>
      <c r="G3544" s="1">
        <v>234133</v>
      </c>
      <c r="H3544" s="1">
        <v>0</v>
      </c>
    </row>
    <row r="3545" spans="1:8" x14ac:dyDescent="0.3">
      <c r="A3545" s="1" t="s">
        <v>255</v>
      </c>
      <c r="B3545" s="1" t="s">
        <v>256</v>
      </c>
      <c r="C3545" s="1">
        <v>2022</v>
      </c>
      <c r="D3545" s="1">
        <v>38831</v>
      </c>
      <c r="E3545" s="1">
        <v>718</v>
      </c>
      <c r="F3545" s="1">
        <v>120</v>
      </c>
      <c r="G3545" s="1">
        <v>137495</v>
      </c>
      <c r="H3545" s="1">
        <v>0</v>
      </c>
    </row>
    <row r="3546" spans="1:8" x14ac:dyDescent="0.3">
      <c r="A3546" s="1" t="s">
        <v>257</v>
      </c>
      <c r="B3546" s="1" t="s">
        <v>258</v>
      </c>
      <c r="C3546" s="1">
        <v>2022</v>
      </c>
      <c r="D3546" s="1">
        <v>60591</v>
      </c>
      <c r="E3546" s="1">
        <v>957</v>
      </c>
      <c r="F3546" s="1">
        <v>177</v>
      </c>
      <c r="G3546" s="1">
        <v>603423</v>
      </c>
      <c r="H3546" s="1">
        <v>0</v>
      </c>
    </row>
    <row r="3547" spans="1:8" x14ac:dyDescent="0.3">
      <c r="A3547" s="1" t="s">
        <v>259</v>
      </c>
      <c r="B3547" s="1" t="s">
        <v>260</v>
      </c>
      <c r="C3547" s="1">
        <v>2022</v>
      </c>
      <c r="D3547" s="1">
        <v>57383</v>
      </c>
      <c r="E3547" s="1">
        <v>962</v>
      </c>
      <c r="F3547" s="1">
        <v>164</v>
      </c>
      <c r="G3547" s="1">
        <v>705774</v>
      </c>
      <c r="H3547" s="1">
        <v>10</v>
      </c>
    </row>
    <row r="3548" spans="1:8" x14ac:dyDescent="0.3">
      <c r="A3548" s="1" t="s">
        <v>261</v>
      </c>
      <c r="B3548" s="1" t="s">
        <v>262</v>
      </c>
      <c r="C3548" s="1">
        <v>2022</v>
      </c>
      <c r="D3548" s="1">
        <v>39810</v>
      </c>
      <c r="E3548" s="1">
        <v>266</v>
      </c>
      <c r="F3548" s="1">
        <v>217</v>
      </c>
      <c r="G3548" s="1">
        <v>1010284</v>
      </c>
      <c r="H3548" s="1">
        <v>72</v>
      </c>
    </row>
    <row r="3549" spans="1:8" x14ac:dyDescent="0.3">
      <c r="A3549" s="1" t="s">
        <v>263</v>
      </c>
      <c r="B3549" s="1" t="s">
        <v>264</v>
      </c>
      <c r="C3549" s="1">
        <v>2022</v>
      </c>
      <c r="D3549" s="1">
        <v>54902</v>
      </c>
      <c r="E3549" s="1">
        <v>786</v>
      </c>
      <c r="F3549" s="1">
        <v>610</v>
      </c>
      <c r="G3549" s="1">
        <v>2611213</v>
      </c>
      <c r="H3549" s="1">
        <v>0</v>
      </c>
    </row>
    <row r="3550" spans="1:8" x14ac:dyDescent="0.3">
      <c r="A3550" s="1" t="s">
        <v>265</v>
      </c>
      <c r="B3550" s="1" t="s">
        <v>266</v>
      </c>
      <c r="C3550" s="1">
        <v>2022</v>
      </c>
      <c r="D3550" s="1">
        <v>13638</v>
      </c>
      <c r="E3550" s="1">
        <v>210</v>
      </c>
      <c r="F3550" s="1">
        <v>76</v>
      </c>
      <c r="G3550" s="1">
        <v>431386</v>
      </c>
      <c r="H3550" s="1">
        <v>12</v>
      </c>
    </row>
    <row r="3551" spans="1:8" x14ac:dyDescent="0.3">
      <c r="A3551" s="1" t="s">
        <v>267</v>
      </c>
      <c r="B3551" s="1" t="s">
        <v>268</v>
      </c>
      <c r="C3551" s="1">
        <v>2022</v>
      </c>
      <c r="D3551" s="1">
        <v>26930</v>
      </c>
      <c r="E3551" s="1">
        <v>392</v>
      </c>
      <c r="F3551" s="1">
        <v>20</v>
      </c>
      <c r="G3551" s="1">
        <v>250434</v>
      </c>
      <c r="H3551" s="1">
        <v>34</v>
      </c>
    </row>
    <row r="3552" spans="1:8" x14ac:dyDescent="0.3">
      <c r="A3552" s="1" t="s">
        <v>269</v>
      </c>
      <c r="B3552" s="1" t="s">
        <v>270</v>
      </c>
      <c r="C3552" s="1">
        <v>2022</v>
      </c>
      <c r="D3552" s="1">
        <v>57807</v>
      </c>
      <c r="E3552" s="1">
        <v>815</v>
      </c>
      <c r="F3552" s="1">
        <v>32</v>
      </c>
      <c r="G3552" s="1">
        <v>344292</v>
      </c>
      <c r="H3552" s="1">
        <v>284</v>
      </c>
    </row>
    <row r="3553" spans="1:8" x14ac:dyDescent="0.3">
      <c r="A3553" s="1" t="s">
        <v>271</v>
      </c>
      <c r="B3553" s="1" t="s">
        <v>272</v>
      </c>
      <c r="C3553" s="1">
        <v>2022</v>
      </c>
      <c r="D3553" s="1">
        <v>26232</v>
      </c>
      <c r="E3553" s="1">
        <v>293</v>
      </c>
      <c r="F3553" s="1">
        <v>213</v>
      </c>
      <c r="G3553" s="1">
        <v>391564</v>
      </c>
      <c r="H3553" s="1">
        <v>8</v>
      </c>
    </row>
    <row r="3554" spans="1:8" x14ac:dyDescent="0.3">
      <c r="A3554" s="1" t="s">
        <v>273</v>
      </c>
      <c r="B3554" s="1" t="s">
        <v>274</v>
      </c>
      <c r="C3554" s="1">
        <v>2022</v>
      </c>
      <c r="D3554" s="1">
        <v>50558</v>
      </c>
      <c r="E3554" s="1">
        <v>596</v>
      </c>
      <c r="F3554" s="1">
        <v>166</v>
      </c>
      <c r="G3554" s="1">
        <v>1608842</v>
      </c>
      <c r="H3554" s="1">
        <v>4</v>
      </c>
    </row>
    <row r="3555" spans="1:8" x14ac:dyDescent="0.3">
      <c r="A3555" s="1" t="s">
        <v>275</v>
      </c>
      <c r="B3555" s="1" t="s">
        <v>276</v>
      </c>
      <c r="C3555" s="1">
        <v>2022</v>
      </c>
      <c r="D3555" s="1">
        <v>49142</v>
      </c>
      <c r="E3555" s="1">
        <v>1805</v>
      </c>
      <c r="F3555" s="1">
        <v>986</v>
      </c>
      <c r="G3555" s="1">
        <v>287313</v>
      </c>
      <c r="H3555" s="1">
        <v>0</v>
      </c>
    </row>
    <row r="3556" spans="1:8" x14ac:dyDescent="0.3">
      <c r="A3556" s="1" t="s">
        <v>277</v>
      </c>
      <c r="B3556" s="1" t="s">
        <v>278</v>
      </c>
      <c r="C3556" s="1">
        <v>2022</v>
      </c>
      <c r="D3556" s="1">
        <v>449055</v>
      </c>
      <c r="E3556" s="1">
        <v>10766</v>
      </c>
      <c r="F3556" s="1">
        <v>15950</v>
      </c>
      <c r="G3556" s="1">
        <v>18198392</v>
      </c>
      <c r="H3556" s="1">
        <v>594</v>
      </c>
    </row>
    <row r="3557" spans="1:8" x14ac:dyDescent="0.3">
      <c r="A3557" s="1" t="s">
        <v>279</v>
      </c>
      <c r="B3557" s="1" t="s">
        <v>280</v>
      </c>
      <c r="C3557" s="1">
        <v>2022</v>
      </c>
      <c r="D3557" s="1">
        <v>31701</v>
      </c>
      <c r="E3557" s="1">
        <v>195</v>
      </c>
      <c r="F3557" s="1">
        <v>308</v>
      </c>
      <c r="G3557" s="1">
        <v>1985861</v>
      </c>
      <c r="H3557" s="1">
        <v>2</v>
      </c>
    </row>
    <row r="3558" spans="1:8" x14ac:dyDescent="0.3">
      <c r="A3558" s="1" t="s">
        <v>281</v>
      </c>
      <c r="B3558" s="1" t="s">
        <v>282</v>
      </c>
      <c r="C3558" s="1">
        <v>2022</v>
      </c>
      <c r="D3558" s="1">
        <v>45587</v>
      </c>
      <c r="E3558" s="1">
        <v>444</v>
      </c>
      <c r="F3558" s="1">
        <v>583</v>
      </c>
      <c r="G3558" s="1">
        <v>6755352</v>
      </c>
      <c r="H3558" s="1">
        <v>178</v>
      </c>
    </row>
    <row r="3559" spans="1:8" x14ac:dyDescent="0.3">
      <c r="A3559" s="1" t="s">
        <v>283</v>
      </c>
      <c r="B3559" s="1" t="s">
        <v>284</v>
      </c>
      <c r="C3559" s="1">
        <v>2022</v>
      </c>
      <c r="D3559" s="1">
        <v>11823</v>
      </c>
      <c r="E3559" s="1">
        <v>130</v>
      </c>
      <c r="F3559" s="1">
        <v>29</v>
      </c>
      <c r="G3559" s="1">
        <v>70697</v>
      </c>
      <c r="H3559" s="1">
        <v>0</v>
      </c>
    </row>
    <row r="3560" spans="1:8" x14ac:dyDescent="0.3">
      <c r="A3560" s="1" t="s">
        <v>285</v>
      </c>
      <c r="B3560" s="1" t="s">
        <v>286</v>
      </c>
      <c r="C3560" s="1">
        <v>2022</v>
      </c>
      <c r="D3560" s="1">
        <v>33576</v>
      </c>
      <c r="E3560" s="1">
        <v>516</v>
      </c>
      <c r="F3560" s="1">
        <v>399</v>
      </c>
      <c r="G3560" s="1">
        <v>2904425</v>
      </c>
      <c r="H3560" s="1">
        <v>64</v>
      </c>
    </row>
    <row r="3561" spans="1:8" x14ac:dyDescent="0.3">
      <c r="A3561" s="1" t="s">
        <v>287</v>
      </c>
      <c r="B3561" s="1" t="s">
        <v>288</v>
      </c>
      <c r="C3561" s="1">
        <v>2022</v>
      </c>
      <c r="D3561" s="1">
        <v>36717</v>
      </c>
      <c r="E3561" s="1">
        <v>568</v>
      </c>
      <c r="F3561" s="1">
        <v>205</v>
      </c>
      <c r="G3561" s="1">
        <v>558772</v>
      </c>
      <c r="H3561" s="1">
        <v>0</v>
      </c>
    </row>
    <row r="3562" spans="1:8" x14ac:dyDescent="0.3">
      <c r="A3562" s="1" t="s">
        <v>289</v>
      </c>
      <c r="B3562" s="1" t="s">
        <v>290</v>
      </c>
      <c r="C3562" s="1">
        <v>2022</v>
      </c>
      <c r="D3562" s="1">
        <v>16227</v>
      </c>
      <c r="E3562" s="1">
        <v>130</v>
      </c>
      <c r="F3562" s="1">
        <v>45</v>
      </c>
      <c r="G3562" s="1">
        <v>774133</v>
      </c>
      <c r="H3562" s="1">
        <v>0</v>
      </c>
    </row>
    <row r="3563" spans="1:8" x14ac:dyDescent="0.3">
      <c r="A3563" s="1" t="s">
        <v>291</v>
      </c>
      <c r="B3563" s="1" t="s">
        <v>292</v>
      </c>
      <c r="C3563" s="1">
        <v>2022</v>
      </c>
      <c r="D3563" s="1">
        <v>41763</v>
      </c>
      <c r="E3563" s="1">
        <v>1231</v>
      </c>
      <c r="F3563" s="1">
        <v>884</v>
      </c>
      <c r="G3563" s="1">
        <v>942917</v>
      </c>
      <c r="H3563" s="1">
        <v>26</v>
      </c>
    </row>
    <row r="3564" spans="1:8" x14ac:dyDescent="0.3">
      <c r="A3564" s="1" t="s">
        <v>293</v>
      </c>
      <c r="B3564" s="1" t="s">
        <v>294</v>
      </c>
      <c r="C3564" s="1">
        <v>2022</v>
      </c>
      <c r="D3564" s="1">
        <v>38425</v>
      </c>
      <c r="E3564" s="1">
        <v>573</v>
      </c>
      <c r="F3564" s="1">
        <v>617</v>
      </c>
      <c r="G3564" s="1">
        <v>669982</v>
      </c>
      <c r="H3564" s="1">
        <v>62</v>
      </c>
    </row>
    <row r="3565" spans="1:8" x14ac:dyDescent="0.3">
      <c r="A3565" s="1" t="s">
        <v>295</v>
      </c>
      <c r="B3565" s="1" t="s">
        <v>296</v>
      </c>
      <c r="C3565" s="1">
        <v>2022</v>
      </c>
      <c r="D3565" s="1">
        <v>22353</v>
      </c>
      <c r="E3565" s="1">
        <v>237</v>
      </c>
      <c r="F3565" s="1">
        <v>84</v>
      </c>
      <c r="G3565" s="1">
        <v>380928</v>
      </c>
      <c r="H3565" s="1">
        <v>0</v>
      </c>
    </row>
    <row r="3566" spans="1:8" x14ac:dyDescent="0.3">
      <c r="A3566" s="1" t="s">
        <v>297</v>
      </c>
      <c r="B3566" s="1" t="s">
        <v>298</v>
      </c>
      <c r="C3566" s="1">
        <v>2022</v>
      </c>
      <c r="D3566" s="1">
        <v>54041</v>
      </c>
      <c r="E3566" s="1">
        <v>1469</v>
      </c>
      <c r="F3566" s="1">
        <v>810</v>
      </c>
      <c r="G3566" s="1">
        <v>1559837</v>
      </c>
      <c r="H3566" s="1">
        <v>14</v>
      </c>
    </row>
    <row r="3567" spans="1:8" x14ac:dyDescent="0.3">
      <c r="A3567" s="1" t="s">
        <v>299</v>
      </c>
      <c r="B3567" s="1" t="s">
        <v>300</v>
      </c>
      <c r="C3567" s="1">
        <v>2022</v>
      </c>
      <c r="D3567" s="1">
        <v>12451</v>
      </c>
      <c r="E3567" s="1">
        <v>110</v>
      </c>
      <c r="F3567" s="1">
        <v>33</v>
      </c>
      <c r="G3567" s="1">
        <v>84998</v>
      </c>
      <c r="H3567" s="1">
        <v>0</v>
      </c>
    </row>
    <row r="3568" spans="1:8" x14ac:dyDescent="0.3">
      <c r="A3568" s="1" t="s">
        <v>301</v>
      </c>
      <c r="B3568" s="1" t="s">
        <v>302</v>
      </c>
      <c r="C3568" s="1">
        <v>2022</v>
      </c>
      <c r="D3568" s="1">
        <v>11453</v>
      </c>
      <c r="E3568" s="1">
        <v>153</v>
      </c>
      <c r="F3568" s="1">
        <v>45</v>
      </c>
      <c r="G3568" s="1">
        <v>121439</v>
      </c>
      <c r="H3568" s="1">
        <v>14</v>
      </c>
    </row>
    <row r="3569" spans="1:8" x14ac:dyDescent="0.3">
      <c r="A3569" s="1" t="s">
        <v>303</v>
      </c>
      <c r="B3569" s="1" t="s">
        <v>304</v>
      </c>
      <c r="C3569" s="1">
        <v>2022</v>
      </c>
      <c r="D3569" s="1">
        <v>15512</v>
      </c>
      <c r="E3569" s="1">
        <v>190</v>
      </c>
      <c r="F3569" s="1">
        <v>32</v>
      </c>
      <c r="G3569" s="1">
        <v>693356</v>
      </c>
      <c r="H3569" s="1">
        <v>0</v>
      </c>
    </row>
    <row r="3570" spans="1:8" x14ac:dyDescent="0.3">
      <c r="A3570" s="1" t="s">
        <v>305</v>
      </c>
      <c r="B3570" s="1" t="s">
        <v>306</v>
      </c>
      <c r="C3570" s="1">
        <v>2022</v>
      </c>
      <c r="D3570" s="1">
        <v>61560</v>
      </c>
      <c r="E3570" s="1">
        <v>1442</v>
      </c>
      <c r="F3570" s="1">
        <v>584</v>
      </c>
      <c r="G3570" s="1">
        <v>967287</v>
      </c>
      <c r="H3570" s="1">
        <v>32</v>
      </c>
    </row>
    <row r="3571" spans="1:8" x14ac:dyDescent="0.3">
      <c r="A3571" s="1" t="s">
        <v>307</v>
      </c>
      <c r="B3571" s="1" t="s">
        <v>308</v>
      </c>
      <c r="C3571" s="1">
        <v>2022</v>
      </c>
      <c r="D3571" s="1">
        <v>27013</v>
      </c>
      <c r="E3571" s="1">
        <v>421</v>
      </c>
      <c r="F3571" s="1">
        <v>336</v>
      </c>
      <c r="G3571" s="1">
        <v>1119281</v>
      </c>
      <c r="H3571" s="1">
        <v>5</v>
      </c>
    </row>
    <row r="3572" spans="1:8" x14ac:dyDescent="0.3">
      <c r="A3572" s="1" t="s">
        <v>309</v>
      </c>
      <c r="B3572" s="1" t="s">
        <v>310</v>
      </c>
      <c r="C3572" s="1">
        <v>2022</v>
      </c>
      <c r="D3572" s="1">
        <v>33180</v>
      </c>
      <c r="E3572" s="1">
        <v>704</v>
      </c>
      <c r="F3572" s="1">
        <v>557</v>
      </c>
      <c r="G3572" s="1">
        <v>800814</v>
      </c>
      <c r="H3572" s="1">
        <v>459</v>
      </c>
    </row>
    <row r="3573" spans="1:8" x14ac:dyDescent="0.3">
      <c r="A3573" s="1" t="s">
        <v>311</v>
      </c>
      <c r="B3573" s="1" t="s">
        <v>312</v>
      </c>
      <c r="C3573" s="1">
        <v>2022</v>
      </c>
      <c r="D3573" s="1">
        <v>25639</v>
      </c>
      <c r="E3573" s="1">
        <v>469</v>
      </c>
      <c r="F3573" s="1">
        <v>12</v>
      </c>
      <c r="G3573" s="1">
        <v>61695</v>
      </c>
      <c r="H3573" s="1">
        <v>0</v>
      </c>
    </row>
    <row r="3574" spans="1:8" x14ac:dyDescent="0.3">
      <c r="A3574" s="1" t="s">
        <v>313</v>
      </c>
      <c r="B3574" s="1" t="s">
        <v>314</v>
      </c>
      <c r="C3574" s="1">
        <v>2022</v>
      </c>
      <c r="D3574" s="1">
        <v>25232</v>
      </c>
      <c r="E3574" s="1">
        <v>406</v>
      </c>
      <c r="F3574" s="1">
        <v>132</v>
      </c>
      <c r="G3574" s="1">
        <v>648846</v>
      </c>
      <c r="H3574" s="1">
        <v>4</v>
      </c>
    </row>
    <row r="3575" spans="1:8" x14ac:dyDescent="0.3">
      <c r="A3575" s="1" t="s">
        <v>315</v>
      </c>
      <c r="B3575" s="1" t="s">
        <v>316</v>
      </c>
      <c r="C3575" s="1">
        <v>2022</v>
      </c>
      <c r="D3575" s="1">
        <v>50002</v>
      </c>
      <c r="E3575" s="1">
        <v>671</v>
      </c>
      <c r="F3575" s="1">
        <v>343</v>
      </c>
      <c r="G3575" s="1">
        <v>1188551</v>
      </c>
      <c r="H3575" s="1">
        <v>16</v>
      </c>
    </row>
    <row r="3576" spans="1:8" x14ac:dyDescent="0.3">
      <c r="A3576" s="1" t="s">
        <v>317</v>
      </c>
      <c r="B3576" s="1" t="s">
        <v>318</v>
      </c>
      <c r="C3576" s="1">
        <v>2022</v>
      </c>
      <c r="D3576" s="1">
        <v>91417</v>
      </c>
      <c r="E3576" s="1">
        <v>2937</v>
      </c>
      <c r="F3576" s="1">
        <v>1733</v>
      </c>
      <c r="G3576" s="1">
        <v>1897391</v>
      </c>
      <c r="H3576" s="1">
        <v>34</v>
      </c>
    </row>
    <row r="3577" spans="1:8" x14ac:dyDescent="0.3">
      <c r="A3577" s="1" t="s">
        <v>319</v>
      </c>
      <c r="B3577" s="1" t="s">
        <v>320</v>
      </c>
      <c r="C3577" s="1">
        <v>2022</v>
      </c>
      <c r="D3577" s="1">
        <v>36098</v>
      </c>
      <c r="E3577" s="1">
        <v>463</v>
      </c>
      <c r="F3577" s="1">
        <v>61</v>
      </c>
      <c r="G3577" s="1">
        <v>286272</v>
      </c>
      <c r="H3577" s="1">
        <v>7</v>
      </c>
    </row>
    <row r="3578" spans="1:8" x14ac:dyDescent="0.3">
      <c r="A3578" s="1" t="s">
        <v>321</v>
      </c>
      <c r="B3578" s="1" t="s">
        <v>322</v>
      </c>
      <c r="C3578" s="1">
        <v>2022</v>
      </c>
      <c r="D3578" s="1">
        <v>31878</v>
      </c>
      <c r="E3578" s="1">
        <v>511</v>
      </c>
      <c r="F3578" s="1">
        <v>91</v>
      </c>
      <c r="G3578" s="1">
        <v>894733</v>
      </c>
      <c r="H3578" s="1">
        <v>46</v>
      </c>
    </row>
    <row r="3579" spans="1:8" x14ac:dyDescent="0.3">
      <c r="A3579" s="1" t="s">
        <v>323</v>
      </c>
      <c r="B3579" s="1" t="s">
        <v>324</v>
      </c>
      <c r="C3579" s="1">
        <v>2022</v>
      </c>
      <c r="D3579" s="1">
        <v>76888</v>
      </c>
      <c r="E3579" s="1">
        <v>2330</v>
      </c>
      <c r="F3579" s="1">
        <v>1587</v>
      </c>
      <c r="G3579" s="1">
        <v>1690893</v>
      </c>
      <c r="H3579" s="1">
        <v>249</v>
      </c>
    </row>
    <row r="3580" spans="1:8" x14ac:dyDescent="0.3">
      <c r="A3580" s="1" t="s">
        <v>325</v>
      </c>
      <c r="B3580" s="1" t="s">
        <v>326</v>
      </c>
      <c r="C3580" s="1">
        <v>2022</v>
      </c>
      <c r="D3580" s="1">
        <v>17012</v>
      </c>
      <c r="E3580" s="1">
        <v>304</v>
      </c>
      <c r="F3580" s="1">
        <v>247</v>
      </c>
      <c r="G3580" s="1">
        <v>420130</v>
      </c>
      <c r="H3580" s="1">
        <v>4</v>
      </c>
    </row>
    <row r="3581" spans="1:8" x14ac:dyDescent="0.3">
      <c r="A3581" s="1" t="s">
        <v>327</v>
      </c>
      <c r="B3581" s="1" t="s">
        <v>328</v>
      </c>
      <c r="C3581" s="1">
        <v>2022</v>
      </c>
      <c r="D3581" s="1">
        <v>14396</v>
      </c>
      <c r="E3581" s="1">
        <v>130</v>
      </c>
      <c r="F3581" s="1">
        <v>12</v>
      </c>
      <c r="G3581" s="1">
        <v>48087</v>
      </c>
      <c r="H3581" s="1">
        <v>12</v>
      </c>
    </row>
    <row r="3582" spans="1:8" x14ac:dyDescent="0.3">
      <c r="A3582" s="1" t="s">
        <v>329</v>
      </c>
      <c r="B3582" s="1" t="s">
        <v>330</v>
      </c>
      <c r="C3582" s="1">
        <v>2022</v>
      </c>
      <c r="D3582" s="1">
        <v>18940</v>
      </c>
      <c r="E3582" s="1">
        <v>250</v>
      </c>
      <c r="F3582" s="1">
        <v>135</v>
      </c>
      <c r="G3582" s="1">
        <v>1562117</v>
      </c>
      <c r="H3582" s="1">
        <v>0</v>
      </c>
    </row>
    <row r="3583" spans="1:8" x14ac:dyDescent="0.3">
      <c r="A3583" s="1" t="s">
        <v>331</v>
      </c>
      <c r="B3583" s="1" t="s">
        <v>332</v>
      </c>
      <c r="C3583" s="1">
        <v>2022</v>
      </c>
      <c r="D3583" s="1">
        <v>48479</v>
      </c>
      <c r="E3583" s="1">
        <v>830</v>
      </c>
      <c r="F3583" s="1">
        <v>28</v>
      </c>
      <c r="G3583" s="1">
        <v>819717</v>
      </c>
      <c r="H3583" s="1">
        <v>2</v>
      </c>
    </row>
    <row r="3584" spans="1:8" x14ac:dyDescent="0.3">
      <c r="A3584" s="1" t="s">
        <v>333</v>
      </c>
      <c r="B3584" s="1" t="s">
        <v>334</v>
      </c>
      <c r="C3584" s="1">
        <v>2022</v>
      </c>
      <c r="D3584" s="1">
        <v>27287</v>
      </c>
      <c r="E3584" s="1">
        <v>423</v>
      </c>
      <c r="F3584" s="1">
        <v>7</v>
      </c>
      <c r="G3584" s="1">
        <v>32070</v>
      </c>
      <c r="H3584" s="1">
        <v>0</v>
      </c>
    </row>
    <row r="3585" spans="1:8" x14ac:dyDescent="0.3">
      <c r="A3585" s="1" t="s">
        <v>335</v>
      </c>
      <c r="B3585" s="1" t="s">
        <v>336</v>
      </c>
      <c r="C3585" s="1">
        <v>2022</v>
      </c>
      <c r="D3585" s="1">
        <v>17542</v>
      </c>
      <c r="E3585" s="1">
        <v>298</v>
      </c>
      <c r="F3585" s="1">
        <v>142</v>
      </c>
      <c r="G3585" s="1">
        <v>943640</v>
      </c>
      <c r="H3585" s="1">
        <v>2</v>
      </c>
    </row>
    <row r="3586" spans="1:8" x14ac:dyDescent="0.3">
      <c r="A3586" s="1" t="s">
        <v>337</v>
      </c>
      <c r="B3586" s="1" t="s">
        <v>338</v>
      </c>
      <c r="C3586" s="1">
        <v>2022</v>
      </c>
      <c r="D3586" s="1">
        <v>30722</v>
      </c>
      <c r="E3586" s="1">
        <v>432</v>
      </c>
      <c r="F3586" s="1">
        <v>222</v>
      </c>
      <c r="G3586" s="1">
        <v>1346558</v>
      </c>
      <c r="H3586" s="1">
        <v>2</v>
      </c>
    </row>
    <row r="3587" spans="1:8" x14ac:dyDescent="0.3">
      <c r="A3587" s="1" t="s">
        <v>339</v>
      </c>
      <c r="B3587" s="1" t="s">
        <v>340</v>
      </c>
      <c r="C3587" s="1">
        <v>2022</v>
      </c>
      <c r="D3587" s="1">
        <v>20558</v>
      </c>
      <c r="E3587" s="1">
        <v>205</v>
      </c>
      <c r="F3587" s="1">
        <v>175</v>
      </c>
      <c r="G3587" s="1">
        <v>225572</v>
      </c>
      <c r="H3587" s="1">
        <v>5</v>
      </c>
    </row>
    <row r="3588" spans="1:8" x14ac:dyDescent="0.3">
      <c r="A3588" s="1" t="s">
        <v>341</v>
      </c>
      <c r="B3588" s="1" t="s">
        <v>342</v>
      </c>
      <c r="C3588" s="1">
        <v>2022</v>
      </c>
      <c r="D3588" s="1">
        <v>13278</v>
      </c>
      <c r="E3588" s="1">
        <v>255</v>
      </c>
      <c r="F3588" s="1">
        <v>67</v>
      </c>
      <c r="G3588" s="1">
        <v>135048</v>
      </c>
      <c r="H3588" s="1">
        <v>0</v>
      </c>
    </row>
    <row r="3589" spans="1:8" x14ac:dyDescent="0.3">
      <c r="A3589" s="1" t="s">
        <v>343</v>
      </c>
      <c r="B3589" s="1" t="s">
        <v>344</v>
      </c>
      <c r="C3589" s="1">
        <v>2022</v>
      </c>
      <c r="D3589" s="1">
        <v>52191</v>
      </c>
      <c r="E3589" s="1">
        <v>1737</v>
      </c>
      <c r="F3589" s="1">
        <v>1223</v>
      </c>
      <c r="G3589" s="1">
        <v>208277</v>
      </c>
      <c r="H3589" s="1">
        <v>33</v>
      </c>
    </row>
    <row r="3590" spans="1:8" x14ac:dyDescent="0.3">
      <c r="A3590" s="1" t="s">
        <v>345</v>
      </c>
      <c r="B3590" s="1" t="s">
        <v>346</v>
      </c>
      <c r="C3590" s="1">
        <v>2022</v>
      </c>
      <c r="D3590" s="1">
        <v>24655</v>
      </c>
      <c r="E3590" s="1">
        <v>316</v>
      </c>
      <c r="F3590" s="1">
        <v>88</v>
      </c>
      <c r="G3590" s="1">
        <v>868524</v>
      </c>
      <c r="H3590" s="1">
        <v>8</v>
      </c>
    </row>
    <row r="3591" spans="1:8" x14ac:dyDescent="0.3">
      <c r="A3591" s="1" t="s">
        <v>347</v>
      </c>
      <c r="B3591" s="1" t="s">
        <v>348</v>
      </c>
      <c r="C3591" s="1">
        <v>2022</v>
      </c>
      <c r="D3591" s="1">
        <v>102030</v>
      </c>
      <c r="E3591" s="1">
        <v>3111</v>
      </c>
      <c r="F3591" s="1">
        <v>1417</v>
      </c>
      <c r="G3591" s="1">
        <v>2286238</v>
      </c>
      <c r="H3591" s="1">
        <v>61</v>
      </c>
    </row>
    <row r="3592" spans="1:8" x14ac:dyDescent="0.3">
      <c r="A3592" s="1" t="s">
        <v>349</v>
      </c>
      <c r="B3592" s="1" t="s">
        <v>350</v>
      </c>
      <c r="C3592" s="1">
        <v>2022</v>
      </c>
      <c r="D3592" s="1">
        <v>25411</v>
      </c>
      <c r="E3592" s="1">
        <v>658</v>
      </c>
      <c r="F3592" s="1">
        <v>397</v>
      </c>
      <c r="G3592" s="1">
        <v>405181</v>
      </c>
      <c r="H3592" s="1">
        <v>16</v>
      </c>
    </row>
    <row r="3593" spans="1:8" x14ac:dyDescent="0.3">
      <c r="A3593" s="1" t="s">
        <v>351</v>
      </c>
      <c r="B3593" s="1" t="s">
        <v>352</v>
      </c>
      <c r="C3593" s="1">
        <v>2022</v>
      </c>
      <c r="D3593" s="1">
        <v>11976</v>
      </c>
      <c r="E3593" s="1">
        <v>118</v>
      </c>
      <c r="F3593" s="1">
        <v>10</v>
      </c>
      <c r="G3593" s="1">
        <v>196210</v>
      </c>
      <c r="H3593" s="1">
        <v>0</v>
      </c>
    </row>
    <row r="3594" spans="1:8" x14ac:dyDescent="0.3">
      <c r="A3594" s="1" t="s">
        <v>353</v>
      </c>
      <c r="B3594" s="1" t="s">
        <v>354</v>
      </c>
      <c r="C3594" s="1">
        <v>2022</v>
      </c>
      <c r="D3594" s="1">
        <v>12117</v>
      </c>
      <c r="E3594" s="1">
        <v>51</v>
      </c>
      <c r="F3594" s="1">
        <v>29</v>
      </c>
      <c r="G3594" s="1">
        <v>289523</v>
      </c>
      <c r="H3594" s="1">
        <v>0</v>
      </c>
    </row>
    <row r="3595" spans="1:8" x14ac:dyDescent="0.3">
      <c r="A3595" s="1" t="s">
        <v>355</v>
      </c>
      <c r="B3595" s="1" t="s">
        <v>356</v>
      </c>
      <c r="C3595" s="1">
        <v>2022</v>
      </c>
      <c r="D3595" s="1">
        <v>32949</v>
      </c>
      <c r="E3595" s="1">
        <v>430</v>
      </c>
      <c r="F3595" s="1">
        <v>426</v>
      </c>
      <c r="G3595" s="1">
        <v>1855090</v>
      </c>
      <c r="H3595" s="1">
        <v>0</v>
      </c>
    </row>
    <row r="3596" spans="1:8" x14ac:dyDescent="0.3">
      <c r="A3596" s="1" t="s">
        <v>357</v>
      </c>
      <c r="B3596" s="1" t="s">
        <v>358</v>
      </c>
      <c r="C3596" s="1">
        <v>2022</v>
      </c>
      <c r="D3596" s="1">
        <v>20578</v>
      </c>
      <c r="E3596" s="1">
        <v>408</v>
      </c>
      <c r="F3596" s="1">
        <v>197</v>
      </c>
      <c r="G3596" s="1">
        <v>1397248</v>
      </c>
      <c r="H3596" s="1">
        <v>132</v>
      </c>
    </row>
    <row r="3597" spans="1:8" x14ac:dyDescent="0.3">
      <c r="A3597" s="1" t="s">
        <v>359</v>
      </c>
      <c r="B3597" s="1" t="s">
        <v>360</v>
      </c>
      <c r="C3597" s="1">
        <v>2022</v>
      </c>
      <c r="D3597" s="1">
        <v>53743</v>
      </c>
      <c r="E3597" s="1">
        <v>414</v>
      </c>
      <c r="F3597" s="1">
        <v>888</v>
      </c>
      <c r="G3597" s="1">
        <v>6543562</v>
      </c>
      <c r="H3597" s="1">
        <v>0</v>
      </c>
    </row>
    <row r="3598" spans="1:8" x14ac:dyDescent="0.3">
      <c r="A3598" s="1" t="s">
        <v>361</v>
      </c>
      <c r="B3598" s="1" t="s">
        <v>362</v>
      </c>
      <c r="C3598" s="1">
        <v>2022</v>
      </c>
      <c r="D3598" s="1">
        <v>88509</v>
      </c>
      <c r="E3598" s="1">
        <v>999</v>
      </c>
      <c r="F3598" s="1">
        <v>1158</v>
      </c>
      <c r="G3598" s="1">
        <v>5749999</v>
      </c>
      <c r="H3598" s="1">
        <v>0</v>
      </c>
    </row>
    <row r="3599" spans="1:8" x14ac:dyDescent="0.3">
      <c r="A3599" s="1" t="s">
        <v>363</v>
      </c>
      <c r="B3599" s="1" t="s">
        <v>364</v>
      </c>
      <c r="C3599" s="1">
        <v>2022</v>
      </c>
      <c r="D3599" s="1">
        <v>35814</v>
      </c>
      <c r="E3599" s="1">
        <v>642</v>
      </c>
      <c r="F3599" s="1">
        <v>859</v>
      </c>
      <c r="G3599" s="1">
        <v>2864584</v>
      </c>
      <c r="H3599" s="1">
        <v>0</v>
      </c>
    </row>
    <row r="3600" spans="1:8" x14ac:dyDescent="0.3">
      <c r="A3600" s="1" t="s">
        <v>365</v>
      </c>
      <c r="B3600" s="1" t="s">
        <v>366</v>
      </c>
      <c r="C3600" s="1">
        <v>2022</v>
      </c>
      <c r="D3600" s="1">
        <v>1061910</v>
      </c>
      <c r="E3600" s="1">
        <v>15465</v>
      </c>
      <c r="F3600" s="1">
        <v>22754</v>
      </c>
      <c r="G3600" s="1">
        <v>29572270</v>
      </c>
      <c r="H3600" s="1">
        <v>2871</v>
      </c>
    </row>
    <row r="3601" spans="1:8" x14ac:dyDescent="0.3">
      <c r="A3601" s="1" t="s">
        <v>367</v>
      </c>
      <c r="B3601" s="1" t="s">
        <v>242</v>
      </c>
      <c r="C3601" s="1">
        <v>2022</v>
      </c>
      <c r="D3601" s="1">
        <v>34152</v>
      </c>
      <c r="E3601" s="1">
        <v>352</v>
      </c>
      <c r="F3601" s="1">
        <v>552</v>
      </c>
      <c r="G3601" s="1">
        <v>2048268</v>
      </c>
      <c r="H3601" s="1">
        <v>97</v>
      </c>
    </row>
    <row r="3602" spans="1:8" x14ac:dyDescent="0.3">
      <c r="A3602" s="1" t="s">
        <v>368</v>
      </c>
      <c r="B3602" s="1" t="s">
        <v>369</v>
      </c>
      <c r="C3602" s="1">
        <v>2022</v>
      </c>
      <c r="D3602" s="1">
        <v>16952</v>
      </c>
      <c r="E3602" s="1">
        <v>67</v>
      </c>
      <c r="F3602" s="1">
        <v>117</v>
      </c>
      <c r="G3602" s="1">
        <v>455219</v>
      </c>
      <c r="H3602" s="1">
        <v>0</v>
      </c>
    </row>
    <row r="3603" spans="1:8" x14ac:dyDescent="0.3">
      <c r="A3603" s="1" t="s">
        <v>370</v>
      </c>
      <c r="B3603" s="1" t="s">
        <v>371</v>
      </c>
      <c r="C3603" s="1">
        <v>2022</v>
      </c>
      <c r="D3603" s="1">
        <v>36226</v>
      </c>
      <c r="E3603" s="1">
        <v>142</v>
      </c>
      <c r="F3603" s="1">
        <v>289</v>
      </c>
      <c r="G3603" s="1">
        <v>1885202</v>
      </c>
      <c r="H3603" s="1">
        <v>36</v>
      </c>
    </row>
    <row r="3604" spans="1:8" x14ac:dyDescent="0.3">
      <c r="A3604" s="1" t="s">
        <v>372</v>
      </c>
      <c r="B3604" s="1" t="s">
        <v>373</v>
      </c>
      <c r="C3604" s="1">
        <v>2022</v>
      </c>
      <c r="D3604" s="1">
        <v>23314</v>
      </c>
      <c r="E3604" s="1">
        <v>103</v>
      </c>
      <c r="F3604" s="1">
        <v>175</v>
      </c>
      <c r="G3604" s="1">
        <v>1219285</v>
      </c>
      <c r="H3604" s="1">
        <v>6</v>
      </c>
    </row>
    <row r="3605" spans="1:8" x14ac:dyDescent="0.3">
      <c r="A3605" s="1" t="s">
        <v>374</v>
      </c>
      <c r="B3605" s="1" t="s">
        <v>375</v>
      </c>
      <c r="C3605" s="1">
        <v>2022</v>
      </c>
      <c r="D3605" s="1">
        <v>21577</v>
      </c>
      <c r="E3605" s="1">
        <v>210</v>
      </c>
      <c r="F3605" s="1">
        <v>298</v>
      </c>
      <c r="G3605" s="1">
        <v>645768</v>
      </c>
      <c r="H3605" s="1">
        <v>29</v>
      </c>
    </row>
    <row r="3606" spans="1:8" x14ac:dyDescent="0.3">
      <c r="A3606" s="1" t="s">
        <v>376</v>
      </c>
      <c r="B3606" s="1" t="s">
        <v>377</v>
      </c>
      <c r="C3606" s="1">
        <v>2022</v>
      </c>
      <c r="D3606" s="1">
        <v>16533</v>
      </c>
      <c r="E3606" s="1">
        <v>197</v>
      </c>
      <c r="F3606" s="1">
        <v>201</v>
      </c>
      <c r="G3606" s="1">
        <v>769022</v>
      </c>
      <c r="H3606" s="1">
        <v>4</v>
      </c>
    </row>
    <row r="3607" spans="1:8" x14ac:dyDescent="0.3">
      <c r="A3607" s="1" t="s">
        <v>378</v>
      </c>
      <c r="B3607" s="1" t="s">
        <v>379</v>
      </c>
      <c r="C3607" s="1">
        <v>2022</v>
      </c>
      <c r="D3607" s="1">
        <v>49711</v>
      </c>
      <c r="E3607" s="1">
        <v>527</v>
      </c>
      <c r="F3607" s="1">
        <v>653</v>
      </c>
      <c r="G3607" s="1">
        <v>1391781</v>
      </c>
      <c r="H3607" s="1">
        <v>8</v>
      </c>
    </row>
    <row r="3608" spans="1:8" x14ac:dyDescent="0.3">
      <c r="A3608" s="1" t="s">
        <v>380</v>
      </c>
      <c r="B3608" s="1" t="s">
        <v>381</v>
      </c>
      <c r="C3608" s="1">
        <v>2022</v>
      </c>
      <c r="D3608" s="1">
        <v>21236</v>
      </c>
      <c r="E3608" s="1">
        <v>107</v>
      </c>
      <c r="F3608" s="1">
        <v>76</v>
      </c>
      <c r="G3608" s="1">
        <v>440918</v>
      </c>
      <c r="H3608" s="1">
        <v>2</v>
      </c>
    </row>
    <row r="3609" spans="1:8" x14ac:dyDescent="0.3">
      <c r="A3609" s="1" t="s">
        <v>382</v>
      </c>
      <c r="B3609" s="1" t="s">
        <v>140</v>
      </c>
      <c r="C3609" s="1">
        <v>2022</v>
      </c>
      <c r="D3609" s="1">
        <v>40921</v>
      </c>
      <c r="E3609" s="1">
        <v>509</v>
      </c>
      <c r="F3609" s="1">
        <v>185</v>
      </c>
      <c r="G3609" s="1">
        <v>504975</v>
      </c>
      <c r="H3609" s="1">
        <v>2</v>
      </c>
    </row>
    <row r="3610" spans="1:8" x14ac:dyDescent="0.3">
      <c r="A3610" s="1" t="s">
        <v>383</v>
      </c>
      <c r="B3610" s="1" t="s">
        <v>384</v>
      </c>
      <c r="C3610" s="1">
        <v>2022</v>
      </c>
      <c r="D3610" s="1">
        <v>20171</v>
      </c>
      <c r="E3610" s="1">
        <v>57</v>
      </c>
      <c r="F3610" s="1">
        <v>147</v>
      </c>
      <c r="G3610" s="1">
        <v>1152062</v>
      </c>
      <c r="H3610" s="1">
        <v>122</v>
      </c>
    </row>
    <row r="3611" spans="1:8" x14ac:dyDescent="0.3">
      <c r="A3611" s="1" t="s">
        <v>385</v>
      </c>
      <c r="B3611" s="1" t="s">
        <v>386</v>
      </c>
      <c r="C3611" s="1">
        <v>2022</v>
      </c>
      <c r="D3611" s="1">
        <v>24299</v>
      </c>
      <c r="E3611" s="1">
        <v>151</v>
      </c>
      <c r="F3611" s="1">
        <v>78</v>
      </c>
      <c r="G3611" s="1">
        <v>1013351</v>
      </c>
      <c r="H3611" s="1">
        <v>31</v>
      </c>
    </row>
    <row r="3612" spans="1:8" x14ac:dyDescent="0.3">
      <c r="A3612" s="1" t="s">
        <v>387</v>
      </c>
      <c r="B3612" s="1" t="s">
        <v>388</v>
      </c>
      <c r="C3612" s="1">
        <v>2022</v>
      </c>
      <c r="D3612" s="1">
        <v>60564</v>
      </c>
      <c r="E3612" s="1">
        <v>874</v>
      </c>
      <c r="F3612" s="1">
        <v>1682</v>
      </c>
      <c r="G3612" s="1">
        <v>2330205</v>
      </c>
      <c r="H3612" s="1">
        <v>136</v>
      </c>
    </row>
    <row r="3613" spans="1:8" x14ac:dyDescent="0.3">
      <c r="A3613" s="1" t="s">
        <v>389</v>
      </c>
      <c r="B3613" s="1" t="s">
        <v>390</v>
      </c>
      <c r="C3613" s="1">
        <v>2022</v>
      </c>
      <c r="D3613" s="1">
        <v>7410</v>
      </c>
      <c r="E3613" s="1">
        <v>55</v>
      </c>
      <c r="F3613" s="1">
        <v>37</v>
      </c>
      <c r="G3613" s="1">
        <v>739323</v>
      </c>
      <c r="H3613" s="1">
        <v>0</v>
      </c>
    </row>
    <row r="3614" spans="1:8" x14ac:dyDescent="0.3">
      <c r="A3614" s="1" t="s">
        <v>391</v>
      </c>
      <c r="B3614" s="1" t="s">
        <v>392</v>
      </c>
      <c r="C3614" s="1">
        <v>2022</v>
      </c>
      <c r="D3614" s="1">
        <v>19115</v>
      </c>
      <c r="E3614" s="1">
        <v>229</v>
      </c>
      <c r="F3614" s="1">
        <v>30</v>
      </c>
      <c r="G3614" s="1">
        <v>133205</v>
      </c>
      <c r="H3614" s="1">
        <v>28</v>
      </c>
    </row>
    <row r="3615" spans="1:8" x14ac:dyDescent="0.3">
      <c r="A3615" s="1" t="s">
        <v>393</v>
      </c>
      <c r="B3615" s="1" t="s">
        <v>394</v>
      </c>
      <c r="C3615" s="1">
        <v>2022</v>
      </c>
      <c r="D3615" s="1">
        <v>41393</v>
      </c>
      <c r="E3615" s="1">
        <v>888</v>
      </c>
      <c r="F3615" s="1">
        <v>307</v>
      </c>
      <c r="G3615" s="1">
        <v>1194216</v>
      </c>
      <c r="H3615" s="1">
        <v>2</v>
      </c>
    </row>
    <row r="3616" spans="1:8" x14ac:dyDescent="0.3">
      <c r="A3616" s="1" t="s">
        <v>395</v>
      </c>
      <c r="B3616" s="1" t="s">
        <v>396</v>
      </c>
      <c r="C3616" s="1">
        <v>2022</v>
      </c>
      <c r="D3616" s="1">
        <v>37247</v>
      </c>
      <c r="E3616" s="1">
        <v>371</v>
      </c>
      <c r="F3616" s="1">
        <v>235</v>
      </c>
      <c r="G3616" s="1">
        <v>2168998</v>
      </c>
      <c r="H3616" s="1">
        <v>6</v>
      </c>
    </row>
    <row r="3617" spans="1:8" x14ac:dyDescent="0.3">
      <c r="A3617" s="1" t="s">
        <v>397</v>
      </c>
      <c r="B3617" s="1" t="s">
        <v>398</v>
      </c>
      <c r="C3617" s="1">
        <v>2022</v>
      </c>
      <c r="D3617" s="1">
        <v>34358</v>
      </c>
      <c r="E3617" s="1">
        <v>189</v>
      </c>
      <c r="F3617" s="1">
        <v>140</v>
      </c>
      <c r="G3617" s="1">
        <v>1650439</v>
      </c>
      <c r="H3617" s="1">
        <v>0</v>
      </c>
    </row>
    <row r="3618" spans="1:8" x14ac:dyDescent="0.3">
      <c r="A3618" s="1" t="s">
        <v>399</v>
      </c>
      <c r="B3618" s="1" t="s">
        <v>400</v>
      </c>
      <c r="C3618" s="1">
        <v>2022</v>
      </c>
      <c r="D3618" s="1">
        <v>18217</v>
      </c>
      <c r="E3618" s="1">
        <v>235</v>
      </c>
      <c r="F3618" s="1">
        <v>72</v>
      </c>
      <c r="G3618" s="1">
        <v>214776</v>
      </c>
      <c r="H3618" s="1">
        <v>4</v>
      </c>
    </row>
    <row r="3619" spans="1:8" x14ac:dyDescent="0.3">
      <c r="A3619" s="1" t="s">
        <v>401</v>
      </c>
      <c r="B3619" s="1" t="s">
        <v>167</v>
      </c>
      <c r="C3619" s="1">
        <v>2022</v>
      </c>
      <c r="D3619" s="1">
        <v>33012</v>
      </c>
      <c r="E3619" s="1">
        <v>327</v>
      </c>
      <c r="F3619" s="1">
        <v>17</v>
      </c>
      <c r="G3619" s="1">
        <v>240895</v>
      </c>
      <c r="H3619" s="1">
        <v>2</v>
      </c>
    </row>
    <row r="3620" spans="1:8" x14ac:dyDescent="0.3">
      <c r="A3620" s="1" t="s">
        <v>402</v>
      </c>
      <c r="B3620" s="1" t="s">
        <v>403</v>
      </c>
      <c r="C3620" s="1">
        <v>2022</v>
      </c>
      <c r="D3620" s="1">
        <v>20701</v>
      </c>
      <c r="E3620" s="1">
        <v>177</v>
      </c>
      <c r="F3620" s="1">
        <v>69</v>
      </c>
      <c r="G3620" s="1">
        <v>595104</v>
      </c>
      <c r="H3620" s="1">
        <v>2</v>
      </c>
    </row>
    <row r="3621" spans="1:8" x14ac:dyDescent="0.3">
      <c r="A3621" s="1" t="s">
        <v>404</v>
      </c>
      <c r="B3621" s="1" t="s">
        <v>405</v>
      </c>
      <c r="C3621" s="1">
        <v>2022</v>
      </c>
      <c r="D3621" s="1">
        <v>17465</v>
      </c>
      <c r="E3621" s="1">
        <v>169</v>
      </c>
      <c r="F3621" s="1">
        <v>32</v>
      </c>
      <c r="G3621" s="1">
        <v>252083</v>
      </c>
      <c r="H3621" s="1">
        <v>0</v>
      </c>
    </row>
    <row r="3622" spans="1:8" x14ac:dyDescent="0.3">
      <c r="A3622" s="1" t="s">
        <v>406</v>
      </c>
      <c r="B3622" s="1" t="s">
        <v>407</v>
      </c>
      <c r="C3622" s="1">
        <v>2022</v>
      </c>
      <c r="D3622" s="1">
        <v>25575</v>
      </c>
      <c r="E3622" s="1">
        <v>482</v>
      </c>
      <c r="F3622" s="1">
        <v>204</v>
      </c>
      <c r="G3622" s="1">
        <v>314257</v>
      </c>
      <c r="H3622" s="1">
        <v>28</v>
      </c>
    </row>
    <row r="3623" spans="1:8" x14ac:dyDescent="0.3">
      <c r="A3623" s="1" t="s">
        <v>408</v>
      </c>
      <c r="B3623" s="1" t="s">
        <v>409</v>
      </c>
      <c r="C3623" s="1">
        <v>2022</v>
      </c>
      <c r="D3623" s="1">
        <v>44846</v>
      </c>
      <c r="E3623" s="1">
        <v>665</v>
      </c>
      <c r="F3623" s="1">
        <v>328</v>
      </c>
      <c r="G3623" s="1">
        <v>1224103</v>
      </c>
      <c r="H3623" s="1">
        <v>0</v>
      </c>
    </row>
    <row r="3624" spans="1:8" x14ac:dyDescent="0.3">
      <c r="A3624" s="1" t="s">
        <v>410</v>
      </c>
      <c r="B3624" s="1" t="s">
        <v>411</v>
      </c>
      <c r="C3624" s="1">
        <v>2022</v>
      </c>
      <c r="D3624" s="1">
        <v>20759</v>
      </c>
      <c r="E3624" s="1">
        <v>226</v>
      </c>
      <c r="F3624" s="1">
        <v>26</v>
      </c>
      <c r="G3624" s="1">
        <v>335715</v>
      </c>
      <c r="H3624" s="1">
        <v>0</v>
      </c>
    </row>
    <row r="3625" spans="1:8" x14ac:dyDescent="0.3">
      <c r="A3625" s="1" t="s">
        <v>412</v>
      </c>
      <c r="B3625" s="1" t="s">
        <v>413</v>
      </c>
      <c r="C3625" s="1">
        <v>2022</v>
      </c>
      <c r="D3625" s="1">
        <v>21560</v>
      </c>
      <c r="E3625" s="1">
        <v>241</v>
      </c>
      <c r="F3625" s="1">
        <v>42</v>
      </c>
      <c r="G3625" s="1">
        <v>97349</v>
      </c>
      <c r="H3625" s="1">
        <v>0</v>
      </c>
    </row>
    <row r="3626" spans="1:8" x14ac:dyDescent="0.3">
      <c r="A3626" s="1" t="s">
        <v>414</v>
      </c>
      <c r="B3626" s="1" t="s">
        <v>415</v>
      </c>
      <c r="C3626" s="1">
        <v>2022</v>
      </c>
      <c r="D3626" s="1">
        <v>24407</v>
      </c>
      <c r="E3626" s="1">
        <v>225</v>
      </c>
      <c r="F3626" s="1">
        <v>36</v>
      </c>
      <c r="G3626" s="1">
        <v>326741</v>
      </c>
      <c r="H3626" s="1">
        <v>0</v>
      </c>
    </row>
    <row r="3627" spans="1:8" x14ac:dyDescent="0.3">
      <c r="A3627" s="1" t="s">
        <v>416</v>
      </c>
      <c r="B3627" s="1" t="s">
        <v>417</v>
      </c>
      <c r="C3627" s="1">
        <v>2022</v>
      </c>
      <c r="D3627" s="1">
        <v>21984</v>
      </c>
      <c r="E3627" s="1">
        <v>375</v>
      </c>
      <c r="F3627" s="1">
        <v>54</v>
      </c>
      <c r="G3627" s="1">
        <v>127955</v>
      </c>
      <c r="H3627" s="1">
        <v>0</v>
      </c>
    </row>
    <row r="3628" spans="1:8" x14ac:dyDescent="0.3">
      <c r="A3628" s="1" t="s">
        <v>418</v>
      </c>
      <c r="B3628" s="1" t="s">
        <v>419</v>
      </c>
      <c r="C3628" s="1">
        <v>2022</v>
      </c>
      <c r="D3628" s="1">
        <v>53589</v>
      </c>
      <c r="E3628" s="1">
        <v>1205</v>
      </c>
      <c r="F3628" s="1">
        <v>378</v>
      </c>
      <c r="G3628" s="1">
        <v>210564</v>
      </c>
      <c r="H3628" s="1">
        <v>0</v>
      </c>
    </row>
    <row r="3629" spans="1:8" x14ac:dyDescent="0.3">
      <c r="A3629" s="1" t="s">
        <v>420</v>
      </c>
      <c r="B3629" s="1" t="s">
        <v>421</v>
      </c>
      <c r="C3629" s="1">
        <v>2022</v>
      </c>
      <c r="D3629" s="1">
        <v>30402</v>
      </c>
      <c r="E3629" s="1">
        <v>288</v>
      </c>
      <c r="F3629" s="1">
        <v>150</v>
      </c>
      <c r="G3629" s="1">
        <v>1208194</v>
      </c>
      <c r="H3629" s="1">
        <v>0</v>
      </c>
    </row>
    <row r="3630" spans="1:8" x14ac:dyDescent="0.3">
      <c r="A3630" s="1" t="s">
        <v>422</v>
      </c>
      <c r="B3630" s="1" t="s">
        <v>423</v>
      </c>
      <c r="C3630" s="1">
        <v>2022</v>
      </c>
      <c r="D3630" s="1">
        <v>38049</v>
      </c>
      <c r="E3630" s="1">
        <v>427</v>
      </c>
      <c r="F3630" s="1">
        <v>304</v>
      </c>
      <c r="G3630" s="1">
        <v>374827</v>
      </c>
      <c r="H3630" s="1">
        <v>0</v>
      </c>
    </row>
    <row r="3631" spans="1:8" x14ac:dyDescent="0.3">
      <c r="A3631" s="1" t="s">
        <v>424</v>
      </c>
      <c r="B3631" s="1" t="s">
        <v>425</v>
      </c>
      <c r="C3631" s="1">
        <v>2022</v>
      </c>
      <c r="D3631" s="1">
        <v>18372</v>
      </c>
      <c r="E3631" s="1">
        <v>231</v>
      </c>
      <c r="F3631" s="1">
        <v>31</v>
      </c>
      <c r="G3631" s="1">
        <v>268513</v>
      </c>
      <c r="H3631" s="1">
        <v>0</v>
      </c>
    </row>
    <row r="3632" spans="1:8" x14ac:dyDescent="0.3">
      <c r="A3632" s="1" t="s">
        <v>426</v>
      </c>
      <c r="B3632" s="1" t="s">
        <v>427</v>
      </c>
      <c r="C3632" s="1">
        <v>2022</v>
      </c>
      <c r="D3632" s="1">
        <v>16829</v>
      </c>
      <c r="E3632" s="1">
        <v>175</v>
      </c>
      <c r="F3632" s="1">
        <v>62</v>
      </c>
      <c r="G3632" s="1">
        <v>526443</v>
      </c>
      <c r="H3632" s="1">
        <v>0</v>
      </c>
    </row>
    <row r="3633" spans="1:8" x14ac:dyDescent="0.3">
      <c r="A3633" s="1" t="s">
        <v>428</v>
      </c>
      <c r="B3633" s="1" t="s">
        <v>429</v>
      </c>
      <c r="C3633" s="1">
        <v>2022</v>
      </c>
      <c r="D3633" s="1">
        <v>8720</v>
      </c>
      <c r="E3633" s="1">
        <v>149</v>
      </c>
      <c r="F3633" s="1">
        <v>30</v>
      </c>
      <c r="G3633" s="1">
        <v>203573</v>
      </c>
      <c r="H3633" s="1">
        <v>15</v>
      </c>
    </row>
    <row r="3634" spans="1:8" x14ac:dyDescent="0.3">
      <c r="A3634" s="1" t="s">
        <v>430</v>
      </c>
      <c r="B3634" s="1" t="s">
        <v>431</v>
      </c>
      <c r="C3634" s="1">
        <v>2022</v>
      </c>
      <c r="D3634" s="1">
        <v>18724</v>
      </c>
      <c r="E3634" s="1">
        <v>369</v>
      </c>
      <c r="F3634" s="1">
        <v>220</v>
      </c>
      <c r="G3634" s="1">
        <v>584843</v>
      </c>
      <c r="H3634" s="1">
        <v>0</v>
      </c>
    </row>
    <row r="3635" spans="1:8" x14ac:dyDescent="0.3">
      <c r="A3635" s="1" t="s">
        <v>432</v>
      </c>
      <c r="B3635" s="1" t="s">
        <v>433</v>
      </c>
      <c r="C3635" s="1">
        <v>2022</v>
      </c>
      <c r="D3635" s="1">
        <v>25482</v>
      </c>
      <c r="E3635" s="1">
        <v>244</v>
      </c>
      <c r="F3635" s="1">
        <v>491</v>
      </c>
      <c r="G3635" s="1">
        <v>2666098</v>
      </c>
      <c r="H3635" s="1">
        <v>24</v>
      </c>
    </row>
    <row r="3636" spans="1:8" x14ac:dyDescent="0.3">
      <c r="A3636" s="1" t="s">
        <v>434</v>
      </c>
      <c r="B3636" s="1" t="s">
        <v>435</v>
      </c>
      <c r="C3636" s="1">
        <v>2022</v>
      </c>
      <c r="D3636" s="1">
        <v>96529</v>
      </c>
      <c r="E3636" s="1">
        <v>3134</v>
      </c>
      <c r="F3636" s="1">
        <v>3434</v>
      </c>
      <c r="G3636" s="1">
        <v>6329911</v>
      </c>
      <c r="H3636" s="1">
        <v>0</v>
      </c>
    </row>
    <row r="3637" spans="1:8" x14ac:dyDescent="0.3">
      <c r="A3637" s="1" t="s">
        <v>436</v>
      </c>
      <c r="B3637" s="1" t="s">
        <v>437</v>
      </c>
      <c r="C3637" s="1">
        <v>2022</v>
      </c>
      <c r="D3637" s="1">
        <v>18251</v>
      </c>
      <c r="E3637" s="1">
        <v>139</v>
      </c>
      <c r="F3637" s="1">
        <v>163</v>
      </c>
      <c r="G3637" s="1">
        <v>1681268</v>
      </c>
      <c r="H3637" s="1">
        <v>0</v>
      </c>
    </row>
    <row r="3638" spans="1:8" x14ac:dyDescent="0.3">
      <c r="A3638" s="1" t="s">
        <v>438</v>
      </c>
      <c r="B3638" s="1" t="s">
        <v>439</v>
      </c>
      <c r="C3638" s="1">
        <v>2022</v>
      </c>
      <c r="D3638" s="1">
        <v>20530</v>
      </c>
      <c r="E3638" s="1">
        <v>264</v>
      </c>
      <c r="F3638" s="1">
        <v>198</v>
      </c>
      <c r="G3638" s="1">
        <v>624906</v>
      </c>
      <c r="H3638" s="1">
        <v>0</v>
      </c>
    </row>
    <row r="3639" spans="1:8" x14ac:dyDescent="0.3">
      <c r="A3639" s="1" t="s">
        <v>440</v>
      </c>
      <c r="B3639" s="1" t="s">
        <v>441</v>
      </c>
      <c r="C3639" s="1">
        <v>2022</v>
      </c>
      <c r="D3639" s="1">
        <v>60413</v>
      </c>
      <c r="E3639" s="1">
        <v>1712</v>
      </c>
      <c r="F3639" s="1">
        <v>653</v>
      </c>
      <c r="G3639" s="1">
        <v>1603517</v>
      </c>
      <c r="H3639" s="1">
        <v>6</v>
      </c>
    </row>
    <row r="3640" spans="1:8" x14ac:dyDescent="0.3">
      <c r="A3640" s="1" t="s">
        <v>442</v>
      </c>
      <c r="B3640" s="1" t="s">
        <v>443</v>
      </c>
      <c r="C3640" s="1">
        <v>2022</v>
      </c>
      <c r="D3640" s="1">
        <v>23912</v>
      </c>
      <c r="E3640" s="1">
        <v>249</v>
      </c>
      <c r="F3640" s="1">
        <v>95</v>
      </c>
      <c r="G3640" s="1">
        <v>767513</v>
      </c>
      <c r="H3640" s="1">
        <v>39</v>
      </c>
    </row>
    <row r="3641" spans="1:8" x14ac:dyDescent="0.3">
      <c r="A3641" s="1" t="s">
        <v>444</v>
      </c>
      <c r="B3641" s="1" t="s">
        <v>445</v>
      </c>
      <c r="C3641" s="1">
        <v>2022</v>
      </c>
      <c r="D3641" s="1">
        <v>15735</v>
      </c>
      <c r="E3641" s="1">
        <v>54</v>
      </c>
      <c r="F3641" s="1">
        <v>60</v>
      </c>
      <c r="G3641" s="1">
        <v>1003039</v>
      </c>
      <c r="H3641" s="1">
        <v>54</v>
      </c>
    </row>
    <row r="3642" spans="1:8" x14ac:dyDescent="0.3">
      <c r="A3642" s="1" t="s">
        <v>446</v>
      </c>
      <c r="B3642" s="1" t="s">
        <v>447</v>
      </c>
      <c r="C3642" s="1">
        <v>2022</v>
      </c>
      <c r="D3642" s="1">
        <v>21792</v>
      </c>
      <c r="E3642" s="1">
        <v>95</v>
      </c>
      <c r="F3642" s="1">
        <v>36</v>
      </c>
      <c r="G3642" s="1">
        <v>1048568</v>
      </c>
      <c r="H3642" s="1">
        <v>4</v>
      </c>
    </row>
    <row r="3643" spans="1:8" x14ac:dyDescent="0.3">
      <c r="A3643" s="1" t="s">
        <v>448</v>
      </c>
      <c r="B3643" s="1" t="s">
        <v>449</v>
      </c>
      <c r="C3643" s="1">
        <v>2022</v>
      </c>
      <c r="D3643" s="1">
        <v>10965</v>
      </c>
      <c r="E3643" s="1">
        <v>101</v>
      </c>
      <c r="F3643" s="1">
        <v>66</v>
      </c>
      <c r="G3643" s="1">
        <v>266340</v>
      </c>
      <c r="H3643" s="1">
        <v>0</v>
      </c>
    </row>
    <row r="3644" spans="1:8" x14ac:dyDescent="0.3">
      <c r="A3644" s="1" t="s">
        <v>450</v>
      </c>
      <c r="B3644" s="1" t="s">
        <v>451</v>
      </c>
      <c r="C3644" s="1">
        <v>2022</v>
      </c>
      <c r="D3644" s="1">
        <v>15482</v>
      </c>
      <c r="E3644" s="1">
        <v>185</v>
      </c>
      <c r="F3644" s="1">
        <v>9</v>
      </c>
      <c r="G3644" s="1">
        <v>90697</v>
      </c>
      <c r="H3644" s="1">
        <v>0</v>
      </c>
    </row>
    <row r="3645" spans="1:8" x14ac:dyDescent="0.3">
      <c r="A3645" s="1" t="s">
        <v>452</v>
      </c>
      <c r="B3645" s="1" t="s">
        <v>453</v>
      </c>
      <c r="C3645" s="1">
        <v>2022</v>
      </c>
      <c r="D3645" s="1">
        <v>13446</v>
      </c>
      <c r="E3645" s="1">
        <v>52</v>
      </c>
      <c r="F3645" s="1">
        <v>19</v>
      </c>
      <c r="G3645" s="1">
        <v>425006</v>
      </c>
      <c r="H3645" s="1">
        <v>0</v>
      </c>
    </row>
    <row r="3646" spans="1:8" x14ac:dyDescent="0.3">
      <c r="A3646" s="1" t="s">
        <v>454</v>
      </c>
      <c r="B3646" s="1" t="s">
        <v>455</v>
      </c>
      <c r="C3646" s="1">
        <v>2022</v>
      </c>
      <c r="D3646" s="1">
        <v>7124</v>
      </c>
      <c r="E3646" s="1">
        <v>80</v>
      </c>
      <c r="F3646" s="1">
        <v>36</v>
      </c>
      <c r="G3646" s="1">
        <v>131868</v>
      </c>
      <c r="H3646" s="1">
        <v>0</v>
      </c>
    </row>
    <row r="3647" spans="1:8" x14ac:dyDescent="0.3">
      <c r="A3647" s="1" t="s">
        <v>456</v>
      </c>
      <c r="B3647" s="1" t="s">
        <v>457</v>
      </c>
      <c r="C3647" s="1">
        <v>2022</v>
      </c>
      <c r="D3647" s="1">
        <v>17572</v>
      </c>
      <c r="E3647" s="1">
        <v>62</v>
      </c>
      <c r="F3647" s="1">
        <v>51</v>
      </c>
      <c r="G3647" s="1">
        <v>204097</v>
      </c>
      <c r="H3647" s="1">
        <v>0</v>
      </c>
    </row>
    <row r="3648" spans="1:8" x14ac:dyDescent="0.3">
      <c r="A3648" s="1" t="s">
        <v>458</v>
      </c>
      <c r="B3648" s="1" t="s">
        <v>459</v>
      </c>
      <c r="C3648" s="1">
        <v>2022</v>
      </c>
      <c r="D3648" s="1">
        <v>24640</v>
      </c>
      <c r="E3648" s="1">
        <v>123</v>
      </c>
      <c r="F3648" s="1">
        <v>45</v>
      </c>
      <c r="G3648" s="1">
        <v>995833</v>
      </c>
      <c r="H3648" s="1">
        <v>3</v>
      </c>
    </row>
    <row r="3649" spans="1:8" x14ac:dyDescent="0.3">
      <c r="A3649" s="1" t="s">
        <v>460</v>
      </c>
      <c r="B3649" s="1" t="s">
        <v>461</v>
      </c>
      <c r="C3649" s="1">
        <v>2022</v>
      </c>
      <c r="D3649" s="1">
        <v>11723</v>
      </c>
      <c r="E3649" s="1">
        <v>166</v>
      </c>
      <c r="F3649" s="1">
        <v>15</v>
      </c>
      <c r="G3649" s="1">
        <v>218463</v>
      </c>
      <c r="H3649" s="1">
        <v>0</v>
      </c>
    </row>
    <row r="3650" spans="1:8" x14ac:dyDescent="0.3">
      <c r="A3650" s="1" t="s">
        <v>462</v>
      </c>
      <c r="B3650" s="1" t="s">
        <v>463</v>
      </c>
      <c r="C3650" s="1">
        <v>2022</v>
      </c>
      <c r="D3650" s="1">
        <v>18205</v>
      </c>
      <c r="E3650" s="1">
        <v>223</v>
      </c>
      <c r="F3650" s="1">
        <v>116</v>
      </c>
      <c r="G3650" s="1">
        <v>268394</v>
      </c>
      <c r="H3650" s="1">
        <v>12</v>
      </c>
    </row>
    <row r="3651" spans="1:8" x14ac:dyDescent="0.3">
      <c r="A3651" s="1" t="s">
        <v>464</v>
      </c>
      <c r="B3651" s="1" t="s">
        <v>465</v>
      </c>
      <c r="C3651" s="1">
        <v>2022</v>
      </c>
      <c r="D3651" s="1">
        <v>14975</v>
      </c>
      <c r="E3651" s="1">
        <v>158</v>
      </c>
      <c r="F3651" s="1">
        <v>134</v>
      </c>
      <c r="G3651" s="1">
        <v>546076</v>
      </c>
      <c r="H3651" s="1">
        <v>0</v>
      </c>
    </row>
    <row r="3652" spans="1:8" x14ac:dyDescent="0.3">
      <c r="A3652" s="1" t="s">
        <v>466</v>
      </c>
      <c r="B3652" s="1" t="s">
        <v>467</v>
      </c>
      <c r="C3652" s="1">
        <v>2022</v>
      </c>
      <c r="D3652" s="1">
        <v>140549</v>
      </c>
      <c r="E3652" s="1">
        <v>1979</v>
      </c>
      <c r="F3652" s="1">
        <v>3827</v>
      </c>
      <c r="G3652" s="1">
        <v>11951374</v>
      </c>
      <c r="H3652" s="1">
        <v>0</v>
      </c>
    </row>
    <row r="3653" spans="1:8" x14ac:dyDescent="0.3">
      <c r="A3653" s="1" t="s">
        <v>468</v>
      </c>
      <c r="B3653" s="1" t="s">
        <v>469</v>
      </c>
      <c r="C3653" s="1">
        <v>2022</v>
      </c>
      <c r="D3653" s="1">
        <v>25249</v>
      </c>
      <c r="E3653" s="1">
        <v>361</v>
      </c>
      <c r="F3653" s="1">
        <v>569</v>
      </c>
      <c r="G3653" s="1">
        <v>1436235</v>
      </c>
      <c r="H3653" s="1">
        <v>16</v>
      </c>
    </row>
    <row r="3654" spans="1:8" x14ac:dyDescent="0.3">
      <c r="A3654" s="1" t="s">
        <v>470</v>
      </c>
      <c r="B3654" s="1" t="s">
        <v>471</v>
      </c>
      <c r="C3654" s="1">
        <v>2022</v>
      </c>
      <c r="D3654" s="1">
        <v>28372</v>
      </c>
      <c r="E3654" s="1">
        <v>672</v>
      </c>
      <c r="F3654" s="1">
        <v>420</v>
      </c>
      <c r="G3654" s="1">
        <v>2624306</v>
      </c>
      <c r="H3654" s="1">
        <v>21</v>
      </c>
    </row>
    <row r="3655" spans="1:8" x14ac:dyDescent="0.3">
      <c r="A3655" s="1" t="s">
        <v>472</v>
      </c>
      <c r="B3655" s="1" t="s">
        <v>473</v>
      </c>
      <c r="C3655" s="1">
        <v>2022</v>
      </c>
      <c r="D3655" s="1">
        <v>25166</v>
      </c>
      <c r="E3655" s="1">
        <v>322</v>
      </c>
      <c r="F3655" s="1">
        <v>271</v>
      </c>
      <c r="G3655" s="1">
        <v>740597</v>
      </c>
      <c r="H3655" s="1">
        <v>18</v>
      </c>
    </row>
    <row r="3656" spans="1:8" x14ac:dyDescent="0.3">
      <c r="A3656" s="1" t="s">
        <v>474</v>
      </c>
      <c r="B3656" s="1" t="s">
        <v>475</v>
      </c>
      <c r="C3656" s="1">
        <v>2022</v>
      </c>
      <c r="D3656" s="1">
        <v>32608</v>
      </c>
      <c r="E3656" s="1">
        <v>644</v>
      </c>
      <c r="F3656" s="1">
        <v>461</v>
      </c>
      <c r="G3656" s="1">
        <v>2437881</v>
      </c>
      <c r="H3656" s="1">
        <v>38</v>
      </c>
    </row>
    <row r="3657" spans="1:8" x14ac:dyDescent="0.3">
      <c r="A3657" s="1" t="s">
        <v>476</v>
      </c>
      <c r="B3657" s="1" t="s">
        <v>477</v>
      </c>
      <c r="C3657" s="1">
        <v>2022</v>
      </c>
      <c r="D3657" s="1">
        <v>19030</v>
      </c>
      <c r="E3657" s="1">
        <v>154</v>
      </c>
      <c r="F3657" s="1">
        <v>191</v>
      </c>
      <c r="G3657" s="1">
        <v>1750119</v>
      </c>
      <c r="H3657" s="1">
        <v>6</v>
      </c>
    </row>
    <row r="3658" spans="1:8" x14ac:dyDescent="0.3">
      <c r="A3658" s="1" t="s">
        <v>478</v>
      </c>
      <c r="B3658" s="1" t="s">
        <v>479</v>
      </c>
      <c r="C3658" s="1">
        <v>2022</v>
      </c>
      <c r="D3658" s="1">
        <v>47660</v>
      </c>
      <c r="E3658" s="1">
        <v>1965</v>
      </c>
      <c r="F3658" s="1">
        <v>1317</v>
      </c>
      <c r="G3658" s="1">
        <v>2500895</v>
      </c>
      <c r="H3658" s="1">
        <v>57</v>
      </c>
    </row>
    <row r="3659" spans="1:8" x14ac:dyDescent="0.3">
      <c r="A3659" s="1" t="s">
        <v>480</v>
      </c>
      <c r="B3659" s="1" t="s">
        <v>481</v>
      </c>
      <c r="C3659" s="1">
        <v>2022</v>
      </c>
      <c r="D3659" s="1">
        <v>45531</v>
      </c>
      <c r="E3659" s="1">
        <v>1516</v>
      </c>
      <c r="F3659" s="1">
        <v>561</v>
      </c>
      <c r="G3659" s="1">
        <v>2934994</v>
      </c>
      <c r="H3659" s="1">
        <v>46</v>
      </c>
    </row>
    <row r="3660" spans="1:8" x14ac:dyDescent="0.3">
      <c r="A3660" s="1" t="s">
        <v>482</v>
      </c>
      <c r="B3660" s="1" t="s">
        <v>483</v>
      </c>
      <c r="C3660" s="1">
        <v>2022</v>
      </c>
      <c r="D3660" s="1">
        <v>23203</v>
      </c>
      <c r="E3660" s="1">
        <v>466</v>
      </c>
      <c r="F3660" s="1">
        <v>173</v>
      </c>
      <c r="G3660" s="1">
        <v>2148769</v>
      </c>
      <c r="H3660" s="1">
        <v>2</v>
      </c>
    </row>
    <row r="3661" spans="1:8" x14ac:dyDescent="0.3">
      <c r="A3661" s="1" t="s">
        <v>484</v>
      </c>
      <c r="B3661" s="1" t="s">
        <v>485</v>
      </c>
      <c r="C3661" s="1">
        <v>2022</v>
      </c>
      <c r="D3661" s="1">
        <v>27585</v>
      </c>
      <c r="E3661" s="1">
        <v>260</v>
      </c>
      <c r="F3661" s="1">
        <v>273</v>
      </c>
      <c r="G3661" s="1">
        <v>1363178</v>
      </c>
      <c r="H3661" s="1">
        <v>6</v>
      </c>
    </row>
    <row r="3662" spans="1:8" x14ac:dyDescent="0.3">
      <c r="A3662" s="1" t="s">
        <v>486</v>
      </c>
      <c r="B3662" s="1" t="s">
        <v>487</v>
      </c>
      <c r="C3662" s="1">
        <v>2022</v>
      </c>
      <c r="D3662" s="1">
        <v>24404</v>
      </c>
      <c r="E3662" s="1">
        <v>438</v>
      </c>
      <c r="F3662" s="1">
        <v>548</v>
      </c>
      <c r="G3662" s="1">
        <v>1087433</v>
      </c>
      <c r="H3662" s="1">
        <v>0</v>
      </c>
    </row>
    <row r="3663" spans="1:8" x14ac:dyDescent="0.3">
      <c r="A3663" s="1" t="s">
        <v>488</v>
      </c>
      <c r="B3663" s="1" t="s">
        <v>489</v>
      </c>
      <c r="C3663" s="1">
        <v>2022</v>
      </c>
      <c r="D3663" s="1">
        <v>23231</v>
      </c>
      <c r="E3663" s="1">
        <v>351</v>
      </c>
      <c r="F3663" s="1">
        <v>359</v>
      </c>
      <c r="G3663" s="1">
        <v>2870596</v>
      </c>
      <c r="H3663" s="1">
        <v>2</v>
      </c>
    </row>
    <row r="3664" spans="1:8" x14ac:dyDescent="0.3">
      <c r="A3664" s="1" t="s">
        <v>490</v>
      </c>
      <c r="B3664" s="1" t="s">
        <v>310</v>
      </c>
      <c r="C3664" s="1">
        <v>2022</v>
      </c>
      <c r="D3664" s="1">
        <v>13783</v>
      </c>
      <c r="E3664" s="1">
        <v>376</v>
      </c>
      <c r="F3664" s="1">
        <v>371</v>
      </c>
      <c r="G3664" s="1">
        <v>791546</v>
      </c>
      <c r="H3664" s="1">
        <v>10</v>
      </c>
    </row>
    <row r="3665" spans="1:8" x14ac:dyDescent="0.3">
      <c r="A3665" s="1" t="s">
        <v>491</v>
      </c>
      <c r="B3665" s="1" t="s">
        <v>492</v>
      </c>
      <c r="C3665" s="1">
        <v>2022</v>
      </c>
      <c r="D3665" s="1">
        <v>35492</v>
      </c>
      <c r="E3665" s="1">
        <v>1540</v>
      </c>
      <c r="F3665" s="1">
        <v>1363</v>
      </c>
      <c r="G3665" s="1">
        <v>1268102</v>
      </c>
      <c r="H3665" s="1">
        <v>47</v>
      </c>
    </row>
    <row r="3666" spans="1:8" x14ac:dyDescent="0.3">
      <c r="A3666" s="1" t="s">
        <v>493</v>
      </c>
      <c r="B3666" s="1" t="s">
        <v>494</v>
      </c>
      <c r="C3666" s="1">
        <v>2022</v>
      </c>
      <c r="D3666" s="1">
        <v>36085</v>
      </c>
      <c r="E3666" s="1">
        <v>712</v>
      </c>
      <c r="F3666" s="1">
        <v>515</v>
      </c>
      <c r="G3666" s="1">
        <v>1016968</v>
      </c>
      <c r="H3666" s="1">
        <v>0</v>
      </c>
    </row>
    <row r="3667" spans="1:8" x14ac:dyDescent="0.3">
      <c r="A3667" s="1" t="s">
        <v>495</v>
      </c>
      <c r="B3667" s="1" t="s">
        <v>496</v>
      </c>
      <c r="C3667" s="1">
        <v>2022</v>
      </c>
      <c r="D3667" s="1">
        <v>42995</v>
      </c>
      <c r="E3667" s="1">
        <v>800</v>
      </c>
      <c r="F3667" s="1">
        <v>395</v>
      </c>
      <c r="G3667" s="1">
        <v>4600479</v>
      </c>
      <c r="H3667" s="1">
        <v>4</v>
      </c>
    </row>
    <row r="3668" spans="1:8" x14ac:dyDescent="0.3">
      <c r="A3668" s="1" t="s">
        <v>497</v>
      </c>
      <c r="B3668" s="1" t="s">
        <v>498</v>
      </c>
      <c r="C3668" s="1">
        <v>2022</v>
      </c>
      <c r="D3668" s="1">
        <v>40755</v>
      </c>
      <c r="E3668" s="1">
        <v>457</v>
      </c>
      <c r="F3668" s="1">
        <v>735</v>
      </c>
      <c r="G3668" s="1">
        <v>4172535</v>
      </c>
      <c r="H3668" s="1">
        <v>27</v>
      </c>
    </row>
    <row r="3669" spans="1:8" x14ac:dyDescent="0.3">
      <c r="A3669" s="1" t="s">
        <v>499</v>
      </c>
      <c r="B3669" s="1" t="s">
        <v>500</v>
      </c>
      <c r="C3669" s="1">
        <v>2022</v>
      </c>
      <c r="D3669" s="1">
        <v>80839</v>
      </c>
      <c r="E3669" s="1">
        <v>1999</v>
      </c>
      <c r="F3669" s="1">
        <v>2655</v>
      </c>
      <c r="G3669" s="1">
        <v>2579446</v>
      </c>
      <c r="H3669" s="1">
        <v>28</v>
      </c>
    </row>
    <row r="3670" spans="1:8" x14ac:dyDescent="0.3">
      <c r="A3670" s="1" t="s">
        <v>501</v>
      </c>
      <c r="B3670" s="1" t="s">
        <v>502</v>
      </c>
      <c r="C3670" s="1">
        <v>2022</v>
      </c>
      <c r="D3670" s="1">
        <v>13368</v>
      </c>
      <c r="E3670" s="1">
        <v>69</v>
      </c>
      <c r="F3670" s="1">
        <v>90</v>
      </c>
      <c r="G3670" s="1">
        <v>1526125</v>
      </c>
      <c r="H3670" s="1">
        <v>4</v>
      </c>
    </row>
    <row r="3671" spans="1:8" x14ac:dyDescent="0.3">
      <c r="A3671" s="1" t="s">
        <v>503</v>
      </c>
      <c r="B3671" s="1" t="s">
        <v>504</v>
      </c>
      <c r="C3671" s="1">
        <v>2022</v>
      </c>
      <c r="D3671" s="1">
        <v>256875</v>
      </c>
      <c r="E3671" s="1">
        <v>7165</v>
      </c>
      <c r="F3671" s="1">
        <v>9186</v>
      </c>
      <c r="G3671" s="1">
        <v>11451756</v>
      </c>
      <c r="H3671" s="1">
        <v>906</v>
      </c>
    </row>
    <row r="3672" spans="1:8" x14ac:dyDescent="0.3">
      <c r="A3672" s="1" t="s">
        <v>505</v>
      </c>
      <c r="B3672" s="1" t="s">
        <v>506</v>
      </c>
      <c r="C3672" s="1">
        <v>2022</v>
      </c>
      <c r="D3672" s="1">
        <v>120596</v>
      </c>
      <c r="E3672" s="1">
        <v>1001</v>
      </c>
      <c r="F3672" s="1">
        <v>3456</v>
      </c>
      <c r="G3672" s="1">
        <v>7791200</v>
      </c>
      <c r="H3672" s="1">
        <v>6</v>
      </c>
    </row>
    <row r="3673" spans="1:8" x14ac:dyDescent="0.3">
      <c r="A3673" s="1" t="s">
        <v>507</v>
      </c>
      <c r="B3673" s="1" t="s">
        <v>508</v>
      </c>
      <c r="C3673" s="1">
        <v>2022</v>
      </c>
      <c r="D3673" s="1">
        <v>41366</v>
      </c>
      <c r="E3673" s="1">
        <v>350</v>
      </c>
      <c r="F3673" s="1">
        <v>984</v>
      </c>
      <c r="G3673" s="1">
        <v>1657285</v>
      </c>
      <c r="H3673" s="1">
        <v>333</v>
      </c>
    </row>
    <row r="3674" spans="1:8" x14ac:dyDescent="0.3">
      <c r="A3674" s="1" t="s">
        <v>509</v>
      </c>
      <c r="B3674" s="1" t="s">
        <v>510</v>
      </c>
      <c r="C3674" s="1">
        <v>2022</v>
      </c>
      <c r="D3674" s="1">
        <v>19532</v>
      </c>
      <c r="E3674" s="1">
        <v>29</v>
      </c>
      <c r="F3674" s="1">
        <v>351</v>
      </c>
      <c r="G3674" s="1">
        <v>585019</v>
      </c>
      <c r="H3674" s="1">
        <v>0</v>
      </c>
    </row>
    <row r="3675" spans="1:8" x14ac:dyDescent="0.3">
      <c r="A3675" s="1" t="s">
        <v>511</v>
      </c>
      <c r="B3675" s="1" t="s">
        <v>512</v>
      </c>
      <c r="C3675" s="1">
        <v>2022</v>
      </c>
      <c r="D3675" s="1">
        <v>63520</v>
      </c>
      <c r="E3675" s="1">
        <v>589</v>
      </c>
      <c r="F3675" s="1">
        <v>699</v>
      </c>
      <c r="G3675" s="1">
        <v>4842668</v>
      </c>
      <c r="H3675" s="1">
        <v>308</v>
      </c>
    </row>
    <row r="3676" spans="1:8" x14ac:dyDescent="0.3">
      <c r="A3676" s="1" t="s">
        <v>513</v>
      </c>
      <c r="B3676" s="1" t="s">
        <v>443</v>
      </c>
      <c r="C3676" s="1">
        <v>2022</v>
      </c>
      <c r="D3676" s="1">
        <v>55131</v>
      </c>
      <c r="E3676" s="1">
        <v>756</v>
      </c>
      <c r="F3676" s="1">
        <v>345</v>
      </c>
      <c r="G3676" s="1">
        <v>832564</v>
      </c>
      <c r="H3676" s="1">
        <v>22</v>
      </c>
    </row>
    <row r="3677" spans="1:8" x14ac:dyDescent="0.3">
      <c r="A3677" s="1" t="s">
        <v>514</v>
      </c>
      <c r="B3677" s="1" t="s">
        <v>515</v>
      </c>
      <c r="C3677" s="1">
        <v>2022</v>
      </c>
      <c r="D3677" s="1">
        <v>65615</v>
      </c>
      <c r="E3677" s="1">
        <v>729</v>
      </c>
      <c r="F3677" s="1">
        <v>392</v>
      </c>
      <c r="G3677" s="1">
        <v>1910377</v>
      </c>
      <c r="H3677" s="1">
        <v>92</v>
      </c>
    </row>
    <row r="3678" spans="1:8" x14ac:dyDescent="0.3">
      <c r="A3678" s="1" t="s">
        <v>516</v>
      </c>
      <c r="B3678" s="1" t="s">
        <v>517</v>
      </c>
      <c r="C3678" s="1">
        <v>2022</v>
      </c>
      <c r="D3678" s="1">
        <v>48010</v>
      </c>
      <c r="E3678" s="1">
        <v>651</v>
      </c>
      <c r="F3678" s="1">
        <v>73</v>
      </c>
      <c r="G3678" s="1">
        <v>361014</v>
      </c>
      <c r="H3678" s="1">
        <v>51</v>
      </c>
    </row>
    <row r="3679" spans="1:8" x14ac:dyDescent="0.3">
      <c r="A3679" s="1" t="s">
        <v>518</v>
      </c>
      <c r="B3679" s="1" t="s">
        <v>519</v>
      </c>
      <c r="C3679" s="1">
        <v>2022</v>
      </c>
      <c r="D3679" s="1">
        <v>41069</v>
      </c>
      <c r="E3679" s="1">
        <v>507</v>
      </c>
      <c r="F3679" s="1">
        <v>308</v>
      </c>
      <c r="G3679" s="1">
        <v>2069933</v>
      </c>
      <c r="H3679" s="1">
        <v>37</v>
      </c>
    </row>
    <row r="3680" spans="1:8" x14ac:dyDescent="0.3">
      <c r="A3680" s="1" t="s">
        <v>520</v>
      </c>
      <c r="B3680" s="1" t="s">
        <v>521</v>
      </c>
      <c r="C3680" s="1">
        <v>2022</v>
      </c>
      <c r="D3680" s="1">
        <v>27598</v>
      </c>
      <c r="E3680" s="1">
        <v>302</v>
      </c>
      <c r="F3680" s="1">
        <v>98</v>
      </c>
      <c r="G3680" s="1">
        <v>271008</v>
      </c>
      <c r="H3680" s="1">
        <v>0</v>
      </c>
    </row>
    <row r="3681" spans="1:8" x14ac:dyDescent="0.3">
      <c r="A3681" s="1" t="s">
        <v>522</v>
      </c>
      <c r="B3681" s="1" t="s">
        <v>523</v>
      </c>
      <c r="C3681" s="1">
        <v>2022</v>
      </c>
      <c r="D3681" s="1">
        <v>25796</v>
      </c>
      <c r="E3681" s="1">
        <v>312</v>
      </c>
      <c r="F3681" s="1">
        <v>150</v>
      </c>
      <c r="G3681" s="1">
        <v>558690</v>
      </c>
      <c r="H3681" s="1">
        <v>16</v>
      </c>
    </row>
    <row r="3682" spans="1:8" x14ac:dyDescent="0.3">
      <c r="A3682" s="1" t="s">
        <v>524</v>
      </c>
      <c r="B3682" s="1" t="s">
        <v>525</v>
      </c>
      <c r="C3682" s="1">
        <v>2022</v>
      </c>
      <c r="D3682" s="1">
        <v>37019</v>
      </c>
      <c r="E3682" s="1">
        <v>639</v>
      </c>
      <c r="F3682" s="1">
        <v>292</v>
      </c>
      <c r="G3682" s="1">
        <v>2183766</v>
      </c>
      <c r="H3682" s="1">
        <v>66</v>
      </c>
    </row>
    <row r="3683" spans="1:8" x14ac:dyDescent="0.3">
      <c r="A3683" s="1" t="s">
        <v>526</v>
      </c>
      <c r="B3683" s="1" t="s">
        <v>527</v>
      </c>
      <c r="C3683" s="1">
        <v>2022</v>
      </c>
      <c r="D3683" s="1">
        <v>26508</v>
      </c>
      <c r="E3683" s="1">
        <v>202</v>
      </c>
      <c r="F3683" s="1">
        <v>63</v>
      </c>
      <c r="G3683" s="1">
        <v>737391</v>
      </c>
      <c r="H3683" s="1">
        <v>0</v>
      </c>
    </row>
    <row r="3684" spans="1:8" x14ac:dyDescent="0.3">
      <c r="A3684" s="1" t="s">
        <v>528</v>
      </c>
      <c r="B3684" s="1" t="s">
        <v>529</v>
      </c>
      <c r="C3684" s="1">
        <v>2022</v>
      </c>
      <c r="D3684" s="1">
        <v>34747</v>
      </c>
      <c r="E3684" s="1">
        <v>473</v>
      </c>
      <c r="F3684" s="1">
        <v>207</v>
      </c>
      <c r="G3684" s="1">
        <v>910742</v>
      </c>
      <c r="H3684" s="1">
        <v>38</v>
      </c>
    </row>
    <row r="3685" spans="1:8" x14ac:dyDescent="0.3">
      <c r="A3685" s="1" t="s">
        <v>530</v>
      </c>
      <c r="B3685" s="1" t="s">
        <v>531</v>
      </c>
      <c r="C3685" s="1">
        <v>2022</v>
      </c>
      <c r="D3685" s="1">
        <v>36968</v>
      </c>
      <c r="E3685" s="1">
        <v>184</v>
      </c>
      <c r="F3685" s="1">
        <v>298</v>
      </c>
      <c r="G3685" s="1">
        <v>2831554</v>
      </c>
      <c r="H3685" s="1">
        <v>219</v>
      </c>
    </row>
    <row r="3686" spans="1:8" x14ac:dyDescent="0.3">
      <c r="A3686" s="1" t="s">
        <v>532</v>
      </c>
      <c r="B3686" s="1" t="s">
        <v>533</v>
      </c>
      <c r="C3686" s="1">
        <v>2022</v>
      </c>
      <c r="D3686" s="1">
        <v>24990</v>
      </c>
      <c r="E3686" s="1">
        <v>278</v>
      </c>
      <c r="F3686" s="1">
        <v>84</v>
      </c>
      <c r="G3686" s="1">
        <v>647101</v>
      </c>
      <c r="H3686" s="1">
        <v>418</v>
      </c>
    </row>
    <row r="3687" spans="1:8" x14ac:dyDescent="0.3">
      <c r="A3687" s="1" t="s">
        <v>534</v>
      </c>
      <c r="B3687" s="1" t="s">
        <v>535</v>
      </c>
      <c r="C3687" s="1">
        <v>2022</v>
      </c>
      <c r="D3687" s="1">
        <v>52500</v>
      </c>
      <c r="E3687" s="1">
        <v>1027</v>
      </c>
      <c r="F3687" s="1">
        <v>528</v>
      </c>
      <c r="G3687" s="1">
        <v>3038930</v>
      </c>
      <c r="H3687" s="1">
        <v>122</v>
      </c>
    </row>
    <row r="3688" spans="1:8" x14ac:dyDescent="0.3">
      <c r="A3688" s="1" t="s">
        <v>536</v>
      </c>
      <c r="B3688" s="1" t="s">
        <v>537</v>
      </c>
      <c r="C3688" s="1">
        <v>2022</v>
      </c>
      <c r="D3688" s="1">
        <v>19260</v>
      </c>
      <c r="E3688" s="1">
        <v>266</v>
      </c>
      <c r="F3688" s="1">
        <v>86</v>
      </c>
      <c r="G3688" s="1">
        <v>308294</v>
      </c>
      <c r="H3688" s="1">
        <v>50</v>
      </c>
    </row>
    <row r="3689" spans="1:8" x14ac:dyDescent="0.3">
      <c r="A3689" s="1" t="s">
        <v>538</v>
      </c>
      <c r="B3689" s="1" t="s">
        <v>539</v>
      </c>
      <c r="C3689" s="1">
        <v>2022</v>
      </c>
      <c r="D3689" s="1">
        <v>50706</v>
      </c>
      <c r="E3689" s="1">
        <v>457</v>
      </c>
      <c r="F3689" s="1">
        <v>256</v>
      </c>
      <c r="G3689" s="1">
        <v>3387113</v>
      </c>
      <c r="H3689" s="1">
        <v>276</v>
      </c>
    </row>
    <row r="3690" spans="1:8" x14ac:dyDescent="0.3">
      <c r="A3690" s="1" t="s">
        <v>540</v>
      </c>
      <c r="B3690" s="1" t="s">
        <v>541</v>
      </c>
      <c r="C3690" s="1">
        <v>2022</v>
      </c>
      <c r="D3690" s="1">
        <v>48488</v>
      </c>
      <c r="E3690" s="1">
        <v>284</v>
      </c>
      <c r="F3690" s="1">
        <v>158</v>
      </c>
      <c r="G3690" s="1">
        <v>2527603</v>
      </c>
      <c r="H3690" s="1">
        <v>352</v>
      </c>
    </row>
    <row r="3691" spans="1:8" x14ac:dyDescent="0.3">
      <c r="A3691" s="1" t="s">
        <v>542</v>
      </c>
      <c r="B3691" s="1" t="s">
        <v>543</v>
      </c>
      <c r="C3691" s="1">
        <v>2022</v>
      </c>
      <c r="D3691" s="1">
        <v>54238</v>
      </c>
      <c r="E3691" s="1">
        <v>834</v>
      </c>
      <c r="F3691" s="1">
        <v>167</v>
      </c>
      <c r="G3691" s="1">
        <v>1164222</v>
      </c>
      <c r="H3691" s="1">
        <v>0</v>
      </c>
    </row>
    <row r="3692" spans="1:8" x14ac:dyDescent="0.3">
      <c r="A3692" s="1" t="s">
        <v>544</v>
      </c>
      <c r="B3692" s="1" t="s">
        <v>545</v>
      </c>
      <c r="C3692" s="1">
        <v>2022</v>
      </c>
      <c r="D3692" s="1">
        <v>76188</v>
      </c>
      <c r="E3692" s="1">
        <v>1092</v>
      </c>
      <c r="F3692" s="1">
        <v>1273</v>
      </c>
      <c r="G3692" s="1">
        <v>5032023</v>
      </c>
      <c r="H3692" s="1">
        <v>539</v>
      </c>
    </row>
    <row r="3693" spans="1:8" x14ac:dyDescent="0.3">
      <c r="A3693" s="1" t="s">
        <v>546</v>
      </c>
      <c r="B3693" s="1" t="s">
        <v>547</v>
      </c>
      <c r="C3693" s="1">
        <v>2022</v>
      </c>
      <c r="D3693" s="1">
        <v>74190</v>
      </c>
      <c r="E3693" s="1">
        <v>183</v>
      </c>
      <c r="F3693" s="1">
        <v>1295</v>
      </c>
      <c r="G3693" s="1">
        <v>4999663</v>
      </c>
      <c r="H3693" s="1">
        <v>22</v>
      </c>
    </row>
    <row r="3694" spans="1:8" x14ac:dyDescent="0.3">
      <c r="A3694" s="1" t="s">
        <v>548</v>
      </c>
      <c r="B3694" s="1" t="s">
        <v>549</v>
      </c>
      <c r="C3694" s="1">
        <v>2022</v>
      </c>
      <c r="D3694" s="1">
        <v>54361</v>
      </c>
      <c r="E3694" s="1">
        <v>280</v>
      </c>
      <c r="F3694" s="1">
        <v>847</v>
      </c>
      <c r="G3694" s="1">
        <v>10289225</v>
      </c>
      <c r="H3694" s="1">
        <v>1226</v>
      </c>
    </row>
    <row r="3695" spans="1:8" x14ac:dyDescent="0.3">
      <c r="A3695" s="1" t="s">
        <v>550</v>
      </c>
      <c r="B3695" s="1" t="s">
        <v>551</v>
      </c>
      <c r="C3695" s="1">
        <v>2022</v>
      </c>
      <c r="D3695" s="1">
        <v>101279</v>
      </c>
      <c r="E3695" s="1">
        <v>1106</v>
      </c>
      <c r="F3695" s="1">
        <v>1486</v>
      </c>
      <c r="G3695" s="1">
        <v>9714997</v>
      </c>
      <c r="H3695" s="1">
        <v>44</v>
      </c>
    </row>
    <row r="3696" spans="1:8" x14ac:dyDescent="0.3">
      <c r="A3696" s="1" t="s">
        <v>552</v>
      </c>
      <c r="B3696" s="1" t="s">
        <v>553</v>
      </c>
      <c r="C3696" s="1">
        <v>2022</v>
      </c>
      <c r="D3696" s="1">
        <v>51742</v>
      </c>
      <c r="E3696" s="1">
        <v>363</v>
      </c>
      <c r="F3696" s="1">
        <v>550</v>
      </c>
      <c r="G3696" s="1">
        <v>2515624</v>
      </c>
      <c r="H3696" s="1">
        <v>42</v>
      </c>
    </row>
    <row r="3697" spans="1:8" x14ac:dyDescent="0.3">
      <c r="A3697" s="1" t="s">
        <v>554</v>
      </c>
      <c r="B3697" s="1" t="s">
        <v>555</v>
      </c>
      <c r="C3697" s="1">
        <v>2022</v>
      </c>
      <c r="D3697" s="1">
        <v>82724</v>
      </c>
      <c r="E3697" s="1">
        <v>1178</v>
      </c>
      <c r="F3697" s="1">
        <v>2028</v>
      </c>
      <c r="G3697" s="1">
        <v>6334103</v>
      </c>
      <c r="H3697" s="1">
        <v>1264</v>
      </c>
    </row>
    <row r="3698" spans="1:8" x14ac:dyDescent="0.3">
      <c r="A3698" s="1" t="s">
        <v>556</v>
      </c>
      <c r="B3698" s="1" t="s">
        <v>557</v>
      </c>
      <c r="C3698" s="1">
        <v>2022</v>
      </c>
      <c r="D3698" s="1">
        <v>32911</v>
      </c>
      <c r="E3698" s="1">
        <v>154</v>
      </c>
      <c r="F3698" s="1">
        <v>278</v>
      </c>
      <c r="G3698" s="1">
        <v>1811489</v>
      </c>
      <c r="H3698" s="1">
        <v>0</v>
      </c>
    </row>
    <row r="3699" spans="1:8" x14ac:dyDescent="0.3">
      <c r="A3699" s="1" t="s">
        <v>558</v>
      </c>
      <c r="B3699" s="1" t="s">
        <v>559</v>
      </c>
      <c r="C3699" s="1">
        <v>2022</v>
      </c>
      <c r="D3699" s="1">
        <v>36792</v>
      </c>
      <c r="E3699" s="1">
        <v>355</v>
      </c>
      <c r="F3699" s="1">
        <v>452</v>
      </c>
      <c r="G3699" s="1">
        <v>1839696</v>
      </c>
      <c r="H3699" s="1">
        <v>60</v>
      </c>
    </row>
    <row r="3700" spans="1:8" x14ac:dyDescent="0.3">
      <c r="A3700" s="1" t="s">
        <v>560</v>
      </c>
      <c r="B3700" s="1" t="s">
        <v>561</v>
      </c>
      <c r="C3700" s="1">
        <v>2022</v>
      </c>
      <c r="D3700" s="1">
        <v>156321</v>
      </c>
      <c r="E3700" s="1">
        <v>1870</v>
      </c>
      <c r="F3700" s="1">
        <v>248</v>
      </c>
      <c r="G3700" s="1">
        <v>11447659</v>
      </c>
      <c r="H3700" s="1">
        <v>319</v>
      </c>
    </row>
    <row r="3701" spans="1:8" x14ac:dyDescent="0.3">
      <c r="A3701" s="1" t="s">
        <v>562</v>
      </c>
      <c r="B3701" s="1" t="s">
        <v>563</v>
      </c>
      <c r="C3701" s="1">
        <v>2022</v>
      </c>
      <c r="D3701" s="1">
        <v>30419</v>
      </c>
      <c r="E3701" s="1">
        <v>153</v>
      </c>
      <c r="F3701" s="1">
        <v>366</v>
      </c>
      <c r="G3701" s="1">
        <v>3670356</v>
      </c>
      <c r="H3701" s="1">
        <v>57</v>
      </c>
    </row>
    <row r="3702" spans="1:8" x14ac:dyDescent="0.3">
      <c r="A3702" s="1" t="s">
        <v>564</v>
      </c>
      <c r="B3702" s="1" t="s">
        <v>565</v>
      </c>
      <c r="C3702" s="1">
        <v>2022</v>
      </c>
      <c r="D3702" s="1">
        <v>22844</v>
      </c>
      <c r="E3702" s="1">
        <v>52</v>
      </c>
      <c r="F3702" s="1">
        <v>319</v>
      </c>
      <c r="G3702" s="1">
        <v>3766926</v>
      </c>
      <c r="H3702" s="1">
        <v>138</v>
      </c>
    </row>
    <row r="3703" spans="1:8" x14ac:dyDescent="0.3">
      <c r="A3703" s="1" t="s">
        <v>566</v>
      </c>
      <c r="B3703" s="1" t="s">
        <v>567</v>
      </c>
      <c r="C3703" s="1">
        <v>2022</v>
      </c>
      <c r="D3703" s="1">
        <v>60954</v>
      </c>
      <c r="E3703" s="1">
        <v>256</v>
      </c>
      <c r="F3703" s="1">
        <v>764</v>
      </c>
      <c r="G3703" s="1">
        <v>4539556</v>
      </c>
      <c r="H3703" s="1">
        <v>594</v>
      </c>
    </row>
    <row r="3704" spans="1:8" x14ac:dyDescent="0.3">
      <c r="A3704" s="1" t="s">
        <v>568</v>
      </c>
      <c r="B3704" s="1" t="s">
        <v>569</v>
      </c>
      <c r="C3704" s="1">
        <v>2022</v>
      </c>
      <c r="D3704" s="1">
        <v>52511</v>
      </c>
      <c r="E3704" s="1">
        <v>530</v>
      </c>
      <c r="F3704" s="1">
        <v>498</v>
      </c>
      <c r="G3704" s="1">
        <v>5071609</v>
      </c>
      <c r="H3704" s="1">
        <v>686</v>
      </c>
    </row>
    <row r="3705" spans="1:8" x14ac:dyDescent="0.3">
      <c r="A3705" s="1" t="s">
        <v>570</v>
      </c>
      <c r="B3705" s="1" t="s">
        <v>571</v>
      </c>
      <c r="C3705" s="1">
        <v>2022</v>
      </c>
      <c r="D3705" s="1">
        <v>31966</v>
      </c>
      <c r="E3705" s="1">
        <v>302</v>
      </c>
      <c r="F3705" s="1">
        <v>405</v>
      </c>
      <c r="G3705" s="1">
        <v>3482691</v>
      </c>
      <c r="H3705" s="1">
        <v>90</v>
      </c>
    </row>
    <row r="3706" spans="1:8" x14ac:dyDescent="0.3">
      <c r="A3706" s="1" t="s">
        <v>572</v>
      </c>
      <c r="B3706" s="1" t="s">
        <v>573</v>
      </c>
      <c r="C3706" s="1">
        <v>2022</v>
      </c>
      <c r="D3706" s="1">
        <v>94205</v>
      </c>
      <c r="E3706" s="1">
        <v>783</v>
      </c>
      <c r="F3706" s="1">
        <v>1311</v>
      </c>
      <c r="G3706" s="1">
        <v>9599975</v>
      </c>
      <c r="H3706" s="1">
        <v>728</v>
      </c>
    </row>
    <row r="3707" spans="1:8" x14ac:dyDescent="0.3">
      <c r="A3707" s="1" t="s">
        <v>574</v>
      </c>
      <c r="B3707" s="1" t="s">
        <v>575</v>
      </c>
      <c r="C3707" s="1">
        <v>2022</v>
      </c>
      <c r="D3707" s="1">
        <v>23226</v>
      </c>
      <c r="E3707" s="1">
        <v>212</v>
      </c>
      <c r="F3707" s="1">
        <v>364</v>
      </c>
      <c r="G3707" s="1">
        <v>1135700</v>
      </c>
      <c r="H3707" s="1">
        <v>0</v>
      </c>
    </row>
    <row r="3708" spans="1:8" x14ac:dyDescent="0.3">
      <c r="A3708" s="1" t="s">
        <v>576</v>
      </c>
      <c r="B3708" s="1" t="s">
        <v>577</v>
      </c>
      <c r="C3708" s="1">
        <v>2022</v>
      </c>
      <c r="D3708" s="1">
        <v>53227</v>
      </c>
      <c r="E3708" s="1">
        <v>546</v>
      </c>
      <c r="F3708" s="1">
        <v>744</v>
      </c>
      <c r="G3708" s="1">
        <v>4592679</v>
      </c>
      <c r="H3708" s="1">
        <v>0</v>
      </c>
    </row>
    <row r="3709" spans="1:8" x14ac:dyDescent="0.3">
      <c r="A3709" s="1" t="s">
        <v>578</v>
      </c>
      <c r="B3709" s="1" t="s">
        <v>579</v>
      </c>
      <c r="C3709" s="1">
        <v>2022</v>
      </c>
      <c r="D3709" s="1">
        <v>71470</v>
      </c>
      <c r="E3709" s="1">
        <v>313</v>
      </c>
      <c r="F3709" s="1">
        <v>1132</v>
      </c>
      <c r="G3709" s="1">
        <v>8945158</v>
      </c>
      <c r="H3709" s="1">
        <v>84</v>
      </c>
    </row>
    <row r="3710" spans="1:8" x14ac:dyDescent="0.3">
      <c r="A3710" s="1" t="s">
        <v>580</v>
      </c>
      <c r="B3710" s="1" t="s">
        <v>581</v>
      </c>
      <c r="C3710" s="1">
        <v>2022</v>
      </c>
      <c r="D3710" s="1">
        <v>23117</v>
      </c>
      <c r="E3710" s="1">
        <v>528</v>
      </c>
      <c r="F3710" s="1">
        <v>349</v>
      </c>
      <c r="G3710" s="1">
        <v>1254053</v>
      </c>
      <c r="H3710" s="1">
        <v>0</v>
      </c>
    </row>
    <row r="3711" spans="1:8" x14ac:dyDescent="0.3">
      <c r="A3711" s="1" t="s">
        <v>582</v>
      </c>
      <c r="B3711" s="1" t="s">
        <v>583</v>
      </c>
      <c r="C3711" s="1">
        <v>2022</v>
      </c>
      <c r="D3711" s="1">
        <v>25659</v>
      </c>
      <c r="E3711" s="1">
        <v>294</v>
      </c>
      <c r="F3711" s="1">
        <v>74</v>
      </c>
      <c r="G3711" s="1">
        <v>485537</v>
      </c>
      <c r="H3711" s="1">
        <v>0</v>
      </c>
    </row>
    <row r="3712" spans="1:8" x14ac:dyDescent="0.3">
      <c r="A3712" s="1" t="s">
        <v>584</v>
      </c>
      <c r="B3712" s="1" t="s">
        <v>585</v>
      </c>
      <c r="C3712" s="1">
        <v>2022</v>
      </c>
      <c r="D3712" s="1">
        <v>30679</v>
      </c>
      <c r="E3712" s="1">
        <v>345</v>
      </c>
      <c r="F3712" s="1">
        <v>152</v>
      </c>
      <c r="G3712" s="1">
        <v>445845</v>
      </c>
      <c r="H3712" s="1">
        <v>13</v>
      </c>
    </row>
    <row r="3713" spans="1:8" x14ac:dyDescent="0.3">
      <c r="A3713" s="1" t="s">
        <v>586</v>
      </c>
      <c r="B3713" s="1" t="s">
        <v>587</v>
      </c>
      <c r="C3713" s="1">
        <v>2022</v>
      </c>
      <c r="D3713" s="1">
        <v>10971</v>
      </c>
      <c r="E3713" s="1">
        <v>55</v>
      </c>
      <c r="F3713" s="1">
        <v>18</v>
      </c>
      <c r="G3713" s="1">
        <v>59135</v>
      </c>
      <c r="H3713" s="1">
        <v>0</v>
      </c>
    </row>
    <row r="3714" spans="1:8" x14ac:dyDescent="0.3">
      <c r="A3714" s="1" t="s">
        <v>588</v>
      </c>
      <c r="B3714" s="1" t="s">
        <v>589</v>
      </c>
      <c r="C3714" s="1">
        <v>2022</v>
      </c>
      <c r="D3714" s="1">
        <v>64676</v>
      </c>
      <c r="E3714" s="1">
        <v>1135</v>
      </c>
      <c r="F3714" s="1">
        <v>81</v>
      </c>
      <c r="G3714" s="1">
        <v>173365</v>
      </c>
      <c r="H3714" s="1">
        <v>22</v>
      </c>
    </row>
    <row r="3715" spans="1:8" x14ac:dyDescent="0.3">
      <c r="A3715" s="1" t="s">
        <v>590</v>
      </c>
      <c r="B3715" s="1" t="s">
        <v>591</v>
      </c>
      <c r="C3715" s="1">
        <v>2022</v>
      </c>
      <c r="D3715" s="1">
        <v>30150</v>
      </c>
      <c r="E3715" s="1">
        <v>219</v>
      </c>
      <c r="F3715" s="1">
        <v>49</v>
      </c>
      <c r="G3715" s="1">
        <v>386742</v>
      </c>
      <c r="H3715" s="1">
        <v>0</v>
      </c>
    </row>
    <row r="3716" spans="1:8" x14ac:dyDescent="0.3">
      <c r="A3716" s="1" t="s">
        <v>592</v>
      </c>
      <c r="B3716" s="1" t="s">
        <v>593</v>
      </c>
      <c r="C3716" s="1">
        <v>2022</v>
      </c>
      <c r="D3716" s="1">
        <v>18525</v>
      </c>
      <c r="E3716" s="1">
        <v>90</v>
      </c>
      <c r="F3716" s="1">
        <v>38</v>
      </c>
      <c r="G3716" s="1">
        <v>185886</v>
      </c>
      <c r="H3716" s="1">
        <v>0</v>
      </c>
    </row>
    <row r="3717" spans="1:8" x14ac:dyDescent="0.3">
      <c r="A3717" s="1" t="s">
        <v>594</v>
      </c>
      <c r="B3717" s="1" t="s">
        <v>595</v>
      </c>
      <c r="C3717" s="1">
        <v>2022</v>
      </c>
      <c r="D3717" s="1">
        <v>41317</v>
      </c>
      <c r="E3717" s="1">
        <v>173</v>
      </c>
      <c r="F3717" s="1">
        <v>181</v>
      </c>
      <c r="G3717" s="1">
        <v>908007</v>
      </c>
      <c r="H3717" s="1">
        <v>0</v>
      </c>
    </row>
    <row r="3718" spans="1:8" x14ac:dyDescent="0.3">
      <c r="A3718" s="1" t="s">
        <v>596</v>
      </c>
      <c r="B3718" s="1" t="s">
        <v>597</v>
      </c>
      <c r="C3718" s="1">
        <v>2022</v>
      </c>
      <c r="D3718" s="1">
        <v>14751</v>
      </c>
      <c r="E3718" s="1">
        <v>84</v>
      </c>
      <c r="F3718" s="1">
        <v>34</v>
      </c>
      <c r="G3718" s="1">
        <v>375104</v>
      </c>
      <c r="H3718" s="1">
        <v>12</v>
      </c>
    </row>
    <row r="3719" spans="1:8" x14ac:dyDescent="0.3">
      <c r="A3719" s="1" t="s">
        <v>598</v>
      </c>
      <c r="B3719" s="1" t="s">
        <v>599</v>
      </c>
      <c r="C3719" s="1">
        <v>2022</v>
      </c>
      <c r="D3719" s="1">
        <v>26252</v>
      </c>
      <c r="E3719" s="1">
        <v>188</v>
      </c>
      <c r="F3719" s="1">
        <v>54</v>
      </c>
      <c r="G3719" s="1">
        <v>593248</v>
      </c>
      <c r="H3719" s="1">
        <v>12</v>
      </c>
    </row>
    <row r="3720" spans="1:8" x14ac:dyDescent="0.3">
      <c r="A3720" s="1" t="s">
        <v>600</v>
      </c>
      <c r="B3720" s="1" t="s">
        <v>601</v>
      </c>
      <c r="C3720" s="1">
        <v>2022</v>
      </c>
      <c r="D3720" s="1">
        <v>30311</v>
      </c>
      <c r="E3720" s="1">
        <v>149</v>
      </c>
      <c r="F3720" s="1">
        <v>229</v>
      </c>
      <c r="G3720" s="1">
        <v>1342406</v>
      </c>
      <c r="H3720" s="1">
        <v>0</v>
      </c>
    </row>
    <row r="3721" spans="1:8" x14ac:dyDescent="0.3">
      <c r="A3721" s="1" t="s">
        <v>602</v>
      </c>
      <c r="B3721" s="1" t="s">
        <v>603</v>
      </c>
      <c r="C3721" s="1">
        <v>2022</v>
      </c>
      <c r="D3721" s="1">
        <v>33102</v>
      </c>
      <c r="E3721" s="1">
        <v>207</v>
      </c>
      <c r="F3721" s="1">
        <v>190</v>
      </c>
      <c r="G3721" s="1">
        <v>2047215</v>
      </c>
      <c r="H3721" s="1">
        <v>37</v>
      </c>
    </row>
    <row r="3722" spans="1:8" x14ac:dyDescent="0.3">
      <c r="A3722" s="1" t="s">
        <v>604</v>
      </c>
      <c r="B3722" s="1" t="s">
        <v>605</v>
      </c>
      <c r="C3722" s="1">
        <v>2022</v>
      </c>
      <c r="D3722" s="1">
        <v>24500</v>
      </c>
      <c r="E3722" s="1">
        <v>195</v>
      </c>
      <c r="F3722" s="1">
        <v>49</v>
      </c>
      <c r="G3722" s="1">
        <v>336599</v>
      </c>
      <c r="H3722" s="1">
        <v>0</v>
      </c>
    </row>
    <row r="3723" spans="1:8" x14ac:dyDescent="0.3">
      <c r="A3723" s="1" t="s">
        <v>606</v>
      </c>
      <c r="B3723" s="1" t="s">
        <v>607</v>
      </c>
      <c r="C3723" s="1">
        <v>2022</v>
      </c>
      <c r="D3723" s="1">
        <v>16860</v>
      </c>
      <c r="E3723" s="1">
        <v>180</v>
      </c>
      <c r="F3723" s="1">
        <v>60</v>
      </c>
      <c r="G3723" s="1">
        <v>108552</v>
      </c>
      <c r="H3723" s="1">
        <v>4</v>
      </c>
    </row>
    <row r="3724" spans="1:8" x14ac:dyDescent="0.3">
      <c r="A3724" s="1" t="s">
        <v>608</v>
      </c>
      <c r="B3724" s="1" t="s">
        <v>609</v>
      </c>
      <c r="C3724" s="1">
        <v>2022</v>
      </c>
      <c r="D3724" s="1">
        <v>91079</v>
      </c>
      <c r="E3724" s="1">
        <v>1093</v>
      </c>
      <c r="F3724" s="1">
        <v>1975</v>
      </c>
      <c r="G3724" s="1">
        <v>3036633</v>
      </c>
      <c r="H3724" s="1">
        <v>57</v>
      </c>
    </row>
    <row r="3725" spans="1:8" x14ac:dyDescent="0.3">
      <c r="A3725" s="1" t="s">
        <v>610</v>
      </c>
      <c r="B3725" s="1" t="s">
        <v>611</v>
      </c>
      <c r="C3725" s="1">
        <v>2022</v>
      </c>
      <c r="D3725" s="1">
        <v>20923</v>
      </c>
      <c r="E3725" s="1">
        <v>64</v>
      </c>
      <c r="F3725" s="1">
        <v>211</v>
      </c>
      <c r="G3725" s="1">
        <v>2384043</v>
      </c>
      <c r="H3725" s="1">
        <v>2</v>
      </c>
    </row>
    <row r="3726" spans="1:8" x14ac:dyDescent="0.3">
      <c r="A3726" s="1" t="s">
        <v>612</v>
      </c>
      <c r="B3726" s="1" t="s">
        <v>613</v>
      </c>
      <c r="C3726" s="1">
        <v>2022</v>
      </c>
      <c r="D3726" s="1">
        <v>14549</v>
      </c>
      <c r="E3726" s="1">
        <v>87</v>
      </c>
      <c r="F3726" s="1">
        <v>141</v>
      </c>
      <c r="G3726" s="1">
        <v>952536</v>
      </c>
      <c r="H3726" s="1">
        <v>6</v>
      </c>
    </row>
    <row r="3727" spans="1:8" x14ac:dyDescent="0.3">
      <c r="A3727" s="1" t="s">
        <v>614</v>
      </c>
      <c r="B3727" s="1" t="s">
        <v>615</v>
      </c>
      <c r="C3727" s="1">
        <v>2022</v>
      </c>
      <c r="D3727" s="1">
        <v>22579</v>
      </c>
      <c r="E3727" s="1">
        <v>356</v>
      </c>
      <c r="F3727" s="1">
        <v>328</v>
      </c>
      <c r="G3727" s="1">
        <v>940826</v>
      </c>
      <c r="H3727" s="1">
        <v>3</v>
      </c>
    </row>
    <row r="3728" spans="1:8" x14ac:dyDescent="0.3">
      <c r="A3728" s="1" t="s">
        <v>616</v>
      </c>
      <c r="B3728" s="1" t="s">
        <v>617</v>
      </c>
      <c r="C3728" s="1">
        <v>2022</v>
      </c>
      <c r="D3728" s="1">
        <v>18767</v>
      </c>
      <c r="E3728" s="1">
        <v>161</v>
      </c>
      <c r="F3728" s="1">
        <v>142</v>
      </c>
      <c r="G3728" s="1">
        <v>486938</v>
      </c>
      <c r="H3728" s="1">
        <v>4</v>
      </c>
    </row>
    <row r="3729" spans="1:8" x14ac:dyDescent="0.3">
      <c r="A3729" s="1" t="s">
        <v>618</v>
      </c>
      <c r="B3729" s="1" t="s">
        <v>619</v>
      </c>
      <c r="C3729" s="1">
        <v>2022</v>
      </c>
      <c r="D3729" s="1">
        <v>34966</v>
      </c>
      <c r="E3729" s="1">
        <v>621</v>
      </c>
      <c r="F3729" s="1">
        <v>771</v>
      </c>
      <c r="G3729" s="1">
        <v>1488092</v>
      </c>
      <c r="H3729" s="1">
        <v>84</v>
      </c>
    </row>
    <row r="3730" spans="1:8" x14ac:dyDescent="0.3">
      <c r="A3730" s="1" t="s">
        <v>620</v>
      </c>
      <c r="B3730" s="1" t="s">
        <v>621</v>
      </c>
      <c r="C3730" s="1">
        <v>2022</v>
      </c>
      <c r="D3730" s="1">
        <v>22689</v>
      </c>
      <c r="E3730" s="1">
        <v>442</v>
      </c>
      <c r="F3730" s="1">
        <v>342</v>
      </c>
      <c r="G3730" s="1">
        <v>1679810</v>
      </c>
      <c r="H3730" s="1">
        <v>37</v>
      </c>
    </row>
    <row r="3731" spans="1:8" x14ac:dyDescent="0.3">
      <c r="A3731" s="1" t="s">
        <v>622</v>
      </c>
      <c r="B3731" s="1" t="s">
        <v>623</v>
      </c>
      <c r="C3731" s="1">
        <v>2022</v>
      </c>
      <c r="D3731" s="1">
        <v>32806</v>
      </c>
      <c r="E3731" s="1">
        <v>559</v>
      </c>
      <c r="F3731" s="1">
        <v>615</v>
      </c>
      <c r="G3731" s="1">
        <v>1045144</v>
      </c>
      <c r="H3731" s="1">
        <v>70</v>
      </c>
    </row>
    <row r="3732" spans="1:8" x14ac:dyDescent="0.3">
      <c r="A3732" s="1" t="s">
        <v>624</v>
      </c>
      <c r="B3732" s="1" t="s">
        <v>625</v>
      </c>
      <c r="C3732" s="1">
        <v>2022</v>
      </c>
      <c r="D3732" s="1">
        <v>23782</v>
      </c>
      <c r="E3732" s="1">
        <v>53</v>
      </c>
      <c r="F3732" s="1">
        <v>238</v>
      </c>
      <c r="G3732" s="1">
        <v>2239225</v>
      </c>
      <c r="H3732" s="1">
        <v>3</v>
      </c>
    </row>
    <row r="3733" spans="1:8" x14ac:dyDescent="0.3">
      <c r="A3733" s="1" t="s">
        <v>626</v>
      </c>
      <c r="B3733" s="1" t="s">
        <v>627</v>
      </c>
      <c r="C3733" s="1">
        <v>2022</v>
      </c>
      <c r="D3733" s="1">
        <v>15239</v>
      </c>
      <c r="E3733" s="1">
        <v>52</v>
      </c>
      <c r="F3733" s="1">
        <v>152</v>
      </c>
      <c r="G3733" s="1">
        <v>1252463</v>
      </c>
      <c r="H3733" s="1">
        <v>40</v>
      </c>
    </row>
    <row r="3734" spans="1:8" x14ac:dyDescent="0.3">
      <c r="A3734" s="1" t="s">
        <v>628</v>
      </c>
      <c r="B3734" s="1" t="s">
        <v>629</v>
      </c>
      <c r="C3734" s="1">
        <v>2022</v>
      </c>
      <c r="D3734" s="1">
        <v>18653</v>
      </c>
      <c r="E3734" s="1">
        <v>224</v>
      </c>
      <c r="F3734" s="1">
        <v>227</v>
      </c>
      <c r="G3734" s="1">
        <v>1483659</v>
      </c>
      <c r="H3734" s="1">
        <v>35</v>
      </c>
    </row>
    <row r="3735" spans="1:8" x14ac:dyDescent="0.3">
      <c r="A3735" s="1" t="s">
        <v>630</v>
      </c>
      <c r="B3735" s="1" t="s">
        <v>631</v>
      </c>
      <c r="C3735" s="1">
        <v>2022</v>
      </c>
      <c r="D3735" s="1">
        <v>11025</v>
      </c>
      <c r="E3735" s="1">
        <v>96</v>
      </c>
      <c r="F3735" s="1">
        <v>74</v>
      </c>
      <c r="G3735" s="1">
        <v>663981</v>
      </c>
      <c r="H3735" s="1">
        <v>0</v>
      </c>
    </row>
    <row r="3736" spans="1:8" x14ac:dyDescent="0.3">
      <c r="A3736" s="1" t="s">
        <v>632</v>
      </c>
      <c r="B3736" s="1" t="s">
        <v>633</v>
      </c>
      <c r="C3736" s="1">
        <v>2022</v>
      </c>
      <c r="D3736" s="1">
        <v>14284</v>
      </c>
      <c r="E3736" s="1">
        <v>220</v>
      </c>
      <c r="F3736" s="1">
        <v>101</v>
      </c>
      <c r="G3736" s="1">
        <v>380361</v>
      </c>
      <c r="H3736" s="1">
        <v>4</v>
      </c>
    </row>
    <row r="3737" spans="1:8" x14ac:dyDescent="0.3">
      <c r="A3737" s="1" t="s">
        <v>634</v>
      </c>
      <c r="B3737" s="1" t="s">
        <v>635</v>
      </c>
      <c r="C3737" s="1">
        <v>2022</v>
      </c>
      <c r="D3737" s="1">
        <v>12297</v>
      </c>
      <c r="E3737" s="1">
        <v>167</v>
      </c>
      <c r="F3737" s="1">
        <v>176</v>
      </c>
      <c r="G3737" s="1">
        <v>965891</v>
      </c>
      <c r="H3737" s="1">
        <v>38</v>
      </c>
    </row>
    <row r="3738" spans="1:8" x14ac:dyDescent="0.3">
      <c r="A3738" s="1" t="s">
        <v>636</v>
      </c>
      <c r="B3738" s="1" t="s">
        <v>637</v>
      </c>
      <c r="C3738" s="1">
        <v>2022</v>
      </c>
      <c r="D3738" s="1">
        <v>47377</v>
      </c>
      <c r="E3738" s="1">
        <v>1284</v>
      </c>
      <c r="F3738" s="1">
        <v>785</v>
      </c>
      <c r="G3738" s="1">
        <v>1832016</v>
      </c>
      <c r="H3738" s="1">
        <v>12</v>
      </c>
    </row>
    <row r="3739" spans="1:8" x14ac:dyDescent="0.3">
      <c r="A3739" s="1" t="s">
        <v>638</v>
      </c>
      <c r="B3739" s="1" t="s">
        <v>639</v>
      </c>
      <c r="C3739" s="1">
        <v>2022</v>
      </c>
      <c r="D3739" s="1">
        <v>37925</v>
      </c>
      <c r="E3739" s="1">
        <v>618</v>
      </c>
      <c r="F3739" s="1">
        <v>1046</v>
      </c>
      <c r="G3739" s="1">
        <v>1254558</v>
      </c>
      <c r="H3739" s="1">
        <v>38</v>
      </c>
    </row>
    <row r="3740" spans="1:8" x14ac:dyDescent="0.3">
      <c r="A3740" s="1" t="s">
        <v>640</v>
      </c>
      <c r="B3740" s="1" t="s">
        <v>641</v>
      </c>
      <c r="C3740" s="1">
        <v>2022</v>
      </c>
      <c r="D3740" s="1">
        <v>19585</v>
      </c>
      <c r="E3740" s="1">
        <v>154</v>
      </c>
      <c r="F3740" s="1">
        <v>210</v>
      </c>
      <c r="G3740" s="1">
        <v>1708541</v>
      </c>
      <c r="H3740" s="1">
        <v>19</v>
      </c>
    </row>
    <row r="3741" spans="1:8" x14ac:dyDescent="0.3">
      <c r="A3741" s="1" t="s">
        <v>642</v>
      </c>
      <c r="B3741" s="1" t="s">
        <v>643</v>
      </c>
      <c r="C3741" s="1">
        <v>2022</v>
      </c>
      <c r="D3741" s="1">
        <v>24353</v>
      </c>
      <c r="E3741" s="1">
        <v>480</v>
      </c>
      <c r="F3741" s="1">
        <v>306</v>
      </c>
      <c r="G3741" s="1">
        <v>593127</v>
      </c>
      <c r="H3741" s="1">
        <v>8</v>
      </c>
    </row>
    <row r="3742" spans="1:8" x14ac:dyDescent="0.3">
      <c r="A3742" s="1" t="s">
        <v>644</v>
      </c>
      <c r="B3742" s="1" t="s">
        <v>645</v>
      </c>
      <c r="C3742" s="1">
        <v>2022</v>
      </c>
      <c r="D3742" s="1">
        <v>9391</v>
      </c>
      <c r="E3742" s="1">
        <v>60</v>
      </c>
      <c r="F3742" s="1">
        <v>98</v>
      </c>
      <c r="G3742" s="1">
        <v>2236973</v>
      </c>
      <c r="H3742" s="1">
        <v>7</v>
      </c>
    </row>
    <row r="3743" spans="1:8" x14ac:dyDescent="0.3">
      <c r="A3743" s="1" t="s">
        <v>646</v>
      </c>
      <c r="B3743" s="1" t="s">
        <v>647</v>
      </c>
      <c r="C3743" s="1">
        <v>2022</v>
      </c>
      <c r="D3743" s="1">
        <v>8582</v>
      </c>
      <c r="E3743" s="1">
        <v>71</v>
      </c>
      <c r="F3743" s="1">
        <v>117</v>
      </c>
      <c r="G3743" s="1">
        <v>772715</v>
      </c>
      <c r="H3743" s="1">
        <v>0</v>
      </c>
    </row>
    <row r="3744" spans="1:8" x14ac:dyDescent="0.3">
      <c r="A3744" s="1" t="s">
        <v>648</v>
      </c>
      <c r="B3744" s="1" t="s">
        <v>649</v>
      </c>
      <c r="C3744" s="1">
        <v>2022</v>
      </c>
      <c r="D3744" s="1">
        <v>48994</v>
      </c>
      <c r="E3744" s="1">
        <v>566</v>
      </c>
      <c r="F3744" s="1">
        <v>1283</v>
      </c>
      <c r="G3744" s="1">
        <v>5104388</v>
      </c>
      <c r="H3744" s="1">
        <v>12</v>
      </c>
    </row>
    <row r="3745" spans="1:8" x14ac:dyDescent="0.3">
      <c r="A3745" s="1" t="s">
        <v>650</v>
      </c>
      <c r="B3745" s="1" t="s">
        <v>651</v>
      </c>
      <c r="C3745" s="1">
        <v>2022</v>
      </c>
      <c r="D3745" s="1">
        <v>83070</v>
      </c>
      <c r="E3745" s="1">
        <v>1391</v>
      </c>
      <c r="F3745" s="1">
        <v>2273</v>
      </c>
      <c r="G3745" s="1">
        <v>5474974</v>
      </c>
      <c r="H3745" s="1">
        <v>0</v>
      </c>
    </row>
    <row r="3746" spans="1:8" x14ac:dyDescent="0.3">
      <c r="A3746" s="1" t="s">
        <v>652</v>
      </c>
      <c r="B3746" s="1" t="s">
        <v>653</v>
      </c>
      <c r="C3746" s="1">
        <v>2022</v>
      </c>
      <c r="D3746" s="1">
        <v>15791</v>
      </c>
      <c r="E3746" s="1">
        <v>176</v>
      </c>
      <c r="F3746" s="1">
        <v>126</v>
      </c>
      <c r="G3746" s="1">
        <v>857418</v>
      </c>
      <c r="H3746" s="1">
        <v>7</v>
      </c>
    </row>
    <row r="3747" spans="1:8" x14ac:dyDescent="0.3">
      <c r="A3747" s="1" t="s">
        <v>654</v>
      </c>
      <c r="B3747" s="1" t="s">
        <v>655</v>
      </c>
      <c r="C3747" s="1">
        <v>2022</v>
      </c>
      <c r="D3747" s="1">
        <v>28741</v>
      </c>
      <c r="E3747" s="1">
        <v>303</v>
      </c>
      <c r="F3747" s="1">
        <v>188</v>
      </c>
      <c r="G3747" s="1">
        <v>1430593</v>
      </c>
      <c r="H3747" s="1">
        <v>78</v>
      </c>
    </row>
    <row r="3748" spans="1:8" x14ac:dyDescent="0.3">
      <c r="A3748" s="1" t="s">
        <v>656</v>
      </c>
      <c r="B3748" s="1" t="s">
        <v>657</v>
      </c>
      <c r="C3748" s="1">
        <v>2022</v>
      </c>
      <c r="D3748" s="1">
        <v>54801</v>
      </c>
      <c r="E3748" s="1">
        <v>771</v>
      </c>
      <c r="F3748" s="1">
        <v>507</v>
      </c>
      <c r="G3748" s="1">
        <v>6684725</v>
      </c>
      <c r="H3748" s="1">
        <v>29</v>
      </c>
    </row>
    <row r="3749" spans="1:8" x14ac:dyDescent="0.3">
      <c r="A3749" s="1" t="s">
        <v>658</v>
      </c>
      <c r="B3749" s="1" t="s">
        <v>659</v>
      </c>
      <c r="C3749" s="1">
        <v>2022</v>
      </c>
      <c r="D3749" s="1">
        <v>23678</v>
      </c>
      <c r="E3749" s="1">
        <v>360</v>
      </c>
      <c r="F3749" s="1">
        <v>237</v>
      </c>
      <c r="G3749" s="1">
        <v>1131120</v>
      </c>
      <c r="H3749" s="1">
        <v>14</v>
      </c>
    </row>
    <row r="3750" spans="1:8" x14ac:dyDescent="0.3">
      <c r="A3750" s="1" t="s">
        <v>660</v>
      </c>
      <c r="B3750" s="1" t="s">
        <v>292</v>
      </c>
      <c r="C3750" s="1">
        <v>2022</v>
      </c>
      <c r="D3750" s="1">
        <v>16231</v>
      </c>
      <c r="E3750" s="1">
        <v>294</v>
      </c>
      <c r="F3750" s="1">
        <v>268</v>
      </c>
      <c r="G3750" s="1">
        <v>1369188</v>
      </c>
      <c r="H3750" s="1">
        <v>0</v>
      </c>
    </row>
    <row r="3751" spans="1:8" x14ac:dyDescent="0.3">
      <c r="A3751" s="1" t="s">
        <v>661</v>
      </c>
      <c r="B3751" s="1" t="s">
        <v>662</v>
      </c>
      <c r="C3751" s="1">
        <v>2022</v>
      </c>
      <c r="D3751" s="1">
        <v>23907</v>
      </c>
      <c r="E3751" s="1">
        <v>645</v>
      </c>
      <c r="F3751" s="1">
        <v>298</v>
      </c>
      <c r="G3751" s="1">
        <v>1037361</v>
      </c>
      <c r="H3751" s="1">
        <v>0</v>
      </c>
    </row>
    <row r="3752" spans="1:8" x14ac:dyDescent="0.3">
      <c r="A3752" s="1" t="s">
        <v>663</v>
      </c>
      <c r="B3752" s="1" t="s">
        <v>664</v>
      </c>
      <c r="C3752" s="1">
        <v>2022</v>
      </c>
      <c r="D3752" s="1">
        <v>24567</v>
      </c>
      <c r="E3752" s="1">
        <v>319</v>
      </c>
      <c r="F3752" s="1">
        <v>15</v>
      </c>
      <c r="G3752" s="1">
        <v>127077</v>
      </c>
      <c r="H3752" s="1">
        <v>0</v>
      </c>
    </row>
    <row r="3753" spans="1:8" x14ac:dyDescent="0.3">
      <c r="A3753" s="1" t="s">
        <v>665</v>
      </c>
      <c r="B3753" s="1" t="s">
        <v>666</v>
      </c>
      <c r="C3753" s="1">
        <v>2022</v>
      </c>
      <c r="D3753" s="1">
        <v>19027</v>
      </c>
      <c r="E3753" s="1">
        <v>427</v>
      </c>
      <c r="F3753" s="1">
        <v>205</v>
      </c>
      <c r="G3753" s="1">
        <v>667773</v>
      </c>
      <c r="H3753" s="1">
        <v>6</v>
      </c>
    </row>
    <row r="3754" spans="1:8" x14ac:dyDescent="0.3">
      <c r="A3754" s="1" t="s">
        <v>667</v>
      </c>
      <c r="B3754" s="1" t="s">
        <v>668</v>
      </c>
      <c r="C3754" s="1">
        <v>2022</v>
      </c>
      <c r="D3754" s="1">
        <v>30153</v>
      </c>
      <c r="E3754" s="1">
        <v>277</v>
      </c>
      <c r="F3754" s="1">
        <v>90</v>
      </c>
      <c r="G3754" s="1">
        <v>1345607</v>
      </c>
      <c r="H3754" s="1">
        <v>60</v>
      </c>
    </row>
    <row r="3755" spans="1:8" x14ac:dyDescent="0.3">
      <c r="A3755" s="1" t="s">
        <v>669</v>
      </c>
      <c r="B3755" s="1" t="s">
        <v>670</v>
      </c>
      <c r="C3755" s="1">
        <v>2022</v>
      </c>
      <c r="D3755" s="1">
        <v>39564</v>
      </c>
      <c r="E3755" s="1">
        <v>695</v>
      </c>
      <c r="F3755" s="1">
        <v>96</v>
      </c>
      <c r="G3755" s="1">
        <v>399225</v>
      </c>
      <c r="H3755" s="1">
        <v>8</v>
      </c>
    </row>
    <row r="3756" spans="1:8" x14ac:dyDescent="0.3">
      <c r="A3756" s="1" t="s">
        <v>671</v>
      </c>
      <c r="B3756" s="1" t="s">
        <v>672</v>
      </c>
      <c r="C3756" s="1">
        <v>2022</v>
      </c>
      <c r="D3756" s="1">
        <v>26843</v>
      </c>
      <c r="E3756" s="1">
        <v>385</v>
      </c>
      <c r="F3756" s="1">
        <v>295</v>
      </c>
      <c r="G3756" s="1">
        <v>2594779</v>
      </c>
      <c r="H3756" s="1">
        <v>33</v>
      </c>
    </row>
    <row r="3757" spans="1:8" x14ac:dyDescent="0.3">
      <c r="A3757" s="1" t="s">
        <v>673</v>
      </c>
      <c r="B3757" s="1" t="s">
        <v>674</v>
      </c>
      <c r="C3757" s="1">
        <v>2022</v>
      </c>
      <c r="D3757" s="1">
        <v>24929</v>
      </c>
      <c r="E3757" s="1">
        <v>269</v>
      </c>
      <c r="F3757" s="1">
        <v>215</v>
      </c>
      <c r="G3757" s="1">
        <v>1762823</v>
      </c>
      <c r="H3757" s="1">
        <v>0</v>
      </c>
    </row>
    <row r="3758" spans="1:8" x14ac:dyDescent="0.3">
      <c r="A3758" s="1" t="s">
        <v>675</v>
      </c>
      <c r="B3758" s="1" t="s">
        <v>676</v>
      </c>
      <c r="C3758" s="1">
        <v>2022</v>
      </c>
      <c r="D3758" s="1">
        <v>19141</v>
      </c>
      <c r="E3758" s="1">
        <v>646</v>
      </c>
      <c r="F3758" s="1">
        <v>295</v>
      </c>
      <c r="G3758" s="1">
        <v>124222</v>
      </c>
      <c r="H3758" s="1">
        <v>6</v>
      </c>
    </row>
    <row r="3759" spans="1:8" x14ac:dyDescent="0.3">
      <c r="A3759" s="1" t="s">
        <v>677</v>
      </c>
      <c r="B3759" s="1" t="s">
        <v>678</v>
      </c>
      <c r="C3759" s="1">
        <v>2022</v>
      </c>
      <c r="D3759" s="1">
        <v>13259</v>
      </c>
      <c r="E3759" s="1">
        <v>190</v>
      </c>
      <c r="F3759" s="1">
        <v>96</v>
      </c>
      <c r="G3759" s="1">
        <v>807738</v>
      </c>
      <c r="H3759" s="1">
        <v>18</v>
      </c>
    </row>
    <row r="3760" spans="1:8" x14ac:dyDescent="0.3">
      <c r="A3760" s="1" t="s">
        <v>679</v>
      </c>
      <c r="B3760" s="1" t="s">
        <v>680</v>
      </c>
      <c r="C3760" s="1">
        <v>2022</v>
      </c>
      <c r="D3760" s="1">
        <v>25925</v>
      </c>
      <c r="E3760" s="1">
        <v>517</v>
      </c>
      <c r="F3760" s="1">
        <v>269</v>
      </c>
      <c r="G3760" s="1">
        <v>792266</v>
      </c>
      <c r="H3760" s="1">
        <v>0</v>
      </c>
    </row>
    <row r="3761" spans="1:8" x14ac:dyDescent="0.3">
      <c r="A3761" s="1" t="s">
        <v>681</v>
      </c>
      <c r="B3761" s="1" t="s">
        <v>682</v>
      </c>
      <c r="C3761" s="1">
        <v>2022</v>
      </c>
      <c r="D3761" s="1">
        <v>20712</v>
      </c>
      <c r="E3761" s="1">
        <v>392</v>
      </c>
      <c r="F3761" s="1">
        <v>356</v>
      </c>
      <c r="G3761" s="1">
        <v>1064718</v>
      </c>
      <c r="H3761" s="1">
        <v>8</v>
      </c>
    </row>
    <row r="3762" spans="1:8" x14ac:dyDescent="0.3">
      <c r="A3762" s="1" t="s">
        <v>683</v>
      </c>
      <c r="B3762" s="1" t="s">
        <v>314</v>
      </c>
      <c r="C3762" s="1">
        <v>2022</v>
      </c>
      <c r="D3762" s="1">
        <v>56966</v>
      </c>
      <c r="E3762" s="1">
        <v>900</v>
      </c>
      <c r="F3762" s="1">
        <v>586</v>
      </c>
      <c r="G3762" s="1">
        <v>3989413</v>
      </c>
      <c r="H3762" s="1">
        <v>18</v>
      </c>
    </row>
    <row r="3763" spans="1:8" x14ac:dyDescent="0.3">
      <c r="A3763" s="1" t="s">
        <v>684</v>
      </c>
      <c r="B3763" s="1" t="s">
        <v>685</v>
      </c>
      <c r="C3763" s="1">
        <v>2022</v>
      </c>
      <c r="D3763" s="1">
        <v>18158</v>
      </c>
      <c r="E3763" s="1">
        <v>252</v>
      </c>
      <c r="F3763" s="1">
        <v>77</v>
      </c>
      <c r="G3763" s="1">
        <v>774565</v>
      </c>
      <c r="H3763" s="1">
        <v>0</v>
      </c>
    </row>
    <row r="3764" spans="1:8" x14ac:dyDescent="0.3">
      <c r="A3764" s="1" t="s">
        <v>686</v>
      </c>
      <c r="B3764" s="1" t="s">
        <v>687</v>
      </c>
      <c r="C3764" s="1">
        <v>2022</v>
      </c>
      <c r="D3764" s="1">
        <v>48832</v>
      </c>
      <c r="E3764" s="1">
        <v>639</v>
      </c>
      <c r="F3764" s="1">
        <v>835</v>
      </c>
      <c r="G3764" s="1">
        <v>3463534</v>
      </c>
      <c r="H3764" s="1">
        <v>91</v>
      </c>
    </row>
    <row r="3765" spans="1:8" x14ac:dyDescent="0.3">
      <c r="A3765" s="1" t="s">
        <v>688</v>
      </c>
      <c r="B3765" s="1" t="s">
        <v>689</v>
      </c>
      <c r="C3765" s="1">
        <v>2022</v>
      </c>
      <c r="D3765" s="1">
        <v>19996</v>
      </c>
      <c r="E3765" s="1">
        <v>418</v>
      </c>
      <c r="F3765" s="1">
        <v>288</v>
      </c>
      <c r="G3765" s="1">
        <v>1659887</v>
      </c>
      <c r="H3765" s="1">
        <v>0</v>
      </c>
    </row>
    <row r="3766" spans="1:8" x14ac:dyDescent="0.3">
      <c r="A3766" s="1" t="s">
        <v>690</v>
      </c>
      <c r="B3766" s="1" t="s">
        <v>691</v>
      </c>
      <c r="C3766" s="1">
        <v>2022</v>
      </c>
      <c r="D3766" s="1">
        <v>158969</v>
      </c>
      <c r="E3766" s="1">
        <v>5838</v>
      </c>
      <c r="F3766" s="1">
        <v>2710</v>
      </c>
      <c r="G3766" s="1">
        <v>3587986</v>
      </c>
      <c r="H3766" s="1">
        <v>98</v>
      </c>
    </row>
    <row r="3767" spans="1:8" x14ac:dyDescent="0.3">
      <c r="A3767" s="1" t="s">
        <v>692</v>
      </c>
      <c r="B3767" s="1" t="s">
        <v>693</v>
      </c>
      <c r="C3767" s="1">
        <v>2022</v>
      </c>
      <c r="D3767" s="1">
        <v>20654</v>
      </c>
      <c r="E3767" s="1">
        <v>301</v>
      </c>
      <c r="F3767" s="1">
        <v>149</v>
      </c>
      <c r="G3767" s="1">
        <v>771669</v>
      </c>
      <c r="H3767" s="1">
        <v>0</v>
      </c>
    </row>
    <row r="3768" spans="1:8" x14ac:dyDescent="0.3">
      <c r="A3768" s="1" t="s">
        <v>694</v>
      </c>
      <c r="B3768" s="1" t="s">
        <v>695</v>
      </c>
      <c r="C3768" s="1">
        <v>2022</v>
      </c>
      <c r="D3768" s="1">
        <v>19806</v>
      </c>
      <c r="E3768" s="1">
        <v>245</v>
      </c>
      <c r="F3768" s="1">
        <v>113</v>
      </c>
      <c r="G3768" s="1">
        <v>744846</v>
      </c>
      <c r="H3768" s="1">
        <v>0</v>
      </c>
    </row>
    <row r="3769" spans="1:8" x14ac:dyDescent="0.3">
      <c r="A3769" s="1" t="s">
        <v>696</v>
      </c>
      <c r="B3769" s="1" t="s">
        <v>697</v>
      </c>
      <c r="C3769" s="1">
        <v>2022</v>
      </c>
      <c r="D3769" s="1">
        <v>32919</v>
      </c>
      <c r="E3769" s="1">
        <v>735</v>
      </c>
      <c r="F3769" s="1">
        <v>332</v>
      </c>
      <c r="G3769" s="1">
        <v>1580233</v>
      </c>
      <c r="H3769" s="1">
        <v>24</v>
      </c>
    </row>
    <row r="3770" spans="1:8" x14ac:dyDescent="0.3">
      <c r="A3770" s="1" t="s">
        <v>698</v>
      </c>
      <c r="B3770" s="1" t="s">
        <v>45</v>
      </c>
      <c r="C3770" s="1">
        <v>2022</v>
      </c>
      <c r="D3770" s="1">
        <v>21690</v>
      </c>
      <c r="E3770" s="1">
        <v>557</v>
      </c>
      <c r="F3770" s="1">
        <v>381</v>
      </c>
      <c r="G3770" s="1">
        <v>556426</v>
      </c>
      <c r="H3770" s="1">
        <v>0</v>
      </c>
    </row>
    <row r="3771" spans="1:8" x14ac:dyDescent="0.3">
      <c r="A3771" s="1" t="s">
        <v>699</v>
      </c>
      <c r="B3771" s="1" t="s">
        <v>700</v>
      </c>
      <c r="C3771" s="1">
        <v>2022</v>
      </c>
      <c r="D3771" s="1">
        <v>22089</v>
      </c>
      <c r="E3771" s="1">
        <v>576</v>
      </c>
      <c r="F3771" s="1">
        <v>286</v>
      </c>
      <c r="G3771" s="1">
        <v>1933936</v>
      </c>
      <c r="H3771" s="1">
        <v>75</v>
      </c>
    </row>
    <row r="3772" spans="1:8" x14ac:dyDescent="0.3">
      <c r="A3772" s="1" t="s">
        <v>701</v>
      </c>
      <c r="B3772" s="1" t="s">
        <v>702</v>
      </c>
      <c r="C3772" s="1">
        <v>2022</v>
      </c>
      <c r="D3772" s="1">
        <v>27837</v>
      </c>
      <c r="E3772" s="1">
        <v>183</v>
      </c>
      <c r="F3772" s="1">
        <v>236</v>
      </c>
      <c r="G3772" s="1">
        <v>963585</v>
      </c>
      <c r="H3772" s="1">
        <v>0</v>
      </c>
    </row>
    <row r="3773" spans="1:8" x14ac:dyDescent="0.3">
      <c r="A3773" s="1" t="s">
        <v>703</v>
      </c>
      <c r="B3773" s="1" t="s">
        <v>704</v>
      </c>
      <c r="C3773" s="1">
        <v>2022</v>
      </c>
      <c r="D3773" s="1">
        <v>24793</v>
      </c>
      <c r="E3773" s="1">
        <v>584</v>
      </c>
      <c r="F3773" s="1">
        <v>299</v>
      </c>
      <c r="G3773" s="1">
        <v>1803454</v>
      </c>
      <c r="H3773" s="1">
        <v>12</v>
      </c>
    </row>
    <row r="3774" spans="1:8" x14ac:dyDescent="0.3">
      <c r="A3774" s="1" t="s">
        <v>705</v>
      </c>
      <c r="B3774" s="1" t="s">
        <v>706</v>
      </c>
      <c r="C3774" s="1">
        <v>2022</v>
      </c>
      <c r="D3774" s="1">
        <v>17986</v>
      </c>
      <c r="E3774" s="1">
        <v>290</v>
      </c>
      <c r="F3774" s="1">
        <v>158</v>
      </c>
      <c r="G3774" s="1">
        <v>725545</v>
      </c>
      <c r="H3774" s="1">
        <v>0</v>
      </c>
    </row>
    <row r="3775" spans="1:8" x14ac:dyDescent="0.3">
      <c r="A3775" s="1" t="s">
        <v>707</v>
      </c>
      <c r="B3775" s="1" t="s">
        <v>708</v>
      </c>
      <c r="C3775" s="1">
        <v>2022</v>
      </c>
      <c r="D3775" s="1">
        <v>29735</v>
      </c>
      <c r="E3775" s="1">
        <v>631</v>
      </c>
      <c r="F3775" s="1">
        <v>514</v>
      </c>
      <c r="G3775" s="1">
        <v>1837129</v>
      </c>
      <c r="H3775" s="1">
        <v>0</v>
      </c>
    </row>
    <row r="3776" spans="1:8" x14ac:dyDescent="0.3">
      <c r="A3776" s="1" t="s">
        <v>709</v>
      </c>
      <c r="B3776" s="1" t="s">
        <v>710</v>
      </c>
      <c r="C3776" s="1">
        <v>2022</v>
      </c>
      <c r="D3776" s="1">
        <v>23472</v>
      </c>
      <c r="E3776" s="1">
        <v>424</v>
      </c>
      <c r="F3776" s="1">
        <v>335</v>
      </c>
      <c r="G3776" s="1">
        <v>3359289</v>
      </c>
      <c r="H3776" s="1">
        <v>0</v>
      </c>
    </row>
    <row r="3777" spans="1:8" x14ac:dyDescent="0.3">
      <c r="A3777" s="1" t="s">
        <v>711</v>
      </c>
      <c r="B3777" s="1" t="s">
        <v>712</v>
      </c>
      <c r="C3777" s="1">
        <v>2022</v>
      </c>
      <c r="D3777" s="1">
        <v>45977</v>
      </c>
      <c r="E3777" s="1">
        <v>516</v>
      </c>
      <c r="F3777" s="1">
        <v>800</v>
      </c>
      <c r="G3777" s="1">
        <v>4634289</v>
      </c>
      <c r="H3777" s="1">
        <v>0</v>
      </c>
    </row>
    <row r="3778" spans="1:8" x14ac:dyDescent="0.3">
      <c r="A3778" s="1" t="s">
        <v>713</v>
      </c>
      <c r="B3778" s="1" t="s">
        <v>714</v>
      </c>
      <c r="C3778" s="1">
        <v>2022</v>
      </c>
      <c r="D3778" s="1">
        <v>30728</v>
      </c>
      <c r="E3778" s="1">
        <v>286</v>
      </c>
      <c r="F3778" s="1">
        <v>403</v>
      </c>
      <c r="G3778" s="1">
        <v>3306842</v>
      </c>
      <c r="H3778" s="1">
        <v>0</v>
      </c>
    </row>
    <row r="3779" spans="1:8" x14ac:dyDescent="0.3">
      <c r="A3779" s="1" t="s">
        <v>715</v>
      </c>
      <c r="B3779" s="1" t="s">
        <v>716</v>
      </c>
      <c r="C3779" s="1">
        <v>2022</v>
      </c>
      <c r="D3779" s="1">
        <v>26535</v>
      </c>
      <c r="E3779" s="1">
        <v>324</v>
      </c>
      <c r="F3779" s="1">
        <v>601</v>
      </c>
      <c r="G3779" s="1">
        <v>1730073</v>
      </c>
      <c r="H3779" s="1">
        <v>0</v>
      </c>
    </row>
    <row r="3780" spans="1:8" x14ac:dyDescent="0.3">
      <c r="A3780" s="1" t="s">
        <v>717</v>
      </c>
      <c r="B3780" s="1" t="s">
        <v>718</v>
      </c>
      <c r="C3780" s="1">
        <v>2022</v>
      </c>
      <c r="D3780" s="1">
        <v>297298</v>
      </c>
      <c r="E3780" s="1">
        <v>5319</v>
      </c>
      <c r="F3780" s="1">
        <v>9254</v>
      </c>
      <c r="G3780" s="1">
        <v>15587428</v>
      </c>
      <c r="H3780" s="1">
        <v>717</v>
      </c>
    </row>
    <row r="3781" spans="1:8" x14ac:dyDescent="0.3">
      <c r="A3781" s="1" t="s">
        <v>719</v>
      </c>
      <c r="B3781" s="1" t="s">
        <v>720</v>
      </c>
      <c r="C3781" s="1">
        <v>2022</v>
      </c>
      <c r="D3781" s="1">
        <v>17422</v>
      </c>
      <c r="E3781" s="1">
        <v>95</v>
      </c>
      <c r="F3781" s="1">
        <v>210</v>
      </c>
      <c r="G3781" s="1">
        <v>1955586</v>
      </c>
      <c r="H3781" s="1">
        <v>0</v>
      </c>
    </row>
    <row r="3782" spans="1:8" x14ac:dyDescent="0.3">
      <c r="A3782" s="1" t="s">
        <v>721</v>
      </c>
      <c r="B3782" s="1" t="s">
        <v>722</v>
      </c>
      <c r="C3782" s="1">
        <v>2022</v>
      </c>
      <c r="D3782" s="1">
        <v>17246</v>
      </c>
      <c r="E3782" s="1">
        <v>106</v>
      </c>
      <c r="F3782" s="1">
        <v>165</v>
      </c>
      <c r="G3782" s="1">
        <v>841655</v>
      </c>
      <c r="H3782" s="1">
        <v>0</v>
      </c>
    </row>
    <row r="3783" spans="1:8" x14ac:dyDescent="0.3">
      <c r="A3783" s="1" t="s">
        <v>723</v>
      </c>
      <c r="B3783" s="1" t="s">
        <v>724</v>
      </c>
      <c r="C3783" s="1">
        <v>2022</v>
      </c>
      <c r="D3783" s="1">
        <v>20691</v>
      </c>
      <c r="E3783" s="1">
        <v>122</v>
      </c>
      <c r="F3783" s="1">
        <v>180</v>
      </c>
      <c r="G3783" s="1">
        <v>2799215</v>
      </c>
      <c r="H3783" s="1">
        <v>48</v>
      </c>
    </row>
    <row r="3784" spans="1:8" x14ac:dyDescent="0.3">
      <c r="A3784" s="1" t="s">
        <v>725</v>
      </c>
      <c r="B3784" s="1" t="s">
        <v>726</v>
      </c>
      <c r="C3784" s="1">
        <v>2022</v>
      </c>
      <c r="D3784" s="1">
        <v>30361</v>
      </c>
      <c r="E3784" s="1">
        <v>360</v>
      </c>
      <c r="F3784" s="1">
        <v>275</v>
      </c>
      <c r="G3784" s="1">
        <v>1145354</v>
      </c>
      <c r="H3784" s="1">
        <v>0</v>
      </c>
    </row>
    <row r="3785" spans="1:8" x14ac:dyDescent="0.3">
      <c r="A3785" s="1" t="s">
        <v>727</v>
      </c>
      <c r="B3785" s="1" t="s">
        <v>728</v>
      </c>
      <c r="C3785" s="1">
        <v>2022</v>
      </c>
      <c r="D3785" s="1">
        <v>21917</v>
      </c>
      <c r="E3785" s="1">
        <v>82</v>
      </c>
      <c r="F3785" s="1">
        <v>770</v>
      </c>
      <c r="G3785" s="1">
        <v>1363256</v>
      </c>
      <c r="H3785" s="1">
        <v>0</v>
      </c>
    </row>
    <row r="3786" spans="1:8" x14ac:dyDescent="0.3">
      <c r="A3786" s="1" t="s">
        <v>729</v>
      </c>
      <c r="B3786" s="1" t="s">
        <v>730</v>
      </c>
      <c r="C3786" s="1">
        <v>2022</v>
      </c>
      <c r="D3786" s="1">
        <v>28722</v>
      </c>
      <c r="E3786" s="1">
        <v>302</v>
      </c>
      <c r="F3786" s="1">
        <v>330</v>
      </c>
      <c r="G3786" s="1">
        <v>968759</v>
      </c>
      <c r="H3786" s="1">
        <v>0</v>
      </c>
    </row>
    <row r="3787" spans="1:8" x14ac:dyDescent="0.3">
      <c r="A3787" s="1" t="s">
        <v>731</v>
      </c>
      <c r="B3787" s="1" t="s">
        <v>732</v>
      </c>
      <c r="C3787" s="1">
        <v>2022</v>
      </c>
      <c r="D3787" s="1">
        <v>24133</v>
      </c>
      <c r="E3787" s="1">
        <v>990</v>
      </c>
      <c r="F3787" s="1">
        <v>865</v>
      </c>
      <c r="G3787" s="1">
        <v>661601</v>
      </c>
      <c r="H3787" s="1">
        <v>2</v>
      </c>
    </row>
    <row r="3788" spans="1:8" x14ac:dyDescent="0.3">
      <c r="A3788" s="1" t="s">
        <v>733</v>
      </c>
      <c r="B3788" s="1" t="s">
        <v>734</v>
      </c>
      <c r="C3788" s="1">
        <v>2022</v>
      </c>
      <c r="D3788" s="1">
        <v>40759</v>
      </c>
      <c r="E3788" s="1">
        <v>1070</v>
      </c>
      <c r="F3788" s="1">
        <v>1368</v>
      </c>
      <c r="G3788" s="1">
        <v>1482133</v>
      </c>
      <c r="H3788" s="1">
        <v>0</v>
      </c>
    </row>
    <row r="3789" spans="1:8" x14ac:dyDescent="0.3">
      <c r="A3789" s="1" t="s">
        <v>735</v>
      </c>
      <c r="B3789" s="1" t="s">
        <v>736</v>
      </c>
      <c r="C3789" s="1">
        <v>2022</v>
      </c>
      <c r="D3789" s="1">
        <v>25775</v>
      </c>
      <c r="E3789" s="1">
        <v>500</v>
      </c>
      <c r="F3789" s="1">
        <v>443</v>
      </c>
      <c r="G3789" s="1">
        <v>601618</v>
      </c>
      <c r="H3789" s="1">
        <v>0</v>
      </c>
    </row>
    <row r="3790" spans="1:8" x14ac:dyDescent="0.3">
      <c r="A3790" s="1" t="s">
        <v>737</v>
      </c>
      <c r="B3790" s="1" t="s">
        <v>738</v>
      </c>
      <c r="C3790" s="1">
        <v>2022</v>
      </c>
      <c r="D3790" s="1">
        <v>23522</v>
      </c>
      <c r="E3790" s="1">
        <v>177</v>
      </c>
      <c r="F3790" s="1">
        <v>224</v>
      </c>
      <c r="G3790" s="1">
        <v>1167531</v>
      </c>
      <c r="H3790" s="1">
        <v>42</v>
      </c>
    </row>
    <row r="3791" spans="1:8" x14ac:dyDescent="0.3">
      <c r="A3791" s="1" t="s">
        <v>739</v>
      </c>
      <c r="B3791" s="1" t="s">
        <v>740</v>
      </c>
      <c r="C3791" s="1">
        <v>2022</v>
      </c>
      <c r="D3791" s="1">
        <v>32010</v>
      </c>
      <c r="E3791" s="1">
        <v>1085</v>
      </c>
      <c r="F3791" s="1">
        <v>828</v>
      </c>
      <c r="G3791" s="1">
        <v>937647</v>
      </c>
      <c r="H3791" s="1">
        <v>16</v>
      </c>
    </row>
    <row r="3792" spans="1:8" x14ac:dyDescent="0.3">
      <c r="A3792" s="1" t="s">
        <v>741</v>
      </c>
      <c r="B3792" s="1" t="s">
        <v>742</v>
      </c>
      <c r="C3792" s="1">
        <v>2022</v>
      </c>
      <c r="D3792" s="1">
        <v>13337</v>
      </c>
      <c r="E3792" s="1">
        <v>98</v>
      </c>
      <c r="F3792" s="1">
        <v>125</v>
      </c>
      <c r="G3792" s="1">
        <v>694639</v>
      </c>
      <c r="H3792" s="1">
        <v>0</v>
      </c>
    </row>
    <row r="3793" spans="1:8" x14ac:dyDescent="0.3">
      <c r="A3793" s="1" t="s">
        <v>743</v>
      </c>
      <c r="B3793" s="1" t="s">
        <v>744</v>
      </c>
      <c r="C3793" s="1">
        <v>2022</v>
      </c>
      <c r="D3793" s="1">
        <v>20496</v>
      </c>
      <c r="E3793" s="1">
        <v>307</v>
      </c>
      <c r="F3793" s="1">
        <v>441</v>
      </c>
      <c r="G3793" s="1">
        <v>822426</v>
      </c>
      <c r="H3793" s="1">
        <v>14</v>
      </c>
    </row>
    <row r="3794" spans="1:8" x14ac:dyDescent="0.3">
      <c r="A3794" s="1" t="s">
        <v>745</v>
      </c>
      <c r="B3794" s="1" t="s">
        <v>746</v>
      </c>
      <c r="C3794" s="1">
        <v>2022</v>
      </c>
      <c r="D3794" s="1">
        <v>46299</v>
      </c>
      <c r="E3794" s="1">
        <v>843</v>
      </c>
      <c r="F3794" s="1">
        <v>834</v>
      </c>
      <c r="G3794" s="1">
        <v>3176718</v>
      </c>
      <c r="H3794" s="1">
        <v>26</v>
      </c>
    </row>
    <row r="3795" spans="1:8" x14ac:dyDescent="0.3">
      <c r="A3795" s="1" t="s">
        <v>747</v>
      </c>
      <c r="B3795" s="1" t="s">
        <v>748</v>
      </c>
      <c r="C3795" s="1">
        <v>2022</v>
      </c>
      <c r="D3795" s="1">
        <v>29811</v>
      </c>
      <c r="E3795" s="1">
        <v>352</v>
      </c>
      <c r="F3795" s="1">
        <v>318</v>
      </c>
      <c r="G3795" s="1">
        <v>3000444</v>
      </c>
      <c r="H3795" s="1">
        <v>28</v>
      </c>
    </row>
    <row r="3796" spans="1:8" x14ac:dyDescent="0.3">
      <c r="A3796" s="1" t="s">
        <v>749</v>
      </c>
      <c r="B3796" s="1" t="s">
        <v>750</v>
      </c>
      <c r="C3796" s="1">
        <v>2022</v>
      </c>
      <c r="D3796" s="1">
        <v>16925</v>
      </c>
      <c r="E3796" s="1">
        <v>52</v>
      </c>
      <c r="F3796" s="1">
        <v>200</v>
      </c>
      <c r="G3796" s="1">
        <v>1289774</v>
      </c>
      <c r="H3796" s="1">
        <v>59</v>
      </c>
    </row>
    <row r="3797" spans="1:8" x14ac:dyDescent="0.3">
      <c r="A3797" s="1" t="s">
        <v>751</v>
      </c>
      <c r="B3797" s="1" t="s">
        <v>752</v>
      </c>
      <c r="C3797" s="1">
        <v>2022</v>
      </c>
      <c r="D3797" s="1">
        <v>19774</v>
      </c>
      <c r="E3797" s="1">
        <v>148</v>
      </c>
      <c r="F3797" s="1">
        <v>198</v>
      </c>
      <c r="G3797" s="1">
        <v>1228349</v>
      </c>
      <c r="H3797" s="1">
        <v>0</v>
      </c>
    </row>
    <row r="3798" spans="1:8" x14ac:dyDescent="0.3">
      <c r="A3798" s="1" t="s">
        <v>753</v>
      </c>
      <c r="B3798" s="1" t="s">
        <v>754</v>
      </c>
      <c r="C3798" s="1">
        <v>2022</v>
      </c>
      <c r="D3798" s="1">
        <v>13043</v>
      </c>
      <c r="E3798" s="1">
        <v>40</v>
      </c>
      <c r="F3798" s="1">
        <v>138</v>
      </c>
      <c r="G3798" s="1">
        <v>615289</v>
      </c>
      <c r="H3798" s="1">
        <v>0</v>
      </c>
    </row>
    <row r="3799" spans="1:8" x14ac:dyDescent="0.3">
      <c r="A3799" s="1" t="s">
        <v>755</v>
      </c>
      <c r="B3799" s="1" t="s">
        <v>756</v>
      </c>
      <c r="C3799" s="1">
        <v>2022</v>
      </c>
      <c r="D3799" s="1">
        <v>49041</v>
      </c>
      <c r="E3799" s="1">
        <v>632</v>
      </c>
      <c r="F3799" s="1">
        <v>0</v>
      </c>
      <c r="G3799" s="1">
        <v>4609794</v>
      </c>
      <c r="H3799" s="1">
        <v>54</v>
      </c>
    </row>
    <row r="3800" spans="1:8" x14ac:dyDescent="0.3">
      <c r="A3800" s="1" t="s">
        <v>757</v>
      </c>
      <c r="B3800" s="1" t="s">
        <v>758</v>
      </c>
      <c r="C3800" s="1">
        <v>2022</v>
      </c>
      <c r="D3800" s="1">
        <v>192463</v>
      </c>
      <c r="E3800" s="1">
        <v>2468</v>
      </c>
      <c r="F3800" s="1">
        <v>155</v>
      </c>
      <c r="G3800" s="1">
        <v>9624186</v>
      </c>
      <c r="H3800" s="1">
        <v>685</v>
      </c>
    </row>
    <row r="3801" spans="1:8" x14ac:dyDescent="0.3">
      <c r="A3801" s="1" t="s">
        <v>759</v>
      </c>
      <c r="B3801" s="1" t="s">
        <v>760</v>
      </c>
      <c r="C3801" s="1">
        <v>2022</v>
      </c>
      <c r="D3801" s="1">
        <v>22862</v>
      </c>
      <c r="E3801" s="1">
        <v>361</v>
      </c>
      <c r="F3801" s="1">
        <v>506</v>
      </c>
      <c r="G3801" s="1">
        <v>1121523</v>
      </c>
      <c r="H3801" s="1">
        <v>0</v>
      </c>
    </row>
    <row r="3802" spans="1:8" x14ac:dyDescent="0.3">
      <c r="A3802" s="2" t="s">
        <v>10</v>
      </c>
      <c r="B3802" s="2" t="s">
        <v>11</v>
      </c>
      <c r="C3802" s="1">
        <v>2023</v>
      </c>
      <c r="D3802" s="5">
        <v>35291</v>
      </c>
      <c r="E3802" s="2">
        <v>397</v>
      </c>
      <c r="F3802" s="2">
        <v>500</v>
      </c>
      <c r="G3802" s="2">
        <v>1500940</v>
      </c>
      <c r="H3802" s="1" t="s">
        <v>70</v>
      </c>
    </row>
    <row r="3803" spans="1:8" x14ac:dyDescent="0.3">
      <c r="A3803" s="1" t="s">
        <v>12</v>
      </c>
      <c r="B3803" s="1" t="s">
        <v>13</v>
      </c>
      <c r="C3803" s="1">
        <v>2023</v>
      </c>
      <c r="D3803" s="6">
        <v>41221</v>
      </c>
      <c r="E3803" s="1">
        <v>379</v>
      </c>
      <c r="F3803" s="1">
        <v>514</v>
      </c>
      <c r="G3803" s="1">
        <v>3023815</v>
      </c>
      <c r="H3803" s="1" t="s">
        <v>70</v>
      </c>
    </row>
    <row r="3804" spans="1:8" x14ac:dyDescent="0.3">
      <c r="A3804" s="1" t="s">
        <v>14</v>
      </c>
      <c r="B3804" s="1" t="s">
        <v>15</v>
      </c>
      <c r="C3804" s="1">
        <v>2023</v>
      </c>
      <c r="D3804" s="6">
        <v>34795</v>
      </c>
      <c r="E3804" s="1">
        <v>208</v>
      </c>
      <c r="F3804" s="1">
        <v>525</v>
      </c>
      <c r="G3804" s="1">
        <v>2897003</v>
      </c>
      <c r="H3804" s="1" t="s">
        <v>70</v>
      </c>
    </row>
    <row r="3805" spans="1:8" x14ac:dyDescent="0.3">
      <c r="A3805" s="1" t="s">
        <v>16</v>
      </c>
      <c r="B3805" s="1" t="s">
        <v>17</v>
      </c>
      <c r="C3805" s="1">
        <v>2023</v>
      </c>
      <c r="D3805" s="6">
        <v>12329</v>
      </c>
      <c r="E3805" s="1">
        <v>72</v>
      </c>
      <c r="F3805" s="1">
        <v>79</v>
      </c>
      <c r="G3805" s="1">
        <v>672213</v>
      </c>
      <c r="H3805" s="1" t="s">
        <v>70</v>
      </c>
    </row>
    <row r="3806" spans="1:8" x14ac:dyDescent="0.3">
      <c r="A3806" s="1" t="s">
        <v>18</v>
      </c>
      <c r="B3806" s="1" t="s">
        <v>19</v>
      </c>
      <c r="C3806" s="1">
        <v>2023</v>
      </c>
      <c r="D3806" s="6">
        <v>18726</v>
      </c>
      <c r="E3806" s="1">
        <v>142</v>
      </c>
      <c r="F3806" s="1">
        <v>225</v>
      </c>
      <c r="G3806" s="1">
        <v>723649</v>
      </c>
      <c r="H3806" s="1" t="s">
        <v>70</v>
      </c>
    </row>
    <row r="3807" spans="1:8" x14ac:dyDescent="0.3">
      <c r="A3807" s="1" t="s">
        <v>20</v>
      </c>
      <c r="B3807" s="1" t="s">
        <v>21</v>
      </c>
      <c r="C3807" s="1">
        <v>2023</v>
      </c>
      <c r="D3807" s="6">
        <v>27618</v>
      </c>
      <c r="E3807" s="1">
        <v>439</v>
      </c>
      <c r="F3807" s="1">
        <v>582</v>
      </c>
      <c r="G3807" s="1">
        <v>854333</v>
      </c>
      <c r="H3807" s="1" t="s">
        <v>70</v>
      </c>
    </row>
    <row r="3808" spans="1:8" x14ac:dyDescent="0.3">
      <c r="A3808" s="1" t="s">
        <v>22</v>
      </c>
      <c r="B3808" s="1" t="s">
        <v>23</v>
      </c>
      <c r="C3808" s="1">
        <v>2023</v>
      </c>
      <c r="D3808" s="6">
        <v>17201</v>
      </c>
      <c r="E3808" s="1">
        <v>105</v>
      </c>
      <c r="F3808" s="1">
        <v>187</v>
      </c>
      <c r="G3808" s="1">
        <v>938283</v>
      </c>
      <c r="H3808" s="1" t="s">
        <v>70</v>
      </c>
    </row>
    <row r="3809" spans="1:8" x14ac:dyDescent="0.3">
      <c r="A3809" s="1" t="s">
        <v>24</v>
      </c>
      <c r="B3809" s="1" t="s">
        <v>25</v>
      </c>
      <c r="C3809" s="1">
        <v>2023</v>
      </c>
      <c r="D3809" s="6">
        <v>66767</v>
      </c>
      <c r="E3809" s="1">
        <v>411</v>
      </c>
      <c r="F3809" s="1">
        <v>697</v>
      </c>
      <c r="G3809" s="1">
        <v>4499684</v>
      </c>
      <c r="H3809" s="1" t="s">
        <v>70</v>
      </c>
    </row>
    <row r="3810" spans="1:8" x14ac:dyDescent="0.3">
      <c r="A3810" s="1" t="s">
        <v>26</v>
      </c>
      <c r="B3810" s="1" t="s">
        <v>27</v>
      </c>
      <c r="C3810" s="1">
        <v>2023</v>
      </c>
      <c r="D3810" s="6">
        <v>20280</v>
      </c>
      <c r="E3810" s="1">
        <v>358</v>
      </c>
      <c r="F3810" s="1">
        <v>233</v>
      </c>
      <c r="G3810" s="1">
        <v>652872</v>
      </c>
      <c r="H3810" s="1" t="s">
        <v>70</v>
      </c>
    </row>
    <row r="3811" spans="1:8" x14ac:dyDescent="0.3">
      <c r="A3811" s="1" t="s">
        <v>28</v>
      </c>
      <c r="B3811" s="1" t="s">
        <v>29</v>
      </c>
      <c r="C3811" s="1">
        <v>2023</v>
      </c>
      <c r="D3811" s="6">
        <v>21344</v>
      </c>
      <c r="E3811" s="1">
        <v>137</v>
      </c>
      <c r="F3811" s="1">
        <v>279</v>
      </c>
      <c r="G3811" s="1">
        <v>818116</v>
      </c>
      <c r="H3811" s="1" t="s">
        <v>70</v>
      </c>
    </row>
    <row r="3812" spans="1:8" x14ac:dyDescent="0.3">
      <c r="A3812" s="1" t="s">
        <v>30</v>
      </c>
      <c r="B3812" s="1" t="s">
        <v>31</v>
      </c>
      <c r="C3812" s="1">
        <v>2023</v>
      </c>
      <c r="D3812" s="6">
        <v>43950</v>
      </c>
      <c r="E3812" s="1">
        <v>494</v>
      </c>
      <c r="F3812" s="1">
        <v>937</v>
      </c>
      <c r="G3812" s="1">
        <v>1923743</v>
      </c>
      <c r="H3812" s="1" t="s">
        <v>70</v>
      </c>
    </row>
    <row r="3813" spans="1:8" x14ac:dyDescent="0.3">
      <c r="A3813" s="1" t="s">
        <v>32</v>
      </c>
      <c r="B3813" s="1" t="s">
        <v>33</v>
      </c>
      <c r="C3813" s="1">
        <v>2023</v>
      </c>
      <c r="D3813" s="6">
        <v>17346</v>
      </c>
      <c r="E3813" s="1">
        <v>52</v>
      </c>
      <c r="F3813" s="1">
        <v>105</v>
      </c>
      <c r="G3813" s="1">
        <v>612829</v>
      </c>
      <c r="H3813" s="1" t="s">
        <v>70</v>
      </c>
    </row>
    <row r="3814" spans="1:8" x14ac:dyDescent="0.3">
      <c r="A3814" s="1" t="s">
        <v>34</v>
      </c>
      <c r="B3814" s="1" t="s">
        <v>35</v>
      </c>
      <c r="C3814" s="1">
        <v>2023</v>
      </c>
      <c r="D3814" s="6">
        <v>12721</v>
      </c>
      <c r="E3814" s="1">
        <v>243</v>
      </c>
      <c r="F3814" s="1">
        <v>219</v>
      </c>
      <c r="G3814" s="1">
        <v>230008</v>
      </c>
      <c r="H3814" s="1" t="s">
        <v>70</v>
      </c>
    </row>
    <row r="3815" spans="1:8" x14ac:dyDescent="0.3">
      <c r="A3815" s="1" t="s">
        <v>36</v>
      </c>
      <c r="B3815" s="1" t="s">
        <v>37</v>
      </c>
      <c r="C3815" s="1">
        <v>2023</v>
      </c>
      <c r="D3815" s="6">
        <v>40785</v>
      </c>
      <c r="E3815" s="1">
        <v>937</v>
      </c>
      <c r="F3815" s="1">
        <v>669</v>
      </c>
      <c r="G3815" s="1">
        <v>2542967</v>
      </c>
      <c r="H3815" s="1" t="s">
        <v>70</v>
      </c>
    </row>
    <row r="3816" spans="1:8" x14ac:dyDescent="0.3">
      <c r="A3816" s="1" t="s">
        <v>38</v>
      </c>
      <c r="B3816" s="1" t="s">
        <v>39</v>
      </c>
      <c r="C3816" s="1">
        <v>2023</v>
      </c>
      <c r="D3816" s="6">
        <v>31822</v>
      </c>
      <c r="E3816" s="1">
        <v>496</v>
      </c>
      <c r="F3816" s="1">
        <v>487</v>
      </c>
      <c r="G3816" s="1">
        <v>1527057</v>
      </c>
      <c r="H3816" s="1" t="s">
        <v>70</v>
      </c>
    </row>
    <row r="3817" spans="1:8" x14ac:dyDescent="0.3">
      <c r="A3817" s="1" t="s">
        <v>40</v>
      </c>
      <c r="B3817" s="1" t="s">
        <v>41</v>
      </c>
      <c r="C3817" s="1">
        <v>2023</v>
      </c>
      <c r="D3817" s="6">
        <v>23411</v>
      </c>
      <c r="E3817" s="1">
        <v>220</v>
      </c>
      <c r="F3817" s="1">
        <v>263</v>
      </c>
      <c r="G3817" s="1">
        <v>1425593</v>
      </c>
      <c r="H3817" s="1" t="s">
        <v>70</v>
      </c>
    </row>
    <row r="3818" spans="1:8" x14ac:dyDescent="0.3">
      <c r="A3818" s="1" t="s">
        <v>42</v>
      </c>
      <c r="B3818" s="1" t="s">
        <v>43</v>
      </c>
      <c r="C3818" s="1">
        <v>2023</v>
      </c>
      <c r="D3818" s="6">
        <v>16066</v>
      </c>
      <c r="E3818" s="1">
        <v>236</v>
      </c>
      <c r="F3818" s="1">
        <v>155</v>
      </c>
      <c r="G3818" s="1">
        <v>1075167</v>
      </c>
      <c r="H3818" s="1" t="s">
        <v>70</v>
      </c>
    </row>
    <row r="3819" spans="1:8" x14ac:dyDescent="0.3">
      <c r="A3819" s="1" t="s">
        <v>44</v>
      </c>
      <c r="B3819" s="1" t="s">
        <v>45</v>
      </c>
      <c r="C3819" s="1">
        <v>2023</v>
      </c>
      <c r="D3819" s="6">
        <v>22241</v>
      </c>
      <c r="E3819" s="1">
        <v>936</v>
      </c>
      <c r="F3819" s="1">
        <v>394</v>
      </c>
      <c r="G3819" s="1">
        <v>146288</v>
      </c>
      <c r="H3819" s="1" t="s">
        <v>70</v>
      </c>
    </row>
    <row r="3820" spans="1:8" x14ac:dyDescent="0.3">
      <c r="A3820" s="1" t="s">
        <v>46</v>
      </c>
      <c r="B3820" s="1" t="s">
        <v>47</v>
      </c>
      <c r="C3820" s="1">
        <v>2023</v>
      </c>
      <c r="D3820" s="6">
        <v>64794</v>
      </c>
      <c r="E3820" s="1">
        <v>750</v>
      </c>
      <c r="F3820" s="1">
        <v>1205</v>
      </c>
      <c r="G3820" s="1">
        <v>1750753</v>
      </c>
      <c r="H3820" s="1" t="s">
        <v>70</v>
      </c>
    </row>
    <row r="3821" spans="1:8" x14ac:dyDescent="0.3">
      <c r="A3821" s="1" t="s">
        <v>48</v>
      </c>
      <c r="B3821" s="1" t="s">
        <v>49</v>
      </c>
      <c r="C3821" s="1">
        <v>2023</v>
      </c>
      <c r="D3821" s="6">
        <v>31709</v>
      </c>
      <c r="E3821" s="1">
        <v>607</v>
      </c>
      <c r="F3821" s="1">
        <v>344</v>
      </c>
      <c r="G3821" s="1">
        <v>1139046</v>
      </c>
      <c r="H3821" s="1" t="s">
        <v>70</v>
      </c>
    </row>
    <row r="3822" spans="1:8" x14ac:dyDescent="0.3">
      <c r="A3822" s="1" t="s">
        <v>50</v>
      </c>
      <c r="B3822" s="1" t="s">
        <v>51</v>
      </c>
      <c r="C3822" s="1">
        <v>2023</v>
      </c>
      <c r="D3822" s="6">
        <v>23035</v>
      </c>
      <c r="E3822" s="1">
        <v>81</v>
      </c>
      <c r="F3822" s="1">
        <v>368</v>
      </c>
      <c r="G3822" s="1">
        <v>1239327</v>
      </c>
      <c r="H3822" s="1" t="s">
        <v>70</v>
      </c>
    </row>
    <row r="3823" spans="1:8" x14ac:dyDescent="0.3">
      <c r="A3823" s="1" t="s">
        <v>52</v>
      </c>
      <c r="B3823" s="1" t="s">
        <v>53</v>
      </c>
      <c r="C3823" s="1">
        <v>2023</v>
      </c>
      <c r="D3823" s="6">
        <v>18319</v>
      </c>
      <c r="E3823" s="1">
        <v>254</v>
      </c>
      <c r="F3823" s="1">
        <v>370</v>
      </c>
      <c r="G3823" s="1">
        <v>469513</v>
      </c>
      <c r="H3823" s="1" t="s">
        <v>70</v>
      </c>
    </row>
    <row r="3824" spans="1:8" x14ac:dyDescent="0.3">
      <c r="A3824" s="1" t="s">
        <v>54</v>
      </c>
      <c r="B3824" s="1" t="s">
        <v>55</v>
      </c>
      <c r="C3824" s="1">
        <v>2023</v>
      </c>
      <c r="D3824" s="6">
        <v>72868</v>
      </c>
      <c r="E3824" s="1">
        <v>2574</v>
      </c>
      <c r="F3824" s="1">
        <v>2143</v>
      </c>
      <c r="G3824" s="1">
        <v>555622</v>
      </c>
      <c r="H3824" s="1" t="s">
        <v>70</v>
      </c>
    </row>
    <row r="3825" spans="1:8" x14ac:dyDescent="0.3">
      <c r="A3825" s="1" t="s">
        <v>56</v>
      </c>
      <c r="B3825" s="1" t="s">
        <v>57</v>
      </c>
      <c r="C3825" s="1">
        <v>2023</v>
      </c>
      <c r="D3825" s="6">
        <v>25036</v>
      </c>
      <c r="E3825" s="1">
        <v>87</v>
      </c>
      <c r="F3825" s="1">
        <v>216</v>
      </c>
      <c r="G3825" s="1">
        <v>896623</v>
      </c>
      <c r="H3825" s="1" t="s">
        <v>70</v>
      </c>
    </row>
    <row r="3826" spans="1:8" x14ac:dyDescent="0.3">
      <c r="A3826" s="1" t="s">
        <v>58</v>
      </c>
      <c r="B3826" s="1" t="s">
        <v>59</v>
      </c>
      <c r="C3826" s="1">
        <v>2023</v>
      </c>
      <c r="D3826" s="6">
        <v>36166</v>
      </c>
      <c r="E3826" s="1">
        <v>279</v>
      </c>
      <c r="F3826" s="1">
        <v>468</v>
      </c>
      <c r="G3826" s="1">
        <v>1276109</v>
      </c>
      <c r="H3826" s="1" t="s">
        <v>70</v>
      </c>
    </row>
    <row r="3827" spans="1:8" x14ac:dyDescent="0.3">
      <c r="A3827" s="1" t="s">
        <v>60</v>
      </c>
      <c r="B3827" s="1" t="s">
        <v>61</v>
      </c>
      <c r="C3827" s="1">
        <v>2023</v>
      </c>
      <c r="D3827" s="6">
        <v>16185</v>
      </c>
      <c r="E3827" s="1">
        <v>69</v>
      </c>
      <c r="F3827" s="1">
        <v>187</v>
      </c>
      <c r="G3827" s="1">
        <v>969912</v>
      </c>
      <c r="H3827" s="1" t="s">
        <v>70</v>
      </c>
    </row>
    <row r="3828" spans="1:8" x14ac:dyDescent="0.3">
      <c r="A3828" s="1" t="s">
        <v>62</v>
      </c>
      <c r="B3828" s="1" t="s">
        <v>63</v>
      </c>
      <c r="C3828" s="1">
        <v>2023</v>
      </c>
      <c r="D3828" s="6">
        <v>37681</v>
      </c>
      <c r="E3828" s="1">
        <v>152</v>
      </c>
      <c r="F3828" s="1">
        <v>714</v>
      </c>
      <c r="G3828" s="1">
        <v>1146689</v>
      </c>
      <c r="H3828" s="1" t="s">
        <v>70</v>
      </c>
    </row>
    <row r="3829" spans="1:8" x14ac:dyDescent="0.3">
      <c r="A3829" s="1" t="s">
        <v>64</v>
      </c>
      <c r="B3829" s="1" t="s">
        <v>65</v>
      </c>
      <c r="C3829" s="1">
        <v>2023</v>
      </c>
      <c r="D3829" s="6">
        <v>45122</v>
      </c>
      <c r="E3829" s="1">
        <v>382</v>
      </c>
      <c r="F3829" s="1">
        <v>1059</v>
      </c>
      <c r="G3829" s="1">
        <v>3492737</v>
      </c>
      <c r="H3829" s="1" t="s">
        <v>70</v>
      </c>
    </row>
    <row r="3830" spans="1:8" x14ac:dyDescent="0.3">
      <c r="A3830" s="1" t="s">
        <v>66</v>
      </c>
      <c r="B3830" s="1" t="s">
        <v>67</v>
      </c>
      <c r="C3830" s="1">
        <v>2023</v>
      </c>
      <c r="D3830" s="6">
        <v>386880</v>
      </c>
      <c r="E3830" s="1">
        <v>8184</v>
      </c>
      <c r="F3830" s="1">
        <v>13104</v>
      </c>
      <c r="G3830" s="1">
        <v>10644790</v>
      </c>
      <c r="H3830" s="1" t="s">
        <v>70</v>
      </c>
    </row>
    <row r="3831" spans="1:8" x14ac:dyDescent="0.3">
      <c r="A3831" s="1" t="s">
        <v>68</v>
      </c>
      <c r="B3831" s="1" t="s">
        <v>69</v>
      </c>
      <c r="C3831" s="1">
        <v>2023</v>
      </c>
      <c r="D3831" s="6">
        <v>51148</v>
      </c>
      <c r="E3831" s="1">
        <v>173</v>
      </c>
      <c r="F3831" s="1">
        <v>873</v>
      </c>
      <c r="G3831" s="1">
        <v>4930679</v>
      </c>
      <c r="H3831" s="1" t="s">
        <v>70</v>
      </c>
    </row>
    <row r="3832" spans="1:8" x14ac:dyDescent="0.3">
      <c r="A3832" s="1" t="s">
        <v>71</v>
      </c>
      <c r="B3832" s="1" t="s">
        <v>72</v>
      </c>
      <c r="C3832" s="1">
        <v>2023</v>
      </c>
      <c r="D3832" s="6">
        <v>21041</v>
      </c>
      <c r="E3832" s="1">
        <v>276</v>
      </c>
      <c r="F3832" s="1">
        <v>175</v>
      </c>
      <c r="G3832" s="1">
        <v>882249</v>
      </c>
      <c r="H3832" s="1" t="s">
        <v>70</v>
      </c>
    </row>
    <row r="3833" spans="1:8" x14ac:dyDescent="0.3">
      <c r="A3833" s="1" t="s">
        <v>73</v>
      </c>
      <c r="B3833" s="1" t="s">
        <v>74</v>
      </c>
      <c r="C3833" s="1">
        <v>2023</v>
      </c>
      <c r="D3833" s="6">
        <v>28399</v>
      </c>
      <c r="E3833" s="1">
        <v>286</v>
      </c>
      <c r="F3833" s="1">
        <v>277</v>
      </c>
      <c r="G3833" s="1">
        <v>1880610</v>
      </c>
      <c r="H3833" s="1" t="s">
        <v>70</v>
      </c>
    </row>
    <row r="3834" spans="1:8" x14ac:dyDescent="0.3">
      <c r="A3834" s="1" t="s">
        <v>75</v>
      </c>
      <c r="B3834" s="1" t="s">
        <v>76</v>
      </c>
      <c r="C3834" s="1">
        <v>2023</v>
      </c>
      <c r="D3834" s="6">
        <v>44033</v>
      </c>
      <c r="E3834" s="1">
        <v>1193</v>
      </c>
      <c r="F3834" s="1">
        <v>393</v>
      </c>
      <c r="G3834" s="1">
        <v>2337937</v>
      </c>
      <c r="H3834" s="1" t="s">
        <v>70</v>
      </c>
    </row>
    <row r="3835" spans="1:8" x14ac:dyDescent="0.3">
      <c r="A3835" s="1" t="s">
        <v>77</v>
      </c>
      <c r="B3835" s="1" t="s">
        <v>78</v>
      </c>
      <c r="C3835" s="1">
        <v>2023</v>
      </c>
      <c r="D3835" s="6">
        <v>16981</v>
      </c>
      <c r="E3835" s="1">
        <v>123</v>
      </c>
      <c r="F3835" s="1">
        <v>126</v>
      </c>
      <c r="G3835" s="1">
        <v>1221891</v>
      </c>
      <c r="H3835" s="1" t="s">
        <v>70</v>
      </c>
    </row>
    <row r="3836" spans="1:8" x14ac:dyDescent="0.3">
      <c r="A3836" s="1" t="s">
        <v>79</v>
      </c>
      <c r="B3836" s="1" t="s">
        <v>80</v>
      </c>
      <c r="C3836" s="1">
        <v>2023</v>
      </c>
      <c r="D3836" s="6">
        <v>15127</v>
      </c>
      <c r="E3836" s="1">
        <v>358</v>
      </c>
      <c r="F3836" s="1">
        <v>250</v>
      </c>
      <c r="G3836" s="1">
        <v>1941013</v>
      </c>
      <c r="H3836" s="1" t="s">
        <v>70</v>
      </c>
    </row>
    <row r="3837" spans="1:8" x14ac:dyDescent="0.3">
      <c r="A3837" s="1" t="s">
        <v>81</v>
      </c>
      <c r="B3837" s="1" t="s">
        <v>82</v>
      </c>
      <c r="C3837" s="1">
        <v>2023</v>
      </c>
      <c r="D3837" s="6">
        <v>13154</v>
      </c>
      <c r="E3837" s="1">
        <v>188</v>
      </c>
      <c r="F3837" s="1">
        <v>71</v>
      </c>
      <c r="G3837" s="1">
        <v>1258009</v>
      </c>
      <c r="H3837" s="1" t="s">
        <v>70</v>
      </c>
    </row>
    <row r="3838" spans="1:8" x14ac:dyDescent="0.3">
      <c r="A3838" s="1" t="s">
        <v>83</v>
      </c>
      <c r="B3838" s="1" t="s">
        <v>84</v>
      </c>
      <c r="C3838" s="1">
        <v>2023</v>
      </c>
      <c r="D3838" s="6">
        <v>60199</v>
      </c>
      <c r="E3838" s="1">
        <v>236</v>
      </c>
      <c r="F3838" s="1">
        <v>751</v>
      </c>
      <c r="G3838" s="1">
        <v>9632336</v>
      </c>
      <c r="H3838" s="1" t="s">
        <v>70</v>
      </c>
    </row>
    <row r="3839" spans="1:8" x14ac:dyDescent="0.3">
      <c r="A3839" s="1" t="s">
        <v>85</v>
      </c>
      <c r="B3839" s="1" t="s">
        <v>86</v>
      </c>
      <c r="C3839" s="1">
        <v>2023</v>
      </c>
      <c r="D3839" s="6">
        <v>20988</v>
      </c>
      <c r="E3839" s="1">
        <v>246</v>
      </c>
      <c r="F3839" s="1">
        <v>102</v>
      </c>
      <c r="G3839" s="1">
        <v>829096</v>
      </c>
      <c r="H3839" s="1" t="s">
        <v>70</v>
      </c>
    </row>
    <row r="3840" spans="1:8" x14ac:dyDescent="0.3">
      <c r="A3840" s="1" t="s">
        <v>87</v>
      </c>
      <c r="B3840" s="1" t="s">
        <v>88</v>
      </c>
      <c r="C3840" s="1">
        <v>2023</v>
      </c>
      <c r="D3840" s="6">
        <v>15403</v>
      </c>
      <c r="E3840" s="1">
        <v>161</v>
      </c>
      <c r="F3840" s="1">
        <v>146</v>
      </c>
      <c r="G3840" s="1">
        <v>1852559</v>
      </c>
      <c r="H3840" s="1" t="s">
        <v>70</v>
      </c>
    </row>
    <row r="3841" spans="1:8" x14ac:dyDescent="0.3">
      <c r="A3841" s="1" t="s">
        <v>89</v>
      </c>
      <c r="B3841" s="1" t="s">
        <v>90</v>
      </c>
      <c r="C3841" s="1">
        <v>2023</v>
      </c>
      <c r="D3841" s="6">
        <v>28660</v>
      </c>
      <c r="E3841" s="1">
        <v>533</v>
      </c>
      <c r="F3841" s="1">
        <v>265</v>
      </c>
      <c r="G3841" s="1">
        <v>3607853</v>
      </c>
      <c r="H3841" s="1" t="s">
        <v>70</v>
      </c>
    </row>
    <row r="3842" spans="1:8" x14ac:dyDescent="0.3">
      <c r="A3842" s="1" t="s">
        <v>91</v>
      </c>
      <c r="B3842" s="1" t="s">
        <v>92</v>
      </c>
      <c r="C3842" s="1">
        <v>2023</v>
      </c>
      <c r="D3842" s="6">
        <v>12662</v>
      </c>
      <c r="E3842" s="1">
        <v>170</v>
      </c>
      <c r="F3842" s="1">
        <v>49</v>
      </c>
      <c r="G3842" s="1">
        <v>511749</v>
      </c>
      <c r="H3842" s="1" t="s">
        <v>70</v>
      </c>
    </row>
    <row r="3843" spans="1:8" x14ac:dyDescent="0.3">
      <c r="A3843" s="1" t="s">
        <v>93</v>
      </c>
      <c r="B3843" s="1" t="s">
        <v>94</v>
      </c>
      <c r="C3843" s="1">
        <v>2023</v>
      </c>
      <c r="D3843" s="6">
        <v>14837</v>
      </c>
      <c r="E3843" s="1">
        <v>157</v>
      </c>
      <c r="F3843" s="1">
        <v>83</v>
      </c>
      <c r="G3843" s="1">
        <v>1537484</v>
      </c>
      <c r="H3843" s="1" t="s">
        <v>70</v>
      </c>
    </row>
    <row r="3844" spans="1:8" x14ac:dyDescent="0.3">
      <c r="A3844" s="1" t="s">
        <v>95</v>
      </c>
      <c r="B3844" s="1" t="s">
        <v>96</v>
      </c>
      <c r="C3844" s="1">
        <v>2023</v>
      </c>
      <c r="D3844" s="6">
        <v>12764</v>
      </c>
      <c r="E3844" s="1">
        <v>105</v>
      </c>
      <c r="F3844" s="1">
        <v>94</v>
      </c>
      <c r="G3844" s="1">
        <v>1120557</v>
      </c>
      <c r="H3844" s="1" t="s">
        <v>70</v>
      </c>
    </row>
    <row r="3845" spans="1:8" x14ac:dyDescent="0.3">
      <c r="A3845" s="1" t="s">
        <v>97</v>
      </c>
      <c r="B3845" s="1" t="s">
        <v>98</v>
      </c>
      <c r="C3845" s="1">
        <v>2023</v>
      </c>
      <c r="D3845" s="6">
        <v>33891</v>
      </c>
      <c r="E3845" s="1">
        <v>405</v>
      </c>
      <c r="F3845" s="1">
        <v>465</v>
      </c>
      <c r="G3845" s="1">
        <v>2120679</v>
      </c>
      <c r="H3845" s="1" t="s">
        <v>70</v>
      </c>
    </row>
    <row r="3846" spans="1:8" x14ac:dyDescent="0.3">
      <c r="A3846" s="1" t="s">
        <v>99</v>
      </c>
      <c r="B3846" s="1" t="s">
        <v>100</v>
      </c>
      <c r="C3846" s="1">
        <v>2023</v>
      </c>
      <c r="D3846" s="6">
        <v>37370</v>
      </c>
      <c r="E3846" s="1">
        <v>808</v>
      </c>
      <c r="F3846" s="1">
        <v>239</v>
      </c>
      <c r="G3846" s="1">
        <v>2248410</v>
      </c>
      <c r="H3846" s="1" t="s">
        <v>70</v>
      </c>
    </row>
    <row r="3847" spans="1:8" x14ac:dyDescent="0.3">
      <c r="A3847" s="1" t="s">
        <v>101</v>
      </c>
      <c r="B3847" s="1" t="s">
        <v>102</v>
      </c>
      <c r="C3847" s="1">
        <v>2023</v>
      </c>
      <c r="D3847" s="6">
        <v>15872</v>
      </c>
      <c r="E3847" s="1">
        <v>195</v>
      </c>
      <c r="F3847" s="1">
        <v>44</v>
      </c>
      <c r="G3847" s="1">
        <v>1768083</v>
      </c>
      <c r="H3847" s="1" t="s">
        <v>70</v>
      </c>
    </row>
    <row r="3848" spans="1:8" x14ac:dyDescent="0.3">
      <c r="A3848" s="1" t="s">
        <v>103</v>
      </c>
      <c r="B3848" s="1" t="s">
        <v>104</v>
      </c>
      <c r="C3848" s="1">
        <v>2023</v>
      </c>
      <c r="D3848" s="6">
        <v>11779</v>
      </c>
      <c r="E3848" s="1">
        <v>106</v>
      </c>
      <c r="F3848" s="1">
        <v>106</v>
      </c>
      <c r="G3848" s="1">
        <v>1751952</v>
      </c>
      <c r="H3848" s="1" t="s">
        <v>70</v>
      </c>
    </row>
    <row r="3849" spans="1:8" x14ac:dyDescent="0.3">
      <c r="A3849" s="1" t="s">
        <v>105</v>
      </c>
      <c r="B3849" s="1" t="s">
        <v>106</v>
      </c>
      <c r="C3849" s="1">
        <v>2023</v>
      </c>
      <c r="D3849" s="6">
        <v>27915</v>
      </c>
      <c r="E3849" s="1">
        <v>333</v>
      </c>
      <c r="F3849" s="1">
        <v>96</v>
      </c>
      <c r="G3849" s="1">
        <v>794005</v>
      </c>
      <c r="H3849" s="1" t="s">
        <v>70</v>
      </c>
    </row>
    <row r="3850" spans="1:8" x14ac:dyDescent="0.3">
      <c r="A3850" s="1" t="s">
        <v>107</v>
      </c>
      <c r="B3850" s="1" t="s">
        <v>108</v>
      </c>
      <c r="C3850" s="1">
        <v>2023</v>
      </c>
      <c r="D3850" s="6">
        <v>23920</v>
      </c>
      <c r="E3850" s="1">
        <v>278</v>
      </c>
      <c r="F3850" s="1">
        <v>107</v>
      </c>
      <c r="G3850" s="1">
        <v>2430593</v>
      </c>
      <c r="H3850" s="1" t="s">
        <v>70</v>
      </c>
    </row>
    <row r="3851" spans="1:8" x14ac:dyDescent="0.3">
      <c r="A3851" s="1" t="s">
        <v>109</v>
      </c>
      <c r="B3851" s="1" t="s">
        <v>110</v>
      </c>
      <c r="C3851" s="1">
        <v>2023</v>
      </c>
      <c r="D3851" s="6">
        <v>159974</v>
      </c>
      <c r="E3851" s="1">
        <v>2375</v>
      </c>
      <c r="F3851" s="1">
        <v>3857</v>
      </c>
      <c r="G3851" s="1">
        <v>18197786</v>
      </c>
      <c r="H3851" s="1" t="s">
        <v>70</v>
      </c>
    </row>
    <row r="3852" spans="1:8" x14ac:dyDescent="0.3">
      <c r="A3852" s="1" t="s">
        <v>111</v>
      </c>
      <c r="B3852" s="1" t="s">
        <v>112</v>
      </c>
      <c r="C3852" s="1">
        <v>2023</v>
      </c>
      <c r="D3852" s="6">
        <v>41356</v>
      </c>
      <c r="E3852" s="1">
        <v>398</v>
      </c>
      <c r="F3852" s="1">
        <v>854</v>
      </c>
      <c r="G3852" s="1">
        <v>8371487</v>
      </c>
      <c r="H3852" s="1" t="s">
        <v>70</v>
      </c>
    </row>
    <row r="3853" spans="1:8" x14ac:dyDescent="0.3">
      <c r="A3853" s="1" t="s">
        <v>113</v>
      </c>
      <c r="B3853" s="1" t="s">
        <v>114</v>
      </c>
      <c r="C3853" s="1">
        <v>2023</v>
      </c>
      <c r="D3853" s="6">
        <v>100132</v>
      </c>
      <c r="E3853" s="1">
        <v>1781</v>
      </c>
      <c r="F3853" s="1">
        <v>1434</v>
      </c>
      <c r="G3853" s="1">
        <v>5999228</v>
      </c>
      <c r="H3853" s="1" t="s">
        <v>70</v>
      </c>
    </row>
    <row r="3854" spans="1:8" x14ac:dyDescent="0.3">
      <c r="A3854" s="1" t="s">
        <v>115</v>
      </c>
      <c r="B3854" s="1" t="s">
        <v>116</v>
      </c>
      <c r="C3854" s="1">
        <v>2023</v>
      </c>
      <c r="D3854" s="6">
        <v>47676</v>
      </c>
      <c r="E3854" s="1">
        <v>224</v>
      </c>
      <c r="F3854" s="1">
        <v>523</v>
      </c>
      <c r="G3854" s="1">
        <v>4696035</v>
      </c>
      <c r="H3854" s="1" t="s">
        <v>70</v>
      </c>
    </row>
    <row r="3855" spans="1:8" x14ac:dyDescent="0.3">
      <c r="A3855" s="1" t="s">
        <v>117</v>
      </c>
      <c r="B3855" s="1" t="s">
        <v>118</v>
      </c>
      <c r="C3855" s="1">
        <v>2023</v>
      </c>
      <c r="D3855" s="6">
        <v>40063</v>
      </c>
      <c r="E3855" s="1">
        <v>354</v>
      </c>
      <c r="F3855" s="1">
        <v>74</v>
      </c>
      <c r="G3855" s="1">
        <v>1067611</v>
      </c>
      <c r="H3855" s="1" t="s">
        <v>70</v>
      </c>
    </row>
    <row r="3856" spans="1:8" x14ac:dyDescent="0.3">
      <c r="A3856" s="1" t="s">
        <v>119</v>
      </c>
      <c r="B3856" s="1" t="s">
        <v>120</v>
      </c>
      <c r="C3856" s="1">
        <v>2023</v>
      </c>
      <c r="D3856" s="6">
        <v>32801</v>
      </c>
      <c r="E3856" s="1">
        <v>329</v>
      </c>
      <c r="F3856" s="1">
        <v>203</v>
      </c>
      <c r="G3856" s="1">
        <v>576301</v>
      </c>
      <c r="H3856" s="1" t="s">
        <v>70</v>
      </c>
    </row>
    <row r="3857" spans="1:8" x14ac:dyDescent="0.3">
      <c r="A3857" s="1" t="s">
        <v>121</v>
      </c>
      <c r="B3857" s="1" t="s">
        <v>122</v>
      </c>
      <c r="C3857" s="1">
        <v>2023</v>
      </c>
      <c r="D3857" s="6">
        <v>28083</v>
      </c>
      <c r="E3857" s="1">
        <v>192</v>
      </c>
      <c r="F3857" s="1">
        <v>32</v>
      </c>
      <c r="G3857" s="1">
        <v>242855</v>
      </c>
      <c r="H3857" s="1" t="s">
        <v>70</v>
      </c>
    </row>
    <row r="3858" spans="1:8" x14ac:dyDescent="0.3">
      <c r="A3858" s="1" t="s">
        <v>123</v>
      </c>
      <c r="B3858" s="1" t="s">
        <v>124</v>
      </c>
      <c r="C3858" s="1">
        <v>2023</v>
      </c>
      <c r="D3858" s="6">
        <v>22547</v>
      </c>
      <c r="E3858" s="1">
        <v>40</v>
      </c>
      <c r="F3858" s="1">
        <v>66</v>
      </c>
      <c r="G3858" s="1">
        <v>1001190</v>
      </c>
      <c r="H3858" s="1" t="s">
        <v>70</v>
      </c>
    </row>
    <row r="3859" spans="1:8" x14ac:dyDescent="0.3">
      <c r="A3859" s="1" t="s">
        <v>125</v>
      </c>
      <c r="B3859" s="1" t="s">
        <v>126</v>
      </c>
      <c r="C3859" s="1">
        <v>2023</v>
      </c>
      <c r="D3859" s="6">
        <v>13541</v>
      </c>
      <c r="E3859" s="1">
        <v>57</v>
      </c>
      <c r="F3859" s="1">
        <v>25</v>
      </c>
      <c r="G3859" s="1">
        <v>126054</v>
      </c>
      <c r="H3859" s="1" t="s">
        <v>70</v>
      </c>
    </row>
    <row r="3860" spans="1:8" x14ac:dyDescent="0.3">
      <c r="A3860" s="1" t="s">
        <v>127</v>
      </c>
      <c r="B3860" s="1" t="s">
        <v>128</v>
      </c>
      <c r="C3860" s="1">
        <v>2023</v>
      </c>
      <c r="D3860" s="6">
        <v>23941</v>
      </c>
      <c r="E3860" s="1">
        <v>77</v>
      </c>
      <c r="F3860" s="1">
        <v>26</v>
      </c>
      <c r="G3860" s="1">
        <v>383890</v>
      </c>
      <c r="H3860" s="1" t="s">
        <v>70</v>
      </c>
    </row>
    <row r="3861" spans="1:8" x14ac:dyDescent="0.3">
      <c r="A3861" s="1" t="s">
        <v>129</v>
      </c>
      <c r="B3861" s="1" t="s">
        <v>130</v>
      </c>
      <c r="C3861" s="1">
        <v>2023</v>
      </c>
      <c r="D3861" s="6">
        <v>32108</v>
      </c>
      <c r="E3861" s="1">
        <v>192</v>
      </c>
      <c r="F3861" s="1">
        <v>137</v>
      </c>
      <c r="G3861" s="1">
        <v>521056</v>
      </c>
      <c r="H3861" s="1" t="s">
        <v>70</v>
      </c>
    </row>
    <row r="3862" spans="1:8" x14ac:dyDescent="0.3">
      <c r="A3862" s="1" t="s">
        <v>131</v>
      </c>
      <c r="B3862" s="1" t="s">
        <v>132</v>
      </c>
      <c r="C3862" s="1">
        <v>2023</v>
      </c>
      <c r="D3862" s="6">
        <v>31618</v>
      </c>
      <c r="E3862" s="1">
        <v>303</v>
      </c>
      <c r="F3862" s="1">
        <v>112</v>
      </c>
      <c r="G3862" s="1">
        <v>449175</v>
      </c>
      <c r="H3862" s="1" t="s">
        <v>70</v>
      </c>
    </row>
    <row r="3863" spans="1:8" x14ac:dyDescent="0.3">
      <c r="A3863" s="1" t="s">
        <v>133</v>
      </c>
      <c r="B3863" s="1" t="s">
        <v>134</v>
      </c>
      <c r="C3863" s="1">
        <v>2023</v>
      </c>
      <c r="D3863" s="6">
        <v>56280</v>
      </c>
      <c r="E3863" s="1">
        <v>1158</v>
      </c>
      <c r="F3863" s="1">
        <v>252</v>
      </c>
      <c r="G3863" s="1">
        <v>418669</v>
      </c>
      <c r="H3863" s="1" t="s">
        <v>70</v>
      </c>
    </row>
    <row r="3864" spans="1:8" x14ac:dyDescent="0.3">
      <c r="A3864" s="1" t="s">
        <v>135</v>
      </c>
      <c r="B3864" s="1" t="s">
        <v>136</v>
      </c>
      <c r="C3864" s="1">
        <v>2023</v>
      </c>
      <c r="D3864" s="6">
        <v>19943</v>
      </c>
      <c r="E3864" s="1">
        <v>244</v>
      </c>
      <c r="F3864" s="1">
        <v>74</v>
      </c>
      <c r="G3864" s="1">
        <v>395570</v>
      </c>
      <c r="H3864" s="1" t="s">
        <v>70</v>
      </c>
    </row>
    <row r="3865" spans="1:8" x14ac:dyDescent="0.3">
      <c r="A3865" s="1" t="s">
        <v>137</v>
      </c>
      <c r="B3865" s="1" t="s">
        <v>138</v>
      </c>
      <c r="C3865" s="1">
        <v>2023</v>
      </c>
      <c r="D3865" s="6">
        <v>35623</v>
      </c>
      <c r="E3865" s="1">
        <v>554</v>
      </c>
      <c r="F3865" s="1">
        <v>240</v>
      </c>
      <c r="G3865" s="1">
        <v>836767</v>
      </c>
      <c r="H3865" s="1" t="s">
        <v>70</v>
      </c>
    </row>
    <row r="3866" spans="1:8" x14ac:dyDescent="0.3">
      <c r="A3866" s="1" t="s">
        <v>139</v>
      </c>
      <c r="B3866" s="1" t="s">
        <v>140</v>
      </c>
      <c r="C3866" s="1">
        <v>2023</v>
      </c>
      <c r="D3866" s="6">
        <v>20836</v>
      </c>
      <c r="E3866" s="1">
        <v>107</v>
      </c>
      <c r="F3866" s="1">
        <v>46</v>
      </c>
      <c r="G3866" s="1">
        <v>1454942</v>
      </c>
      <c r="H3866" s="1" t="s">
        <v>70</v>
      </c>
    </row>
    <row r="3867" spans="1:8" x14ac:dyDescent="0.3">
      <c r="A3867" s="1" t="s">
        <v>141</v>
      </c>
      <c r="B3867" s="1" t="s">
        <v>142</v>
      </c>
      <c r="C3867" s="1">
        <v>2023</v>
      </c>
      <c r="D3867" s="6">
        <v>13039</v>
      </c>
      <c r="E3867" s="1">
        <v>69</v>
      </c>
      <c r="F3867" s="1">
        <v>50</v>
      </c>
      <c r="G3867" s="1">
        <v>213551</v>
      </c>
      <c r="H3867" s="1" t="s">
        <v>70</v>
      </c>
    </row>
    <row r="3868" spans="1:8" x14ac:dyDescent="0.3">
      <c r="A3868" s="1" t="s">
        <v>143</v>
      </c>
      <c r="B3868" s="1" t="s">
        <v>144</v>
      </c>
      <c r="C3868" s="1">
        <v>2023</v>
      </c>
      <c r="D3868" s="6">
        <v>44512</v>
      </c>
      <c r="E3868" s="1">
        <v>277</v>
      </c>
      <c r="F3868" s="1">
        <v>254</v>
      </c>
      <c r="G3868" s="1">
        <v>1259120</v>
      </c>
      <c r="H3868" s="1" t="s">
        <v>70</v>
      </c>
    </row>
    <row r="3869" spans="1:8" x14ac:dyDescent="0.3">
      <c r="A3869" s="1" t="s">
        <v>145</v>
      </c>
      <c r="B3869" s="1" t="s">
        <v>146</v>
      </c>
      <c r="C3869" s="1">
        <v>2023</v>
      </c>
      <c r="D3869" s="6">
        <v>20112</v>
      </c>
      <c r="E3869" s="1">
        <v>108</v>
      </c>
      <c r="F3869" s="1">
        <v>40</v>
      </c>
      <c r="G3869" s="1">
        <v>815029</v>
      </c>
      <c r="H3869" s="1" t="s">
        <v>70</v>
      </c>
    </row>
    <row r="3870" spans="1:8" x14ac:dyDescent="0.3">
      <c r="A3870" s="1" t="s">
        <v>147</v>
      </c>
      <c r="B3870" s="1" t="s">
        <v>148</v>
      </c>
      <c r="C3870" s="1">
        <v>2023</v>
      </c>
      <c r="D3870" s="6">
        <v>20015</v>
      </c>
      <c r="E3870" s="1">
        <v>107</v>
      </c>
      <c r="F3870" s="1">
        <v>69</v>
      </c>
      <c r="G3870" s="1">
        <v>495405</v>
      </c>
      <c r="H3870" s="1" t="s">
        <v>70</v>
      </c>
    </row>
    <row r="3871" spans="1:8" x14ac:dyDescent="0.3">
      <c r="A3871" s="1" t="s">
        <v>149</v>
      </c>
      <c r="B3871" s="1" t="s">
        <v>47</v>
      </c>
      <c r="C3871" s="1">
        <v>2023</v>
      </c>
      <c r="D3871" s="6">
        <v>28479</v>
      </c>
      <c r="E3871" s="1">
        <v>400</v>
      </c>
      <c r="F3871" s="1">
        <v>442</v>
      </c>
      <c r="G3871" s="1">
        <v>1245893</v>
      </c>
      <c r="H3871" s="1" t="s">
        <v>70</v>
      </c>
    </row>
    <row r="3872" spans="1:8" x14ac:dyDescent="0.3">
      <c r="A3872" s="1" t="s">
        <v>150</v>
      </c>
      <c r="B3872" s="1" t="s">
        <v>151</v>
      </c>
      <c r="C3872" s="1">
        <v>2023</v>
      </c>
      <c r="D3872" s="6">
        <v>28091</v>
      </c>
      <c r="E3872" s="1">
        <v>107</v>
      </c>
      <c r="F3872" s="1">
        <v>72</v>
      </c>
      <c r="G3872" s="1">
        <v>459721</v>
      </c>
      <c r="H3872" s="1" t="s">
        <v>70</v>
      </c>
    </row>
    <row r="3873" spans="1:8" x14ac:dyDescent="0.3">
      <c r="A3873" s="1" t="s">
        <v>152</v>
      </c>
      <c r="B3873" s="1" t="s">
        <v>153</v>
      </c>
      <c r="C3873" s="1">
        <v>2023</v>
      </c>
      <c r="D3873" s="6">
        <v>14394</v>
      </c>
      <c r="E3873" s="1">
        <v>132</v>
      </c>
      <c r="F3873" s="1">
        <v>70</v>
      </c>
      <c r="G3873" s="1">
        <v>1346627</v>
      </c>
      <c r="H3873" s="1" t="s">
        <v>70</v>
      </c>
    </row>
    <row r="3874" spans="1:8" x14ac:dyDescent="0.3">
      <c r="A3874" s="1" t="s">
        <v>154</v>
      </c>
      <c r="B3874" s="1" t="s">
        <v>155</v>
      </c>
      <c r="C3874" s="1">
        <v>2023</v>
      </c>
      <c r="D3874" s="6">
        <v>36647</v>
      </c>
      <c r="E3874" s="1">
        <v>281</v>
      </c>
      <c r="F3874" s="1">
        <v>19</v>
      </c>
      <c r="G3874" s="1">
        <v>161089</v>
      </c>
      <c r="H3874" s="1" t="s">
        <v>70</v>
      </c>
    </row>
    <row r="3875" spans="1:8" x14ac:dyDescent="0.3">
      <c r="A3875" s="1" t="s">
        <v>156</v>
      </c>
      <c r="B3875" s="1" t="s">
        <v>157</v>
      </c>
      <c r="C3875" s="1">
        <v>2023</v>
      </c>
      <c r="D3875" s="6">
        <v>24817</v>
      </c>
      <c r="E3875" s="1">
        <v>253</v>
      </c>
      <c r="F3875" s="1">
        <v>353</v>
      </c>
      <c r="G3875" s="1">
        <v>2125225</v>
      </c>
      <c r="H3875" s="1" t="s">
        <v>70</v>
      </c>
    </row>
    <row r="3876" spans="1:8" x14ac:dyDescent="0.3">
      <c r="A3876" s="1" t="s">
        <v>158</v>
      </c>
      <c r="B3876" s="1" t="s">
        <v>159</v>
      </c>
      <c r="C3876" s="1">
        <v>2023</v>
      </c>
      <c r="D3876" s="6">
        <v>26118</v>
      </c>
      <c r="E3876" s="1">
        <v>154</v>
      </c>
      <c r="F3876" s="1">
        <v>344</v>
      </c>
      <c r="G3876" s="1">
        <v>1814753</v>
      </c>
      <c r="H3876" s="1" t="s">
        <v>70</v>
      </c>
    </row>
    <row r="3877" spans="1:8" x14ac:dyDescent="0.3">
      <c r="A3877" s="1" t="s">
        <v>160</v>
      </c>
      <c r="B3877" s="1" t="s">
        <v>161</v>
      </c>
      <c r="C3877" s="1">
        <v>2023</v>
      </c>
      <c r="D3877" s="6">
        <v>169538</v>
      </c>
      <c r="E3877" s="1">
        <v>3376</v>
      </c>
      <c r="F3877" s="1">
        <v>5564</v>
      </c>
      <c r="G3877" s="1">
        <v>8493726</v>
      </c>
      <c r="H3877" s="1" t="s">
        <v>70</v>
      </c>
    </row>
    <row r="3878" spans="1:8" x14ac:dyDescent="0.3">
      <c r="A3878" s="1" t="s">
        <v>162</v>
      </c>
      <c r="B3878" s="1" t="s">
        <v>163</v>
      </c>
      <c r="C3878" s="1">
        <v>2023</v>
      </c>
      <c r="D3878" s="6">
        <v>25570</v>
      </c>
      <c r="E3878" s="1">
        <v>177</v>
      </c>
      <c r="F3878" s="1">
        <v>426</v>
      </c>
      <c r="G3878" s="1">
        <v>2509815</v>
      </c>
      <c r="H3878" s="1" t="s">
        <v>70</v>
      </c>
    </row>
    <row r="3879" spans="1:8" x14ac:dyDescent="0.3">
      <c r="A3879" s="1" t="s">
        <v>164</v>
      </c>
      <c r="B3879" s="1" t="s">
        <v>165</v>
      </c>
      <c r="C3879" s="1">
        <v>2023</v>
      </c>
      <c r="D3879" s="6">
        <v>25975</v>
      </c>
      <c r="E3879" s="1">
        <v>595</v>
      </c>
      <c r="F3879" s="1">
        <v>247</v>
      </c>
      <c r="G3879" s="1">
        <v>545666</v>
      </c>
      <c r="H3879" s="1" t="s">
        <v>70</v>
      </c>
    </row>
    <row r="3880" spans="1:8" x14ac:dyDescent="0.3">
      <c r="A3880" s="1" t="s">
        <v>166</v>
      </c>
      <c r="B3880" s="1" t="s">
        <v>167</v>
      </c>
      <c r="C3880" s="1">
        <v>2023</v>
      </c>
      <c r="D3880" s="6">
        <v>20444</v>
      </c>
      <c r="E3880" s="1">
        <v>140</v>
      </c>
      <c r="F3880" s="1">
        <v>148</v>
      </c>
      <c r="G3880" s="1">
        <v>895040</v>
      </c>
      <c r="H3880" s="1" t="s">
        <v>70</v>
      </c>
    </row>
    <row r="3881" spans="1:8" x14ac:dyDescent="0.3">
      <c r="A3881" s="1" t="s">
        <v>168</v>
      </c>
      <c r="B3881" s="1" t="s">
        <v>169</v>
      </c>
      <c r="C3881" s="1">
        <v>2023</v>
      </c>
      <c r="D3881" s="6">
        <v>21746</v>
      </c>
      <c r="E3881" s="1">
        <v>208</v>
      </c>
      <c r="F3881" s="1">
        <v>205</v>
      </c>
      <c r="G3881" s="1">
        <v>1129545</v>
      </c>
      <c r="H3881" s="1" t="s">
        <v>70</v>
      </c>
    </row>
    <row r="3882" spans="1:8" x14ac:dyDescent="0.3">
      <c r="A3882" s="1" t="s">
        <v>170</v>
      </c>
      <c r="B3882" s="1" t="s">
        <v>171</v>
      </c>
      <c r="C3882" s="1">
        <v>2023</v>
      </c>
      <c r="D3882" s="6">
        <v>33506</v>
      </c>
      <c r="E3882" s="1">
        <v>590</v>
      </c>
      <c r="F3882" s="1">
        <v>454</v>
      </c>
      <c r="G3882" s="1">
        <v>2024102</v>
      </c>
      <c r="H3882" s="1" t="s">
        <v>70</v>
      </c>
    </row>
    <row r="3883" spans="1:8" x14ac:dyDescent="0.3">
      <c r="A3883" s="1" t="s">
        <v>172</v>
      </c>
      <c r="B3883" s="1" t="s">
        <v>173</v>
      </c>
      <c r="C3883" s="1">
        <v>2023</v>
      </c>
      <c r="D3883" s="6">
        <v>18736</v>
      </c>
      <c r="E3883" s="1">
        <v>304</v>
      </c>
      <c r="F3883" s="1">
        <v>247</v>
      </c>
      <c r="G3883" s="1">
        <v>537778</v>
      </c>
      <c r="H3883" s="1" t="s">
        <v>70</v>
      </c>
    </row>
    <row r="3884" spans="1:8" x14ac:dyDescent="0.3">
      <c r="A3884" s="1" t="s">
        <v>174</v>
      </c>
      <c r="B3884" s="1" t="s">
        <v>175</v>
      </c>
      <c r="C3884" s="1">
        <v>2023</v>
      </c>
      <c r="D3884" s="6">
        <v>17795</v>
      </c>
      <c r="E3884" s="1">
        <v>106</v>
      </c>
      <c r="F3884" s="1">
        <v>132</v>
      </c>
      <c r="G3884" s="1">
        <v>961216</v>
      </c>
      <c r="H3884" s="1" t="s">
        <v>70</v>
      </c>
    </row>
    <row r="3885" spans="1:8" x14ac:dyDescent="0.3">
      <c r="A3885" s="1" t="s">
        <v>176</v>
      </c>
      <c r="B3885" s="1" t="s">
        <v>177</v>
      </c>
      <c r="C3885" s="1">
        <v>2023</v>
      </c>
      <c r="D3885" s="6">
        <v>13313</v>
      </c>
      <c r="E3885" s="1">
        <v>250</v>
      </c>
      <c r="F3885" s="1">
        <v>196</v>
      </c>
      <c r="G3885" s="1">
        <v>1045111</v>
      </c>
      <c r="H3885" s="1" t="s">
        <v>70</v>
      </c>
    </row>
    <row r="3886" spans="1:8" x14ac:dyDescent="0.3">
      <c r="A3886" s="1" t="s">
        <v>178</v>
      </c>
      <c r="B3886" s="1" t="s">
        <v>179</v>
      </c>
      <c r="C3886" s="1">
        <v>2023</v>
      </c>
      <c r="D3886" s="6">
        <v>21292</v>
      </c>
      <c r="E3886" s="1">
        <v>307</v>
      </c>
      <c r="F3886" s="1">
        <v>287</v>
      </c>
      <c r="G3886" s="1">
        <v>329530</v>
      </c>
      <c r="H3886" s="1" t="s">
        <v>70</v>
      </c>
    </row>
    <row r="3887" spans="1:8" x14ac:dyDescent="0.3">
      <c r="A3887" s="1" t="s">
        <v>180</v>
      </c>
      <c r="B3887" s="1" t="s">
        <v>181</v>
      </c>
      <c r="C3887" s="1">
        <v>2023</v>
      </c>
      <c r="D3887" s="6">
        <v>27538</v>
      </c>
      <c r="E3887" s="1">
        <v>476</v>
      </c>
      <c r="F3887" s="1">
        <v>251</v>
      </c>
      <c r="G3887" s="1">
        <v>823281</v>
      </c>
      <c r="H3887" s="1" t="s">
        <v>70</v>
      </c>
    </row>
    <row r="3888" spans="1:8" x14ac:dyDescent="0.3">
      <c r="A3888" s="1" t="s">
        <v>182</v>
      </c>
      <c r="B3888" s="1" t="s">
        <v>183</v>
      </c>
      <c r="C3888" s="1">
        <v>2023</v>
      </c>
      <c r="D3888" s="6">
        <v>30326</v>
      </c>
      <c r="E3888" s="1">
        <v>143</v>
      </c>
      <c r="F3888" s="1">
        <v>352</v>
      </c>
      <c r="G3888" s="1">
        <v>2655202</v>
      </c>
      <c r="H3888" s="1" t="s">
        <v>70</v>
      </c>
    </row>
    <row r="3889" spans="1:8" x14ac:dyDescent="0.3">
      <c r="A3889" s="1" t="s">
        <v>184</v>
      </c>
      <c r="B3889" s="1" t="s">
        <v>185</v>
      </c>
      <c r="C3889" s="1">
        <v>2023</v>
      </c>
      <c r="D3889" s="6">
        <v>36095</v>
      </c>
      <c r="E3889" s="1">
        <v>271</v>
      </c>
      <c r="F3889" s="1">
        <v>478</v>
      </c>
      <c r="G3889" s="1">
        <v>1712603</v>
      </c>
      <c r="H3889" s="1" t="s">
        <v>70</v>
      </c>
    </row>
    <row r="3890" spans="1:8" x14ac:dyDescent="0.3">
      <c r="A3890" s="1" t="s">
        <v>186</v>
      </c>
      <c r="B3890" s="1" t="s">
        <v>187</v>
      </c>
      <c r="C3890" s="1">
        <v>2023</v>
      </c>
      <c r="D3890" s="6">
        <v>13520</v>
      </c>
      <c r="E3890" s="1">
        <v>122</v>
      </c>
      <c r="F3890" s="1">
        <v>105</v>
      </c>
      <c r="G3890" s="1">
        <v>141256</v>
      </c>
      <c r="H3890" s="1" t="s">
        <v>70</v>
      </c>
    </row>
    <row r="3891" spans="1:8" x14ac:dyDescent="0.3">
      <c r="A3891" s="1" t="s">
        <v>188</v>
      </c>
      <c r="B3891" s="1" t="s">
        <v>189</v>
      </c>
      <c r="C3891" s="1">
        <v>2023</v>
      </c>
      <c r="D3891" s="6">
        <v>57162</v>
      </c>
      <c r="E3891" s="1">
        <v>678</v>
      </c>
      <c r="F3891" s="1">
        <v>1187</v>
      </c>
      <c r="G3891" s="1">
        <v>8733641</v>
      </c>
      <c r="H3891" s="1" t="s">
        <v>70</v>
      </c>
    </row>
    <row r="3892" spans="1:8" x14ac:dyDescent="0.3">
      <c r="A3892" s="1" t="s">
        <v>190</v>
      </c>
      <c r="B3892" s="1" t="s">
        <v>191</v>
      </c>
      <c r="C3892" s="1">
        <v>2023</v>
      </c>
      <c r="D3892" s="6">
        <v>67739</v>
      </c>
      <c r="E3892" s="1">
        <v>772</v>
      </c>
      <c r="F3892" s="1">
        <v>1736</v>
      </c>
      <c r="G3892" s="1">
        <v>6126398</v>
      </c>
      <c r="H3892" s="1" t="s">
        <v>70</v>
      </c>
    </row>
    <row r="3893" spans="1:8" x14ac:dyDescent="0.3">
      <c r="A3893" s="1" t="s">
        <v>192</v>
      </c>
      <c r="B3893" s="1" t="s">
        <v>193</v>
      </c>
      <c r="C3893" s="1">
        <v>2023</v>
      </c>
      <c r="D3893" s="6">
        <v>42583</v>
      </c>
      <c r="E3893" s="1">
        <v>300</v>
      </c>
      <c r="F3893" s="1">
        <v>331</v>
      </c>
      <c r="G3893" s="1">
        <v>1901734</v>
      </c>
      <c r="H3893" s="1" t="s">
        <v>70</v>
      </c>
    </row>
    <row r="3894" spans="1:8" x14ac:dyDescent="0.3">
      <c r="A3894" s="1" t="s">
        <v>194</v>
      </c>
      <c r="B3894" s="1" t="s">
        <v>195</v>
      </c>
      <c r="C3894" s="1">
        <v>2023</v>
      </c>
      <c r="D3894" s="6">
        <v>39590</v>
      </c>
      <c r="E3894" s="1">
        <v>414</v>
      </c>
      <c r="F3894" s="1">
        <v>423</v>
      </c>
      <c r="G3894" s="1">
        <v>4508734</v>
      </c>
      <c r="H3894" s="1" t="s">
        <v>70</v>
      </c>
    </row>
    <row r="3895" spans="1:8" x14ac:dyDescent="0.3">
      <c r="A3895" s="1" t="s">
        <v>196</v>
      </c>
      <c r="B3895" s="1" t="s">
        <v>197</v>
      </c>
      <c r="C3895" s="1">
        <v>2023</v>
      </c>
      <c r="D3895" s="6">
        <v>20227</v>
      </c>
      <c r="E3895" s="1">
        <v>131</v>
      </c>
      <c r="F3895" s="1">
        <v>67</v>
      </c>
      <c r="G3895" s="1">
        <v>1084395</v>
      </c>
      <c r="H3895" s="1" t="s">
        <v>70</v>
      </c>
    </row>
    <row r="3896" spans="1:8" x14ac:dyDescent="0.3">
      <c r="A3896" s="1" t="s">
        <v>198</v>
      </c>
      <c r="B3896" s="1" t="s">
        <v>199</v>
      </c>
      <c r="C3896" s="1">
        <v>2023</v>
      </c>
      <c r="D3896" s="6">
        <v>17063</v>
      </c>
      <c r="E3896" s="1">
        <v>61</v>
      </c>
      <c r="F3896" s="1">
        <v>68</v>
      </c>
      <c r="G3896" s="1">
        <v>435395</v>
      </c>
      <c r="H3896" s="1" t="s">
        <v>70</v>
      </c>
    </row>
    <row r="3897" spans="1:8" x14ac:dyDescent="0.3">
      <c r="A3897" s="1" t="s">
        <v>200</v>
      </c>
      <c r="B3897" s="1" t="s">
        <v>201</v>
      </c>
      <c r="C3897" s="1">
        <v>2023</v>
      </c>
      <c r="D3897" s="6">
        <v>27977</v>
      </c>
      <c r="E3897" s="1">
        <v>167</v>
      </c>
      <c r="F3897" s="1">
        <v>104</v>
      </c>
      <c r="G3897" s="1">
        <v>1309330</v>
      </c>
      <c r="H3897" s="1" t="s">
        <v>70</v>
      </c>
    </row>
    <row r="3898" spans="1:8" x14ac:dyDescent="0.3">
      <c r="A3898" s="1" t="s">
        <v>202</v>
      </c>
      <c r="B3898" s="1" t="s">
        <v>203</v>
      </c>
      <c r="C3898" s="1">
        <v>2023</v>
      </c>
      <c r="D3898" s="6">
        <v>27414</v>
      </c>
      <c r="E3898" s="1">
        <v>542</v>
      </c>
      <c r="F3898" s="1">
        <v>75</v>
      </c>
      <c r="G3898" s="1">
        <v>432904</v>
      </c>
      <c r="H3898" s="1" t="s">
        <v>70</v>
      </c>
    </row>
    <row r="3899" spans="1:8" x14ac:dyDescent="0.3">
      <c r="A3899" s="1" t="s">
        <v>204</v>
      </c>
      <c r="B3899" s="1" t="s">
        <v>205</v>
      </c>
      <c r="C3899" s="1">
        <v>2023</v>
      </c>
      <c r="D3899" s="6">
        <v>26722</v>
      </c>
      <c r="E3899" s="1">
        <v>175</v>
      </c>
      <c r="F3899" s="1">
        <v>85</v>
      </c>
      <c r="G3899" s="1">
        <v>571972</v>
      </c>
      <c r="H3899" s="1" t="s">
        <v>70</v>
      </c>
    </row>
    <row r="3900" spans="1:8" x14ac:dyDescent="0.3">
      <c r="A3900" s="1" t="s">
        <v>206</v>
      </c>
      <c r="B3900" s="1" t="s">
        <v>207</v>
      </c>
      <c r="C3900" s="1">
        <v>2023</v>
      </c>
      <c r="D3900" s="6">
        <v>54697</v>
      </c>
      <c r="E3900" s="1">
        <v>657</v>
      </c>
      <c r="F3900" s="1">
        <v>585</v>
      </c>
      <c r="G3900" s="1">
        <v>1137336</v>
      </c>
      <c r="H3900" s="1" t="s">
        <v>70</v>
      </c>
    </row>
    <row r="3901" spans="1:8" x14ac:dyDescent="0.3">
      <c r="A3901" s="1" t="s">
        <v>208</v>
      </c>
      <c r="B3901" s="1" t="s">
        <v>209</v>
      </c>
      <c r="C3901" s="1">
        <v>2023</v>
      </c>
      <c r="D3901" s="6">
        <v>17462</v>
      </c>
      <c r="E3901" s="1">
        <v>118</v>
      </c>
      <c r="F3901" s="1">
        <v>11</v>
      </c>
      <c r="G3901" s="1">
        <v>356088</v>
      </c>
      <c r="H3901" s="1" t="s">
        <v>70</v>
      </c>
    </row>
    <row r="3902" spans="1:8" x14ac:dyDescent="0.3">
      <c r="A3902" s="1" t="s">
        <v>210</v>
      </c>
      <c r="B3902" s="1" t="s">
        <v>211</v>
      </c>
      <c r="C3902" s="1">
        <v>2023</v>
      </c>
      <c r="D3902" s="6">
        <v>32119</v>
      </c>
      <c r="E3902" s="1">
        <v>302</v>
      </c>
      <c r="F3902" s="1">
        <v>28</v>
      </c>
      <c r="G3902" s="1">
        <v>509378</v>
      </c>
      <c r="H3902" s="1" t="s">
        <v>70</v>
      </c>
    </row>
    <row r="3903" spans="1:8" x14ac:dyDescent="0.3">
      <c r="A3903" s="1" t="s">
        <v>212</v>
      </c>
      <c r="B3903" s="1" t="s">
        <v>213</v>
      </c>
      <c r="C3903" s="1">
        <v>2023</v>
      </c>
      <c r="D3903" s="6">
        <v>16471</v>
      </c>
      <c r="E3903" s="1">
        <v>256</v>
      </c>
      <c r="F3903" s="1">
        <v>61</v>
      </c>
      <c r="G3903" s="1">
        <v>209552</v>
      </c>
      <c r="H3903" s="1" t="s">
        <v>70</v>
      </c>
    </row>
    <row r="3904" spans="1:8" x14ac:dyDescent="0.3">
      <c r="A3904" s="1" t="s">
        <v>214</v>
      </c>
      <c r="B3904" s="1" t="s">
        <v>215</v>
      </c>
      <c r="C3904" s="1">
        <v>2023</v>
      </c>
      <c r="D3904" s="6">
        <v>44885</v>
      </c>
      <c r="E3904" s="1">
        <v>367</v>
      </c>
      <c r="F3904" s="1">
        <v>180</v>
      </c>
      <c r="G3904" s="1">
        <v>2177579</v>
      </c>
      <c r="H3904" s="1" t="s">
        <v>70</v>
      </c>
    </row>
    <row r="3905" spans="1:8" x14ac:dyDescent="0.3">
      <c r="A3905" s="1" t="s">
        <v>216</v>
      </c>
      <c r="B3905" s="1" t="s">
        <v>217</v>
      </c>
      <c r="C3905" s="1">
        <v>2023</v>
      </c>
      <c r="D3905" s="6">
        <v>17160</v>
      </c>
      <c r="E3905" s="1">
        <v>95</v>
      </c>
      <c r="F3905" s="1">
        <v>52</v>
      </c>
      <c r="G3905" s="1">
        <v>596195</v>
      </c>
      <c r="H3905" s="1" t="s">
        <v>70</v>
      </c>
    </row>
    <row r="3906" spans="1:8" x14ac:dyDescent="0.3">
      <c r="A3906" s="1" t="s">
        <v>218</v>
      </c>
      <c r="B3906" s="1" t="s">
        <v>219</v>
      </c>
      <c r="C3906" s="1">
        <v>2023</v>
      </c>
      <c r="D3906" s="6">
        <v>41166</v>
      </c>
      <c r="E3906" s="1">
        <v>417</v>
      </c>
      <c r="F3906" s="1">
        <v>224</v>
      </c>
      <c r="G3906" s="1">
        <v>1272532</v>
      </c>
      <c r="H3906" s="1" t="s">
        <v>70</v>
      </c>
    </row>
    <row r="3907" spans="1:8" x14ac:dyDescent="0.3">
      <c r="A3907" s="1" t="s">
        <v>220</v>
      </c>
      <c r="B3907" s="1" t="s">
        <v>221</v>
      </c>
      <c r="C3907" s="1">
        <v>2023</v>
      </c>
      <c r="D3907" s="6">
        <v>12932</v>
      </c>
      <c r="E3907" s="1">
        <v>137</v>
      </c>
      <c r="F3907" s="1">
        <v>6</v>
      </c>
      <c r="G3907" s="1">
        <v>12017</v>
      </c>
      <c r="H3907" s="1" t="s">
        <v>70</v>
      </c>
    </row>
    <row r="3908" spans="1:8" x14ac:dyDescent="0.3">
      <c r="A3908" s="1" t="s">
        <v>222</v>
      </c>
      <c r="B3908" s="1" t="s">
        <v>151</v>
      </c>
      <c r="C3908" s="1">
        <v>2023</v>
      </c>
      <c r="D3908" s="6">
        <v>47167</v>
      </c>
      <c r="E3908" s="1">
        <v>439</v>
      </c>
      <c r="F3908" s="1">
        <v>304</v>
      </c>
      <c r="G3908" s="1">
        <v>3552680</v>
      </c>
      <c r="H3908" s="1" t="s">
        <v>70</v>
      </c>
    </row>
    <row r="3909" spans="1:8" x14ac:dyDescent="0.3">
      <c r="A3909" s="1" t="s">
        <v>223</v>
      </c>
      <c r="B3909" s="1" t="s">
        <v>224</v>
      </c>
      <c r="C3909" s="1">
        <v>2023</v>
      </c>
      <c r="D3909" s="6">
        <v>26907</v>
      </c>
      <c r="E3909" s="1">
        <v>245</v>
      </c>
      <c r="F3909" s="1">
        <v>105</v>
      </c>
      <c r="G3909" s="1">
        <v>1200308</v>
      </c>
      <c r="H3909" s="1" t="s">
        <v>70</v>
      </c>
    </row>
    <row r="3910" spans="1:8" x14ac:dyDescent="0.3">
      <c r="A3910" s="1" t="s">
        <v>225</v>
      </c>
      <c r="B3910" s="1" t="s">
        <v>226</v>
      </c>
      <c r="C3910" s="1">
        <v>2023</v>
      </c>
      <c r="D3910" s="6">
        <v>14409</v>
      </c>
      <c r="E3910" s="1">
        <v>156</v>
      </c>
      <c r="F3910" s="1">
        <v>84</v>
      </c>
      <c r="G3910" s="1">
        <v>335988</v>
      </c>
      <c r="H3910" s="1" t="s">
        <v>70</v>
      </c>
    </row>
    <row r="3911" spans="1:8" x14ac:dyDescent="0.3">
      <c r="A3911" s="1" t="s">
        <v>227</v>
      </c>
      <c r="B3911" s="1" t="s">
        <v>228</v>
      </c>
      <c r="C3911" s="1">
        <v>2023</v>
      </c>
      <c r="D3911" s="6">
        <v>25918</v>
      </c>
      <c r="E3911" s="1">
        <v>360</v>
      </c>
      <c r="F3911" s="1">
        <v>207</v>
      </c>
      <c r="G3911" s="1">
        <v>1561379</v>
      </c>
      <c r="H3911" s="1" t="s">
        <v>70</v>
      </c>
    </row>
    <row r="3912" spans="1:8" x14ac:dyDescent="0.3">
      <c r="A3912" s="1" t="s">
        <v>229</v>
      </c>
      <c r="B3912" s="1" t="s">
        <v>230</v>
      </c>
      <c r="C3912" s="1">
        <v>2023</v>
      </c>
      <c r="D3912" s="6">
        <v>71358</v>
      </c>
      <c r="E3912" s="1">
        <v>665</v>
      </c>
      <c r="F3912" s="1">
        <v>438</v>
      </c>
      <c r="G3912" s="1">
        <v>2448199</v>
      </c>
      <c r="H3912" s="1" t="s">
        <v>70</v>
      </c>
    </row>
    <row r="3913" spans="1:8" x14ac:dyDescent="0.3">
      <c r="A3913" s="1" t="s">
        <v>231</v>
      </c>
      <c r="B3913" s="1" t="s">
        <v>232</v>
      </c>
      <c r="C3913" s="1">
        <v>2023</v>
      </c>
      <c r="D3913" s="6">
        <v>12115</v>
      </c>
      <c r="E3913" s="1">
        <v>140</v>
      </c>
      <c r="F3913" s="1">
        <v>51</v>
      </c>
      <c r="G3913" s="1">
        <v>323009</v>
      </c>
      <c r="H3913" s="1" t="s">
        <v>70</v>
      </c>
    </row>
    <row r="3914" spans="1:8" x14ac:dyDescent="0.3">
      <c r="A3914" s="1" t="s">
        <v>233</v>
      </c>
      <c r="B3914" s="1" t="s">
        <v>234</v>
      </c>
      <c r="C3914" s="1">
        <v>2023</v>
      </c>
      <c r="D3914" s="6">
        <v>381270</v>
      </c>
      <c r="E3914" s="1">
        <v>5204</v>
      </c>
      <c r="F3914" s="1">
        <v>8629</v>
      </c>
      <c r="G3914" s="1">
        <v>30205570</v>
      </c>
      <c r="H3914" s="1" t="s">
        <v>70</v>
      </c>
    </row>
    <row r="3915" spans="1:8" x14ac:dyDescent="0.3">
      <c r="A3915" s="1" t="s">
        <v>235</v>
      </c>
      <c r="B3915" s="1" t="s">
        <v>236</v>
      </c>
      <c r="C3915" s="1">
        <v>2023</v>
      </c>
      <c r="D3915" s="6">
        <v>32721</v>
      </c>
      <c r="E3915" s="1">
        <v>335</v>
      </c>
      <c r="F3915" s="1">
        <v>510</v>
      </c>
      <c r="G3915" s="1">
        <v>6419997</v>
      </c>
      <c r="H3915" s="1" t="s">
        <v>70</v>
      </c>
    </row>
    <row r="3916" spans="1:8" x14ac:dyDescent="0.3">
      <c r="A3916" s="1" t="s">
        <v>237</v>
      </c>
      <c r="B3916" s="1" t="s">
        <v>238</v>
      </c>
      <c r="C3916" s="1">
        <v>2023</v>
      </c>
      <c r="D3916" s="6">
        <v>20878</v>
      </c>
      <c r="E3916" s="1">
        <v>66</v>
      </c>
      <c r="F3916" s="1">
        <v>233</v>
      </c>
      <c r="G3916" s="1">
        <v>1176564</v>
      </c>
      <c r="H3916" s="1" t="s">
        <v>70</v>
      </c>
    </row>
    <row r="3917" spans="1:8" x14ac:dyDescent="0.3">
      <c r="A3917" s="1" t="s">
        <v>239</v>
      </c>
      <c r="B3917" s="1" t="s">
        <v>240</v>
      </c>
      <c r="C3917" s="1">
        <v>2023</v>
      </c>
      <c r="D3917" s="6">
        <v>34893</v>
      </c>
      <c r="E3917" s="1">
        <v>538</v>
      </c>
      <c r="F3917" s="1">
        <v>217</v>
      </c>
      <c r="G3917" s="1">
        <v>595892</v>
      </c>
      <c r="H3917" s="1" t="s">
        <v>70</v>
      </c>
    </row>
    <row r="3918" spans="1:8" x14ac:dyDescent="0.3">
      <c r="A3918" s="1" t="s">
        <v>241</v>
      </c>
      <c r="B3918" s="1" t="s">
        <v>242</v>
      </c>
      <c r="C3918" s="1">
        <v>2023</v>
      </c>
      <c r="D3918" s="6">
        <v>29599</v>
      </c>
      <c r="E3918" s="1">
        <v>390</v>
      </c>
      <c r="F3918" s="1">
        <v>140</v>
      </c>
      <c r="G3918" s="1">
        <v>462896</v>
      </c>
      <c r="H3918" s="1" t="s">
        <v>70</v>
      </c>
    </row>
    <row r="3919" spans="1:8" x14ac:dyDescent="0.3">
      <c r="A3919" s="1" t="s">
        <v>243</v>
      </c>
      <c r="B3919" s="1" t="s">
        <v>244</v>
      </c>
      <c r="C3919" s="1">
        <v>2023</v>
      </c>
      <c r="D3919" s="6">
        <v>47145</v>
      </c>
      <c r="E3919" s="1">
        <v>318</v>
      </c>
      <c r="F3919" s="1">
        <v>317</v>
      </c>
      <c r="G3919" s="1">
        <v>4633967</v>
      </c>
      <c r="H3919" s="1" t="s">
        <v>70</v>
      </c>
    </row>
    <row r="3920" spans="1:8" x14ac:dyDescent="0.3">
      <c r="A3920" s="1" t="s">
        <v>245</v>
      </c>
      <c r="B3920" s="1" t="s">
        <v>246</v>
      </c>
      <c r="C3920" s="1">
        <v>2023</v>
      </c>
      <c r="D3920" s="6">
        <v>17566</v>
      </c>
      <c r="E3920" s="1">
        <v>163</v>
      </c>
      <c r="F3920" s="1">
        <v>102</v>
      </c>
      <c r="G3920" s="1">
        <v>212415</v>
      </c>
      <c r="H3920" s="1" t="s">
        <v>70</v>
      </c>
    </row>
    <row r="3921" spans="1:8" x14ac:dyDescent="0.3">
      <c r="A3921" s="1" t="s">
        <v>247</v>
      </c>
      <c r="B3921" s="1" t="s">
        <v>248</v>
      </c>
      <c r="C3921" s="1">
        <v>2023</v>
      </c>
      <c r="D3921" s="6">
        <v>33892</v>
      </c>
      <c r="E3921" s="1">
        <v>335</v>
      </c>
      <c r="F3921" s="1">
        <v>100</v>
      </c>
      <c r="G3921" s="1">
        <v>1164570</v>
      </c>
      <c r="H3921" s="1" t="s">
        <v>70</v>
      </c>
    </row>
    <row r="3922" spans="1:8" x14ac:dyDescent="0.3">
      <c r="A3922" s="1" t="s">
        <v>249</v>
      </c>
      <c r="B3922" s="1" t="s">
        <v>250</v>
      </c>
      <c r="C3922" s="1">
        <v>2023</v>
      </c>
      <c r="D3922" s="6">
        <v>103996</v>
      </c>
      <c r="E3922" s="1">
        <v>1349</v>
      </c>
      <c r="F3922" s="1">
        <v>680</v>
      </c>
      <c r="G3922" s="1">
        <v>1449224</v>
      </c>
      <c r="H3922" s="1" t="s">
        <v>70</v>
      </c>
    </row>
    <row r="3923" spans="1:8" x14ac:dyDescent="0.3">
      <c r="A3923" s="1" t="s">
        <v>251</v>
      </c>
      <c r="B3923" s="1" t="s">
        <v>252</v>
      </c>
      <c r="C3923" s="1">
        <v>2023</v>
      </c>
      <c r="D3923" s="6">
        <v>36586</v>
      </c>
      <c r="E3923" s="1">
        <v>472</v>
      </c>
      <c r="F3923" s="1">
        <v>74</v>
      </c>
      <c r="G3923" s="1">
        <v>434356</v>
      </c>
      <c r="H3923" s="1" t="s">
        <v>70</v>
      </c>
    </row>
    <row r="3924" spans="1:8" x14ac:dyDescent="0.3">
      <c r="A3924" s="1" t="s">
        <v>253</v>
      </c>
      <c r="B3924" s="1" t="s">
        <v>254</v>
      </c>
      <c r="C3924" s="1">
        <v>2023</v>
      </c>
      <c r="D3924" s="6">
        <v>18116</v>
      </c>
      <c r="E3924" s="1">
        <v>133</v>
      </c>
      <c r="F3924" s="1">
        <v>66</v>
      </c>
      <c r="G3924" s="1">
        <v>261214</v>
      </c>
      <c r="H3924" s="1" t="s">
        <v>70</v>
      </c>
    </row>
    <row r="3925" spans="1:8" x14ac:dyDescent="0.3">
      <c r="A3925" s="1" t="s">
        <v>255</v>
      </c>
      <c r="B3925" s="1" t="s">
        <v>256</v>
      </c>
      <c r="C3925" s="1">
        <v>2023</v>
      </c>
      <c r="D3925" s="6">
        <v>39349</v>
      </c>
      <c r="E3925" s="1">
        <v>659</v>
      </c>
      <c r="F3925" s="1">
        <v>152</v>
      </c>
      <c r="G3925" s="1">
        <v>180481</v>
      </c>
      <c r="H3925" s="1" t="s">
        <v>70</v>
      </c>
    </row>
    <row r="3926" spans="1:8" x14ac:dyDescent="0.3">
      <c r="A3926" s="1" t="s">
        <v>257</v>
      </c>
      <c r="B3926" s="1" t="s">
        <v>258</v>
      </c>
      <c r="C3926" s="1">
        <v>2023</v>
      </c>
      <c r="D3926" s="6">
        <v>61218</v>
      </c>
      <c r="E3926" s="1">
        <v>949</v>
      </c>
      <c r="F3926" s="1">
        <v>364</v>
      </c>
      <c r="G3926" s="1">
        <v>714310</v>
      </c>
      <c r="H3926" s="1" t="s">
        <v>70</v>
      </c>
    </row>
    <row r="3927" spans="1:8" x14ac:dyDescent="0.3">
      <c r="A3927" s="1" t="s">
        <v>259</v>
      </c>
      <c r="B3927" s="1" t="s">
        <v>260</v>
      </c>
      <c r="C3927" s="1">
        <v>2023</v>
      </c>
      <c r="D3927" s="6">
        <v>58095</v>
      </c>
      <c r="E3927" s="1">
        <v>877</v>
      </c>
      <c r="F3927" s="1">
        <v>306</v>
      </c>
      <c r="G3927" s="1">
        <v>767548</v>
      </c>
      <c r="H3927" s="1" t="s">
        <v>70</v>
      </c>
    </row>
    <row r="3928" spans="1:8" x14ac:dyDescent="0.3">
      <c r="A3928" s="1" t="s">
        <v>261</v>
      </c>
      <c r="B3928" s="1" t="s">
        <v>262</v>
      </c>
      <c r="C3928" s="1">
        <v>2023</v>
      </c>
      <c r="D3928" s="6">
        <v>40150</v>
      </c>
      <c r="E3928" s="1">
        <v>381</v>
      </c>
      <c r="F3928" s="1">
        <v>321</v>
      </c>
      <c r="G3928" s="1">
        <v>1287403</v>
      </c>
      <c r="H3928" s="1" t="s">
        <v>70</v>
      </c>
    </row>
    <row r="3929" spans="1:8" x14ac:dyDescent="0.3">
      <c r="A3929" s="1" t="s">
        <v>263</v>
      </c>
      <c r="B3929" s="1" t="s">
        <v>264</v>
      </c>
      <c r="C3929" s="1">
        <v>2023</v>
      </c>
      <c r="D3929" s="6">
        <v>55485</v>
      </c>
      <c r="E3929" s="1">
        <v>637</v>
      </c>
      <c r="F3929" s="1">
        <v>529</v>
      </c>
      <c r="G3929" s="1">
        <v>3035070</v>
      </c>
      <c r="H3929" s="1" t="s">
        <v>70</v>
      </c>
    </row>
    <row r="3930" spans="1:8" x14ac:dyDescent="0.3">
      <c r="A3930" s="1" t="s">
        <v>265</v>
      </c>
      <c r="B3930" s="1" t="s">
        <v>266</v>
      </c>
      <c r="C3930" s="1">
        <v>2023</v>
      </c>
      <c r="D3930" s="6">
        <v>13716</v>
      </c>
      <c r="E3930" s="1">
        <v>100</v>
      </c>
      <c r="F3930" s="1">
        <v>16</v>
      </c>
      <c r="G3930" s="1">
        <v>479083</v>
      </c>
      <c r="H3930" s="1" t="s">
        <v>70</v>
      </c>
    </row>
    <row r="3931" spans="1:8" x14ac:dyDescent="0.3">
      <c r="A3931" s="1" t="s">
        <v>267</v>
      </c>
      <c r="B3931" s="1" t="s">
        <v>268</v>
      </c>
      <c r="C3931" s="1">
        <v>2023</v>
      </c>
      <c r="D3931" s="6">
        <v>27195</v>
      </c>
      <c r="E3931" s="1">
        <v>302</v>
      </c>
      <c r="F3931" s="1">
        <v>26</v>
      </c>
      <c r="G3931" s="1">
        <v>305122</v>
      </c>
      <c r="H3931" s="1" t="s">
        <v>70</v>
      </c>
    </row>
    <row r="3932" spans="1:8" x14ac:dyDescent="0.3">
      <c r="A3932" s="1" t="s">
        <v>269</v>
      </c>
      <c r="B3932" s="1" t="s">
        <v>270</v>
      </c>
      <c r="C3932" s="1">
        <v>2023</v>
      </c>
      <c r="D3932" s="6">
        <v>58582</v>
      </c>
      <c r="E3932" s="1">
        <v>886</v>
      </c>
      <c r="F3932" s="1">
        <v>102</v>
      </c>
      <c r="G3932" s="1">
        <v>358448</v>
      </c>
      <c r="H3932" s="1" t="s">
        <v>70</v>
      </c>
    </row>
    <row r="3933" spans="1:8" x14ac:dyDescent="0.3">
      <c r="A3933" s="1" t="s">
        <v>271</v>
      </c>
      <c r="B3933" s="1" t="s">
        <v>272</v>
      </c>
      <c r="C3933" s="1">
        <v>2023</v>
      </c>
      <c r="D3933" s="6">
        <v>26667</v>
      </c>
      <c r="E3933" s="1">
        <v>514</v>
      </c>
      <c r="F3933" s="1">
        <v>426</v>
      </c>
      <c r="G3933" s="1">
        <v>403912</v>
      </c>
      <c r="H3933" s="1" t="s">
        <v>70</v>
      </c>
    </row>
    <row r="3934" spans="1:8" x14ac:dyDescent="0.3">
      <c r="A3934" s="1" t="s">
        <v>273</v>
      </c>
      <c r="B3934" s="1" t="s">
        <v>274</v>
      </c>
      <c r="C3934" s="1">
        <v>2023</v>
      </c>
      <c r="D3934" s="6">
        <v>51223</v>
      </c>
      <c r="E3934" s="1">
        <v>722</v>
      </c>
      <c r="F3934" s="1">
        <v>280</v>
      </c>
      <c r="G3934" s="1">
        <v>2311325</v>
      </c>
      <c r="H3934" s="1" t="s">
        <v>70</v>
      </c>
    </row>
    <row r="3935" spans="1:8" x14ac:dyDescent="0.3">
      <c r="A3935" s="1" t="s">
        <v>275</v>
      </c>
      <c r="B3935" s="1" t="s">
        <v>276</v>
      </c>
      <c r="C3935" s="1">
        <v>2023</v>
      </c>
      <c r="D3935" s="6">
        <v>50464</v>
      </c>
      <c r="E3935" s="1">
        <v>1452</v>
      </c>
      <c r="F3935" s="1">
        <v>1261</v>
      </c>
      <c r="G3935" s="1">
        <v>308970</v>
      </c>
      <c r="H3935" s="1" t="s">
        <v>70</v>
      </c>
    </row>
    <row r="3936" spans="1:8" x14ac:dyDescent="0.3">
      <c r="A3936" s="1" t="s">
        <v>277</v>
      </c>
      <c r="B3936" s="1" t="s">
        <v>278</v>
      </c>
      <c r="C3936" s="1">
        <v>2023</v>
      </c>
      <c r="D3936" s="6">
        <v>458246</v>
      </c>
      <c r="E3936" s="1">
        <v>9635</v>
      </c>
      <c r="F3936" s="1">
        <v>16472</v>
      </c>
      <c r="G3936" s="1">
        <v>22993954</v>
      </c>
      <c r="H3936" s="1" t="s">
        <v>70</v>
      </c>
    </row>
    <row r="3937" spans="1:8" x14ac:dyDescent="0.3">
      <c r="A3937" s="1" t="s">
        <v>279</v>
      </c>
      <c r="B3937" s="1" t="s">
        <v>280</v>
      </c>
      <c r="C3937" s="1">
        <v>2023</v>
      </c>
      <c r="D3937" s="6">
        <v>31999</v>
      </c>
      <c r="E3937" s="1">
        <v>371</v>
      </c>
      <c r="F3937" s="1">
        <v>431</v>
      </c>
      <c r="G3937" s="1">
        <v>2440620</v>
      </c>
      <c r="H3937" s="1" t="s">
        <v>70</v>
      </c>
    </row>
    <row r="3938" spans="1:8" x14ac:dyDescent="0.3">
      <c r="A3938" s="1" t="s">
        <v>281</v>
      </c>
      <c r="B3938" s="1" t="s">
        <v>282</v>
      </c>
      <c r="C3938" s="1">
        <v>2023</v>
      </c>
      <c r="D3938" s="6">
        <v>45901</v>
      </c>
      <c r="E3938" s="1">
        <v>337</v>
      </c>
      <c r="F3938" s="1">
        <v>570</v>
      </c>
      <c r="G3938" s="1">
        <v>9656619</v>
      </c>
      <c r="H3938" s="1" t="s">
        <v>70</v>
      </c>
    </row>
    <row r="3939" spans="1:8" x14ac:dyDescent="0.3">
      <c r="A3939" s="1" t="s">
        <v>283</v>
      </c>
      <c r="B3939" s="1" t="s">
        <v>284</v>
      </c>
      <c r="C3939" s="1">
        <v>2023</v>
      </c>
      <c r="D3939" s="6">
        <v>11967</v>
      </c>
      <c r="E3939" s="1">
        <v>172</v>
      </c>
      <c r="F3939" s="1">
        <v>6</v>
      </c>
      <c r="G3939" s="1">
        <v>121673</v>
      </c>
      <c r="H3939" s="1" t="s">
        <v>70</v>
      </c>
    </row>
    <row r="3940" spans="1:8" x14ac:dyDescent="0.3">
      <c r="A3940" s="1" t="s">
        <v>285</v>
      </c>
      <c r="B3940" s="1" t="s">
        <v>286</v>
      </c>
      <c r="C3940" s="1">
        <v>2023</v>
      </c>
      <c r="D3940" s="6">
        <v>34023</v>
      </c>
      <c r="E3940" s="1">
        <v>478</v>
      </c>
      <c r="F3940" s="1">
        <v>529</v>
      </c>
      <c r="G3940" s="1">
        <v>3132488</v>
      </c>
      <c r="H3940" s="1" t="s">
        <v>70</v>
      </c>
    </row>
    <row r="3941" spans="1:8" x14ac:dyDescent="0.3">
      <c r="A3941" s="1" t="s">
        <v>287</v>
      </c>
      <c r="B3941" s="1" t="s">
        <v>288</v>
      </c>
      <c r="C3941" s="1">
        <v>2023</v>
      </c>
      <c r="D3941" s="6">
        <v>37350</v>
      </c>
      <c r="E3941" s="1">
        <v>635</v>
      </c>
      <c r="F3941" s="1">
        <v>403</v>
      </c>
      <c r="G3941" s="1">
        <v>627934</v>
      </c>
      <c r="H3941" s="1" t="s">
        <v>70</v>
      </c>
    </row>
    <row r="3942" spans="1:8" x14ac:dyDescent="0.3">
      <c r="A3942" s="1" t="s">
        <v>289</v>
      </c>
      <c r="B3942" s="1" t="s">
        <v>290</v>
      </c>
      <c r="C3942" s="1">
        <v>2023</v>
      </c>
      <c r="D3942" s="6">
        <v>16373</v>
      </c>
      <c r="E3942" s="1">
        <v>156</v>
      </c>
      <c r="F3942" s="1">
        <v>89</v>
      </c>
      <c r="G3942" s="1">
        <v>1141385</v>
      </c>
      <c r="H3942" s="1" t="s">
        <v>70</v>
      </c>
    </row>
    <row r="3943" spans="1:8" x14ac:dyDescent="0.3">
      <c r="A3943" s="1" t="s">
        <v>291</v>
      </c>
      <c r="B3943" s="1" t="s">
        <v>292</v>
      </c>
      <c r="C3943" s="1">
        <v>2023</v>
      </c>
      <c r="D3943" s="6">
        <v>42921</v>
      </c>
      <c r="E3943" s="1">
        <v>1232</v>
      </c>
      <c r="F3943" s="1">
        <v>813</v>
      </c>
      <c r="G3943" s="1">
        <v>926436</v>
      </c>
      <c r="H3943" s="1" t="s">
        <v>70</v>
      </c>
    </row>
    <row r="3944" spans="1:8" x14ac:dyDescent="0.3">
      <c r="A3944" s="1" t="s">
        <v>293</v>
      </c>
      <c r="B3944" s="1" t="s">
        <v>294</v>
      </c>
      <c r="C3944" s="1">
        <v>2023</v>
      </c>
      <c r="D3944" s="6">
        <v>38924</v>
      </c>
      <c r="E3944" s="1">
        <v>535</v>
      </c>
      <c r="F3944" s="1">
        <v>416</v>
      </c>
      <c r="G3944" s="1">
        <v>866119</v>
      </c>
      <c r="H3944" s="1" t="s">
        <v>70</v>
      </c>
    </row>
    <row r="3945" spans="1:8" x14ac:dyDescent="0.3">
      <c r="A3945" s="1" t="s">
        <v>295</v>
      </c>
      <c r="B3945" s="1" t="s">
        <v>296</v>
      </c>
      <c r="C3945" s="1">
        <v>2023</v>
      </c>
      <c r="D3945" s="6">
        <v>22529</v>
      </c>
      <c r="E3945" s="1">
        <v>185</v>
      </c>
      <c r="F3945" s="1">
        <v>98</v>
      </c>
      <c r="G3945" s="1">
        <v>439292</v>
      </c>
      <c r="H3945" s="1" t="s">
        <v>70</v>
      </c>
    </row>
    <row r="3946" spans="1:8" x14ac:dyDescent="0.3">
      <c r="A3946" s="1" t="s">
        <v>297</v>
      </c>
      <c r="B3946" s="1" t="s">
        <v>298</v>
      </c>
      <c r="C3946" s="1">
        <v>2023</v>
      </c>
      <c r="D3946" s="6">
        <v>55417</v>
      </c>
      <c r="E3946" s="1">
        <v>1449</v>
      </c>
      <c r="F3946" s="1">
        <v>1136</v>
      </c>
      <c r="G3946" s="1">
        <v>2170932</v>
      </c>
      <c r="H3946" s="1" t="s">
        <v>70</v>
      </c>
    </row>
    <row r="3947" spans="1:8" x14ac:dyDescent="0.3">
      <c r="A3947" s="1" t="s">
        <v>299</v>
      </c>
      <c r="B3947" s="1" t="s">
        <v>300</v>
      </c>
      <c r="C3947" s="1">
        <v>2023</v>
      </c>
      <c r="D3947" s="6">
        <v>12525</v>
      </c>
      <c r="E3947" s="1">
        <v>74</v>
      </c>
      <c r="F3947" s="1">
        <v>37</v>
      </c>
      <c r="G3947" s="1">
        <v>100368</v>
      </c>
      <c r="H3947" s="1" t="s">
        <v>70</v>
      </c>
    </row>
    <row r="3948" spans="1:8" x14ac:dyDescent="0.3">
      <c r="A3948" s="1" t="s">
        <v>301</v>
      </c>
      <c r="B3948" s="1" t="s">
        <v>302</v>
      </c>
      <c r="C3948" s="1">
        <v>2023</v>
      </c>
      <c r="D3948" s="6">
        <v>11591</v>
      </c>
      <c r="E3948" s="1">
        <v>174</v>
      </c>
      <c r="F3948" s="1">
        <v>76</v>
      </c>
      <c r="G3948" s="1">
        <v>170431</v>
      </c>
      <c r="H3948" s="1" t="s">
        <v>70</v>
      </c>
    </row>
    <row r="3949" spans="1:8" x14ac:dyDescent="0.3">
      <c r="A3949" s="1" t="s">
        <v>303</v>
      </c>
      <c r="B3949" s="1" t="s">
        <v>304</v>
      </c>
      <c r="C3949" s="1">
        <v>2023</v>
      </c>
      <c r="D3949" s="6">
        <v>15609</v>
      </c>
      <c r="E3949" s="1">
        <v>97</v>
      </c>
      <c r="F3949" s="1">
        <v>96</v>
      </c>
      <c r="G3949" s="1">
        <v>874901</v>
      </c>
      <c r="H3949" s="1" t="s">
        <v>70</v>
      </c>
    </row>
    <row r="3950" spans="1:8" x14ac:dyDescent="0.3">
      <c r="A3950" s="1" t="s">
        <v>305</v>
      </c>
      <c r="B3950" s="1" t="s">
        <v>306</v>
      </c>
      <c r="C3950" s="1">
        <v>2023</v>
      </c>
      <c r="D3950" s="6">
        <v>62901</v>
      </c>
      <c r="E3950" s="1">
        <v>1609</v>
      </c>
      <c r="F3950" s="1">
        <v>1397</v>
      </c>
      <c r="G3950" s="1">
        <v>1269110</v>
      </c>
      <c r="H3950" s="1" t="s">
        <v>70</v>
      </c>
    </row>
    <row r="3951" spans="1:8" x14ac:dyDescent="0.3">
      <c r="A3951" s="1" t="s">
        <v>307</v>
      </c>
      <c r="B3951" s="1" t="s">
        <v>308</v>
      </c>
      <c r="C3951" s="1">
        <v>2023</v>
      </c>
      <c r="D3951" s="6">
        <v>27588</v>
      </c>
      <c r="E3951" s="1">
        <v>619</v>
      </c>
      <c r="F3951" s="1">
        <v>475</v>
      </c>
      <c r="G3951" s="1">
        <v>1255721</v>
      </c>
      <c r="H3951" s="1" t="s">
        <v>70</v>
      </c>
    </row>
    <row r="3952" spans="1:8" x14ac:dyDescent="0.3">
      <c r="A3952" s="1" t="s">
        <v>309</v>
      </c>
      <c r="B3952" s="1" t="s">
        <v>310</v>
      </c>
      <c r="C3952" s="1">
        <v>2023</v>
      </c>
      <c r="D3952" s="6">
        <v>33653</v>
      </c>
      <c r="E3952" s="1">
        <v>520</v>
      </c>
      <c r="F3952" s="1">
        <v>473</v>
      </c>
      <c r="G3952" s="1">
        <v>1002446</v>
      </c>
      <c r="H3952" s="1" t="s">
        <v>70</v>
      </c>
    </row>
    <row r="3953" spans="1:8" x14ac:dyDescent="0.3">
      <c r="A3953" s="1" t="s">
        <v>311</v>
      </c>
      <c r="B3953" s="1" t="s">
        <v>312</v>
      </c>
      <c r="C3953" s="1">
        <v>2023</v>
      </c>
      <c r="D3953" s="6">
        <v>25963</v>
      </c>
      <c r="E3953" s="1">
        <v>459</v>
      </c>
      <c r="F3953" s="1">
        <v>11</v>
      </c>
      <c r="G3953" s="1">
        <v>70864</v>
      </c>
      <c r="H3953" s="1" t="s">
        <v>70</v>
      </c>
    </row>
    <row r="3954" spans="1:8" x14ac:dyDescent="0.3">
      <c r="A3954" s="1" t="s">
        <v>313</v>
      </c>
      <c r="B3954" s="1" t="s">
        <v>314</v>
      </c>
      <c r="C3954" s="1">
        <v>2023</v>
      </c>
      <c r="D3954" s="6">
        <v>25426</v>
      </c>
      <c r="E3954" s="1">
        <v>290</v>
      </c>
      <c r="F3954" s="1">
        <v>54</v>
      </c>
      <c r="G3954" s="1">
        <v>829831</v>
      </c>
      <c r="H3954" s="1" t="s">
        <v>70</v>
      </c>
    </row>
    <row r="3955" spans="1:8" x14ac:dyDescent="0.3">
      <c r="A3955" s="1" t="s">
        <v>315</v>
      </c>
      <c r="B3955" s="1" t="s">
        <v>316</v>
      </c>
      <c r="C3955" s="1">
        <v>2023</v>
      </c>
      <c r="D3955" s="6">
        <v>50499</v>
      </c>
      <c r="E3955" s="1">
        <v>655</v>
      </c>
      <c r="F3955" s="1">
        <v>405</v>
      </c>
      <c r="G3955" s="1">
        <v>1281099</v>
      </c>
      <c r="H3955" s="1" t="s">
        <v>70</v>
      </c>
    </row>
    <row r="3956" spans="1:8" x14ac:dyDescent="0.3">
      <c r="A3956" s="1" t="s">
        <v>317</v>
      </c>
      <c r="B3956" s="1" t="s">
        <v>318</v>
      </c>
      <c r="C3956" s="1">
        <v>2023</v>
      </c>
      <c r="D3956" s="6">
        <v>94714</v>
      </c>
      <c r="E3956" s="1">
        <v>3297</v>
      </c>
      <c r="F3956" s="1">
        <v>2815</v>
      </c>
      <c r="G3956" s="1">
        <v>2277494</v>
      </c>
      <c r="H3956" s="1" t="s">
        <v>70</v>
      </c>
    </row>
    <row r="3957" spans="1:8" x14ac:dyDescent="0.3">
      <c r="A3957" s="1" t="s">
        <v>319</v>
      </c>
      <c r="B3957" s="1" t="s">
        <v>320</v>
      </c>
      <c r="C3957" s="1">
        <v>2023</v>
      </c>
      <c r="D3957" s="6">
        <v>36508</v>
      </c>
      <c r="E3957" s="1">
        <v>462</v>
      </c>
      <c r="F3957" s="1">
        <v>64</v>
      </c>
      <c r="G3957" s="1">
        <v>330576</v>
      </c>
      <c r="H3957" s="1" t="s">
        <v>70</v>
      </c>
    </row>
    <row r="3958" spans="1:8" x14ac:dyDescent="0.3">
      <c r="A3958" s="1" t="s">
        <v>321</v>
      </c>
      <c r="B3958" s="1" t="s">
        <v>322</v>
      </c>
      <c r="C3958" s="1">
        <v>2023</v>
      </c>
      <c r="D3958" s="6">
        <v>32378</v>
      </c>
      <c r="E3958" s="1">
        <v>601</v>
      </c>
      <c r="F3958" s="1">
        <v>239</v>
      </c>
      <c r="G3958" s="1">
        <v>1019544</v>
      </c>
      <c r="H3958" s="1" t="s">
        <v>70</v>
      </c>
    </row>
    <row r="3959" spans="1:8" x14ac:dyDescent="0.3">
      <c r="A3959" s="1" t="s">
        <v>323</v>
      </c>
      <c r="B3959" s="1" t="s">
        <v>324</v>
      </c>
      <c r="C3959" s="1">
        <v>2023</v>
      </c>
      <c r="D3959" s="6">
        <v>79366</v>
      </c>
      <c r="E3959" s="1">
        <v>2565</v>
      </c>
      <c r="F3959" s="1">
        <v>2148</v>
      </c>
      <c r="G3959" s="1">
        <v>1755963</v>
      </c>
      <c r="H3959" s="1" t="s">
        <v>70</v>
      </c>
    </row>
    <row r="3960" spans="1:8" x14ac:dyDescent="0.3">
      <c r="A3960" s="1" t="s">
        <v>325</v>
      </c>
      <c r="B3960" s="1" t="s">
        <v>326</v>
      </c>
      <c r="C3960" s="1">
        <v>2023</v>
      </c>
      <c r="D3960" s="6">
        <v>17208</v>
      </c>
      <c r="E3960" s="1">
        <v>219</v>
      </c>
      <c r="F3960" s="1">
        <v>195</v>
      </c>
      <c r="G3960" s="1">
        <v>665795</v>
      </c>
      <c r="H3960" s="1" t="s">
        <v>70</v>
      </c>
    </row>
    <row r="3961" spans="1:8" x14ac:dyDescent="0.3">
      <c r="A3961" s="1" t="s">
        <v>327</v>
      </c>
      <c r="B3961" s="1" t="s">
        <v>328</v>
      </c>
      <c r="C3961" s="1">
        <v>2023</v>
      </c>
      <c r="D3961" s="6">
        <v>14524</v>
      </c>
      <c r="E3961" s="1">
        <v>150</v>
      </c>
      <c r="F3961" s="1">
        <v>14</v>
      </c>
      <c r="G3961" s="1">
        <v>70508</v>
      </c>
      <c r="H3961" s="1" t="s">
        <v>70</v>
      </c>
    </row>
    <row r="3962" spans="1:8" x14ac:dyDescent="0.3">
      <c r="A3962" s="1" t="s">
        <v>329</v>
      </c>
      <c r="B3962" s="1" t="s">
        <v>330</v>
      </c>
      <c r="C3962" s="1">
        <v>2023</v>
      </c>
      <c r="D3962" s="6">
        <v>19210</v>
      </c>
      <c r="E3962" s="1">
        <v>315</v>
      </c>
      <c r="F3962" s="1">
        <v>200</v>
      </c>
      <c r="G3962" s="1">
        <v>1849342</v>
      </c>
      <c r="H3962" s="1" t="s">
        <v>70</v>
      </c>
    </row>
    <row r="3963" spans="1:8" x14ac:dyDescent="0.3">
      <c r="A3963" s="1" t="s">
        <v>331</v>
      </c>
      <c r="B3963" s="1" t="s">
        <v>332</v>
      </c>
      <c r="C3963" s="1">
        <v>2023</v>
      </c>
      <c r="D3963" s="6">
        <v>49107</v>
      </c>
      <c r="E3963" s="1">
        <v>695</v>
      </c>
      <c r="F3963" s="1">
        <v>67</v>
      </c>
      <c r="G3963" s="1">
        <v>1146124</v>
      </c>
      <c r="H3963" s="1" t="s">
        <v>70</v>
      </c>
    </row>
    <row r="3964" spans="1:8" x14ac:dyDescent="0.3">
      <c r="A3964" s="1" t="s">
        <v>333</v>
      </c>
      <c r="B3964" s="1" t="s">
        <v>334</v>
      </c>
      <c r="C3964" s="1">
        <v>2023</v>
      </c>
      <c r="D3964" s="6">
        <v>27583</v>
      </c>
      <c r="E3964" s="1">
        <v>413</v>
      </c>
      <c r="F3964" s="1">
        <v>34</v>
      </c>
      <c r="G3964" s="1">
        <v>32655</v>
      </c>
      <c r="H3964" s="1" t="s">
        <v>70</v>
      </c>
    </row>
    <row r="3965" spans="1:8" x14ac:dyDescent="0.3">
      <c r="A3965" s="1" t="s">
        <v>335</v>
      </c>
      <c r="B3965" s="1" t="s">
        <v>336</v>
      </c>
      <c r="C3965" s="1">
        <v>2023</v>
      </c>
      <c r="D3965" s="6">
        <v>17643</v>
      </c>
      <c r="E3965" s="1">
        <v>131</v>
      </c>
      <c r="F3965" s="1">
        <v>105</v>
      </c>
      <c r="G3965" s="1">
        <v>1299587</v>
      </c>
      <c r="H3965" s="1" t="s">
        <v>70</v>
      </c>
    </row>
    <row r="3966" spans="1:8" x14ac:dyDescent="0.3">
      <c r="A3966" s="1" t="s">
        <v>337</v>
      </c>
      <c r="B3966" s="1" t="s">
        <v>338</v>
      </c>
      <c r="C3966" s="1">
        <v>2023</v>
      </c>
      <c r="D3966" s="6">
        <v>31073</v>
      </c>
      <c r="E3966" s="1">
        <v>415</v>
      </c>
      <c r="F3966" s="1">
        <v>283</v>
      </c>
      <c r="G3966" s="1">
        <v>1530866</v>
      </c>
      <c r="H3966" s="1" t="s">
        <v>70</v>
      </c>
    </row>
    <row r="3967" spans="1:8" x14ac:dyDescent="0.3">
      <c r="A3967" s="1" t="s">
        <v>339</v>
      </c>
      <c r="B3967" s="1" t="s">
        <v>340</v>
      </c>
      <c r="C3967" s="1">
        <v>2023</v>
      </c>
      <c r="D3967" s="6">
        <v>20750</v>
      </c>
      <c r="E3967" s="1">
        <v>214</v>
      </c>
      <c r="F3967" s="1">
        <v>96</v>
      </c>
      <c r="G3967" s="1">
        <v>277139</v>
      </c>
      <c r="H3967" s="1" t="s">
        <v>70</v>
      </c>
    </row>
    <row r="3968" spans="1:8" x14ac:dyDescent="0.3">
      <c r="A3968" s="1" t="s">
        <v>341</v>
      </c>
      <c r="B3968" s="1" t="s">
        <v>342</v>
      </c>
      <c r="C3968" s="1">
        <v>2023</v>
      </c>
      <c r="D3968" s="6">
        <v>13348</v>
      </c>
      <c r="E3968" s="1">
        <v>89</v>
      </c>
      <c r="F3968" s="1">
        <v>54</v>
      </c>
      <c r="G3968" s="1">
        <v>141258</v>
      </c>
      <c r="H3968" s="1" t="s">
        <v>70</v>
      </c>
    </row>
    <row r="3969" spans="1:8" x14ac:dyDescent="0.3">
      <c r="A3969" s="1" t="s">
        <v>343</v>
      </c>
      <c r="B3969" s="1" t="s">
        <v>344</v>
      </c>
      <c r="C3969" s="1">
        <v>2023</v>
      </c>
      <c r="D3969" s="6">
        <v>53541</v>
      </c>
      <c r="E3969" s="1">
        <v>1355</v>
      </c>
      <c r="F3969" s="1">
        <v>1019</v>
      </c>
      <c r="G3969" s="1">
        <v>214634</v>
      </c>
      <c r="H3969" s="1" t="s">
        <v>70</v>
      </c>
    </row>
    <row r="3970" spans="1:8" x14ac:dyDescent="0.3">
      <c r="A3970" s="1" t="s">
        <v>345</v>
      </c>
      <c r="B3970" s="1" t="s">
        <v>346</v>
      </c>
      <c r="C3970" s="1">
        <v>2023</v>
      </c>
      <c r="D3970" s="6">
        <v>24962</v>
      </c>
      <c r="E3970" s="1">
        <v>354</v>
      </c>
      <c r="F3970" s="1">
        <v>171</v>
      </c>
      <c r="G3970" s="1">
        <v>1173213</v>
      </c>
      <c r="H3970" s="1" t="s">
        <v>70</v>
      </c>
    </row>
    <row r="3971" spans="1:8" x14ac:dyDescent="0.3">
      <c r="A3971" s="1" t="s">
        <v>347</v>
      </c>
      <c r="B3971" s="1" t="s">
        <v>348</v>
      </c>
      <c r="C3971" s="1">
        <v>2023</v>
      </c>
      <c r="D3971" s="6">
        <v>104349</v>
      </c>
      <c r="E3971" s="1">
        <v>2572</v>
      </c>
      <c r="F3971" s="1">
        <v>1447</v>
      </c>
      <c r="G3971" s="1">
        <v>2547073</v>
      </c>
      <c r="H3971" s="1" t="s">
        <v>70</v>
      </c>
    </row>
    <row r="3972" spans="1:8" x14ac:dyDescent="0.3">
      <c r="A3972" s="1" t="s">
        <v>349</v>
      </c>
      <c r="B3972" s="1" t="s">
        <v>350</v>
      </c>
      <c r="C3972" s="1">
        <v>2023</v>
      </c>
      <c r="D3972" s="6">
        <v>25922</v>
      </c>
      <c r="E3972" s="1">
        <v>677</v>
      </c>
      <c r="F3972" s="1">
        <v>175</v>
      </c>
      <c r="G3972" s="1">
        <v>593235</v>
      </c>
      <c r="H3972" s="1" t="s">
        <v>70</v>
      </c>
    </row>
    <row r="3973" spans="1:8" x14ac:dyDescent="0.3">
      <c r="A3973" s="1" t="s">
        <v>351</v>
      </c>
      <c r="B3973" s="1" t="s">
        <v>352</v>
      </c>
      <c r="C3973" s="1">
        <v>2023</v>
      </c>
      <c r="D3973" s="6">
        <v>12053</v>
      </c>
      <c r="E3973" s="1">
        <v>87</v>
      </c>
      <c r="F3973" s="1">
        <v>10</v>
      </c>
      <c r="G3973" s="1">
        <v>228747</v>
      </c>
      <c r="H3973" s="1" t="s">
        <v>70</v>
      </c>
    </row>
    <row r="3974" spans="1:8" x14ac:dyDescent="0.3">
      <c r="A3974" s="1" t="s">
        <v>353</v>
      </c>
      <c r="B3974" s="1" t="s">
        <v>354</v>
      </c>
      <c r="C3974" s="1">
        <v>2023</v>
      </c>
      <c r="D3974" s="6">
        <v>12371</v>
      </c>
      <c r="E3974" s="1">
        <v>265</v>
      </c>
      <c r="F3974" s="1">
        <v>232</v>
      </c>
      <c r="G3974" s="1">
        <v>353206</v>
      </c>
      <c r="H3974" s="1" t="s">
        <v>70</v>
      </c>
    </row>
    <row r="3975" spans="1:8" x14ac:dyDescent="0.3">
      <c r="A3975" s="1" t="s">
        <v>355</v>
      </c>
      <c r="B3975" s="1" t="s">
        <v>356</v>
      </c>
      <c r="C3975" s="1">
        <v>2023</v>
      </c>
      <c r="D3975" s="6">
        <v>33845</v>
      </c>
      <c r="E3975" s="1">
        <v>926</v>
      </c>
      <c r="F3975" s="1">
        <v>149</v>
      </c>
      <c r="G3975" s="1">
        <v>2498397</v>
      </c>
      <c r="H3975" s="1" t="s">
        <v>70</v>
      </c>
    </row>
    <row r="3976" spans="1:8" x14ac:dyDescent="0.3">
      <c r="A3976" s="1" t="s">
        <v>357</v>
      </c>
      <c r="B3976" s="1" t="s">
        <v>358</v>
      </c>
      <c r="C3976" s="1">
        <v>2023</v>
      </c>
      <c r="D3976" s="6">
        <v>20833</v>
      </c>
      <c r="E3976" s="1">
        <v>259</v>
      </c>
      <c r="F3976" s="1">
        <v>462</v>
      </c>
      <c r="G3976" s="1">
        <v>1544342</v>
      </c>
      <c r="H3976" s="1" t="s">
        <v>70</v>
      </c>
    </row>
    <row r="3977" spans="1:8" x14ac:dyDescent="0.3">
      <c r="A3977" s="1" t="s">
        <v>359</v>
      </c>
      <c r="B3977" s="1" t="s">
        <v>360</v>
      </c>
      <c r="C3977" s="1">
        <v>2023</v>
      </c>
      <c r="D3977" s="6">
        <v>54362</v>
      </c>
      <c r="E3977" s="1">
        <v>698</v>
      </c>
      <c r="F3977" s="1">
        <v>1154</v>
      </c>
      <c r="G3977" s="1">
        <v>6794075</v>
      </c>
      <c r="H3977" s="1" t="s">
        <v>70</v>
      </c>
    </row>
    <row r="3978" spans="1:8" x14ac:dyDescent="0.3">
      <c r="A3978" s="1" t="s">
        <v>361</v>
      </c>
      <c r="B3978" s="1" t="s">
        <v>362</v>
      </c>
      <c r="C3978" s="1">
        <v>2023</v>
      </c>
      <c r="D3978" s="6">
        <v>89447</v>
      </c>
      <c r="E3978" s="1">
        <v>1001</v>
      </c>
      <c r="F3978" s="1">
        <v>1483</v>
      </c>
      <c r="G3978" s="1">
        <v>7103621</v>
      </c>
      <c r="H3978" s="1" t="s">
        <v>70</v>
      </c>
    </row>
    <row r="3979" spans="1:8" x14ac:dyDescent="0.3">
      <c r="A3979" s="1" t="s">
        <v>363</v>
      </c>
      <c r="B3979" s="1" t="s">
        <v>364</v>
      </c>
      <c r="C3979" s="1">
        <v>2023</v>
      </c>
      <c r="D3979" s="6">
        <v>36067</v>
      </c>
      <c r="E3979" s="1">
        <v>273</v>
      </c>
      <c r="F3979" s="1">
        <v>610</v>
      </c>
      <c r="G3979" s="1">
        <v>4031841</v>
      </c>
      <c r="H3979" s="1" t="s">
        <v>70</v>
      </c>
    </row>
    <row r="3980" spans="1:8" x14ac:dyDescent="0.3">
      <c r="A3980" s="1" t="s">
        <v>365</v>
      </c>
      <c r="B3980" s="1" t="s">
        <v>366</v>
      </c>
      <c r="C3980" s="1">
        <v>2023</v>
      </c>
      <c r="D3980" s="6">
        <v>1077508</v>
      </c>
      <c r="E3980" s="1">
        <v>16092</v>
      </c>
      <c r="F3980" s="1">
        <v>23564</v>
      </c>
      <c r="G3980" s="1">
        <v>33747689</v>
      </c>
      <c r="H3980" s="1" t="s">
        <v>70</v>
      </c>
    </row>
    <row r="3981" spans="1:8" x14ac:dyDescent="0.3">
      <c r="A3981" s="1" t="s">
        <v>367</v>
      </c>
      <c r="B3981" s="1" t="s">
        <v>242</v>
      </c>
      <c r="C3981" s="1">
        <v>2023</v>
      </c>
      <c r="D3981" s="6">
        <v>34504</v>
      </c>
      <c r="E3981" s="1">
        <v>384</v>
      </c>
      <c r="F3981" s="1">
        <v>550</v>
      </c>
      <c r="G3981" s="1">
        <v>2617205</v>
      </c>
      <c r="H3981" s="1" t="s">
        <v>70</v>
      </c>
    </row>
    <row r="3982" spans="1:8" x14ac:dyDescent="0.3">
      <c r="A3982" s="1" t="s">
        <v>368</v>
      </c>
      <c r="B3982" s="1" t="s">
        <v>369</v>
      </c>
      <c r="C3982" s="1">
        <v>2023</v>
      </c>
      <c r="D3982" s="6">
        <v>17011</v>
      </c>
      <c r="E3982" s="1">
        <v>63</v>
      </c>
      <c r="F3982" s="1">
        <v>160</v>
      </c>
      <c r="G3982" s="1">
        <v>509179</v>
      </c>
      <c r="H3982" s="1" t="s">
        <v>70</v>
      </c>
    </row>
    <row r="3983" spans="1:8" x14ac:dyDescent="0.3">
      <c r="A3983" s="1" t="s">
        <v>370</v>
      </c>
      <c r="B3983" s="1" t="s">
        <v>371</v>
      </c>
      <c r="C3983" s="1">
        <v>2023</v>
      </c>
      <c r="D3983" s="6">
        <v>36316</v>
      </c>
      <c r="E3983" s="1">
        <v>122</v>
      </c>
      <c r="F3983" s="1">
        <v>318</v>
      </c>
      <c r="G3983" s="1">
        <v>2251617</v>
      </c>
      <c r="H3983" s="1" t="s">
        <v>70</v>
      </c>
    </row>
    <row r="3984" spans="1:8" x14ac:dyDescent="0.3">
      <c r="A3984" s="1" t="s">
        <v>372</v>
      </c>
      <c r="B3984" s="1" t="s">
        <v>373</v>
      </c>
      <c r="C3984" s="1">
        <v>2023</v>
      </c>
      <c r="D3984" s="6">
        <v>23429</v>
      </c>
      <c r="E3984" s="1">
        <v>139</v>
      </c>
      <c r="F3984" s="1">
        <v>202</v>
      </c>
      <c r="G3984" s="1">
        <v>1584381</v>
      </c>
      <c r="H3984" s="1" t="s">
        <v>70</v>
      </c>
    </row>
    <row r="3985" spans="1:8" x14ac:dyDescent="0.3">
      <c r="A3985" s="1" t="s">
        <v>374</v>
      </c>
      <c r="B3985" s="1" t="s">
        <v>375</v>
      </c>
      <c r="C3985" s="1">
        <v>2023</v>
      </c>
      <c r="D3985" s="6">
        <v>21803</v>
      </c>
      <c r="E3985" s="1">
        <v>248</v>
      </c>
      <c r="F3985" s="1">
        <v>239</v>
      </c>
      <c r="G3985" s="1">
        <v>733532</v>
      </c>
      <c r="H3985" s="1" t="s">
        <v>70</v>
      </c>
    </row>
    <row r="3986" spans="1:8" x14ac:dyDescent="0.3">
      <c r="A3986" s="1" t="s">
        <v>376</v>
      </c>
      <c r="B3986" s="1" t="s">
        <v>377</v>
      </c>
      <c r="C3986" s="1">
        <v>2023</v>
      </c>
      <c r="D3986" s="6">
        <v>16723</v>
      </c>
      <c r="E3986" s="1">
        <v>197</v>
      </c>
      <c r="F3986" s="1">
        <v>195</v>
      </c>
      <c r="G3986" s="1">
        <v>947374</v>
      </c>
      <c r="H3986" s="1" t="s">
        <v>70</v>
      </c>
    </row>
    <row r="3987" spans="1:8" x14ac:dyDescent="0.3">
      <c r="A3987" s="1" t="s">
        <v>378</v>
      </c>
      <c r="B3987" s="1" t="s">
        <v>379</v>
      </c>
      <c r="C3987" s="1">
        <v>2023</v>
      </c>
      <c r="D3987" s="6">
        <v>50117</v>
      </c>
      <c r="E3987" s="1">
        <v>445</v>
      </c>
      <c r="F3987" s="1">
        <v>705</v>
      </c>
      <c r="G3987" s="1">
        <v>1888018</v>
      </c>
      <c r="H3987" s="1" t="s">
        <v>70</v>
      </c>
    </row>
    <row r="3988" spans="1:8" x14ac:dyDescent="0.3">
      <c r="A3988" s="1" t="s">
        <v>380</v>
      </c>
      <c r="B3988" s="1" t="s">
        <v>381</v>
      </c>
      <c r="C3988" s="1">
        <v>2023</v>
      </c>
      <c r="D3988" s="6">
        <v>21428</v>
      </c>
      <c r="E3988" s="1">
        <v>215</v>
      </c>
      <c r="F3988" s="1">
        <v>62</v>
      </c>
      <c r="G3988" s="1">
        <v>457743</v>
      </c>
      <c r="H3988" s="1" t="s">
        <v>70</v>
      </c>
    </row>
    <row r="3989" spans="1:8" x14ac:dyDescent="0.3">
      <c r="A3989" s="1" t="s">
        <v>382</v>
      </c>
      <c r="B3989" s="1" t="s">
        <v>140</v>
      </c>
      <c r="C3989" s="1">
        <v>2023</v>
      </c>
      <c r="D3989" s="6">
        <v>41281</v>
      </c>
      <c r="E3989" s="1">
        <v>384</v>
      </c>
      <c r="F3989" s="1">
        <v>225</v>
      </c>
      <c r="G3989" s="1">
        <v>619483</v>
      </c>
      <c r="H3989" s="1" t="s">
        <v>70</v>
      </c>
    </row>
    <row r="3990" spans="1:8" x14ac:dyDescent="0.3">
      <c r="A3990" s="1" t="s">
        <v>383</v>
      </c>
      <c r="B3990" s="1" t="s">
        <v>384</v>
      </c>
      <c r="C3990" s="1">
        <v>2023</v>
      </c>
      <c r="D3990" s="6">
        <v>20253</v>
      </c>
      <c r="E3990" s="1">
        <v>97</v>
      </c>
      <c r="F3990" s="1">
        <v>167</v>
      </c>
      <c r="G3990" s="1">
        <v>1357295</v>
      </c>
      <c r="H3990" s="1" t="s">
        <v>70</v>
      </c>
    </row>
    <row r="3991" spans="1:8" x14ac:dyDescent="0.3">
      <c r="A3991" s="1" t="s">
        <v>385</v>
      </c>
      <c r="B3991" s="1" t="s">
        <v>386</v>
      </c>
      <c r="C3991" s="1">
        <v>2023</v>
      </c>
      <c r="D3991" s="6">
        <v>24437</v>
      </c>
      <c r="E3991" s="1">
        <v>154</v>
      </c>
      <c r="F3991" s="1">
        <v>163</v>
      </c>
      <c r="G3991" s="1">
        <v>1095434</v>
      </c>
      <c r="H3991" s="1" t="s">
        <v>70</v>
      </c>
    </row>
    <row r="3992" spans="1:8" x14ac:dyDescent="0.3">
      <c r="A3992" s="1" t="s">
        <v>387</v>
      </c>
      <c r="B3992" s="1" t="s">
        <v>388</v>
      </c>
      <c r="C3992" s="1">
        <v>2023</v>
      </c>
      <c r="D3992" s="6">
        <v>61282</v>
      </c>
      <c r="E3992" s="1">
        <v>726</v>
      </c>
      <c r="F3992" s="1">
        <v>1373</v>
      </c>
      <c r="G3992" s="1">
        <v>2923078</v>
      </c>
      <c r="H3992" s="1" t="s">
        <v>70</v>
      </c>
    </row>
    <row r="3993" spans="1:8" x14ac:dyDescent="0.3">
      <c r="A3993" s="1" t="s">
        <v>389</v>
      </c>
      <c r="B3993" s="1" t="s">
        <v>390</v>
      </c>
      <c r="C3993" s="1">
        <v>2023</v>
      </c>
      <c r="D3993" s="6">
        <v>7529</v>
      </c>
      <c r="E3993" s="1">
        <v>123</v>
      </c>
      <c r="F3993" s="1">
        <v>87</v>
      </c>
      <c r="G3993" s="1">
        <v>744952</v>
      </c>
      <c r="H3993" s="1" t="s">
        <v>70</v>
      </c>
    </row>
    <row r="3994" spans="1:8" x14ac:dyDescent="0.3">
      <c r="A3994" s="1" t="s">
        <v>391</v>
      </c>
      <c r="B3994" s="1" t="s">
        <v>392</v>
      </c>
      <c r="C3994" s="1">
        <v>2023</v>
      </c>
      <c r="D3994" s="6">
        <v>19279</v>
      </c>
      <c r="E3994" s="1">
        <v>174</v>
      </c>
      <c r="F3994" s="1">
        <v>56</v>
      </c>
      <c r="G3994" s="1">
        <v>133011</v>
      </c>
      <c r="H3994" s="1" t="s">
        <v>70</v>
      </c>
    </row>
    <row r="3995" spans="1:8" x14ac:dyDescent="0.3">
      <c r="A3995" s="1" t="s">
        <v>393</v>
      </c>
      <c r="B3995" s="1" t="s">
        <v>394</v>
      </c>
      <c r="C3995" s="1">
        <v>2023</v>
      </c>
      <c r="D3995" s="6">
        <v>41737</v>
      </c>
      <c r="E3995" s="1">
        <v>426</v>
      </c>
      <c r="F3995" s="1">
        <v>298</v>
      </c>
      <c r="G3995" s="1">
        <v>1423406</v>
      </c>
      <c r="H3995" s="1" t="s">
        <v>70</v>
      </c>
    </row>
    <row r="3996" spans="1:8" x14ac:dyDescent="0.3">
      <c r="A3996" s="1" t="s">
        <v>395</v>
      </c>
      <c r="B3996" s="1" t="s">
        <v>396</v>
      </c>
      <c r="C3996" s="1">
        <v>2023</v>
      </c>
      <c r="D3996" s="6">
        <v>37460</v>
      </c>
      <c r="E3996" s="1">
        <v>277</v>
      </c>
      <c r="F3996" s="1">
        <v>195</v>
      </c>
      <c r="G3996" s="1">
        <v>2240866</v>
      </c>
      <c r="H3996" s="1" t="s">
        <v>70</v>
      </c>
    </row>
    <row r="3997" spans="1:8" x14ac:dyDescent="0.3">
      <c r="A3997" s="1" t="s">
        <v>397</v>
      </c>
      <c r="B3997" s="1" t="s">
        <v>398</v>
      </c>
      <c r="C3997" s="1">
        <v>2023</v>
      </c>
      <c r="D3997" s="6">
        <v>34452</v>
      </c>
      <c r="E3997" s="1">
        <v>145</v>
      </c>
      <c r="F3997" s="1">
        <v>86</v>
      </c>
      <c r="G3997" s="1">
        <v>2242993</v>
      </c>
      <c r="H3997" s="1" t="s">
        <v>70</v>
      </c>
    </row>
    <row r="3998" spans="1:8" x14ac:dyDescent="0.3">
      <c r="A3998" s="1" t="s">
        <v>399</v>
      </c>
      <c r="B3998" s="1" t="s">
        <v>400</v>
      </c>
      <c r="C3998" s="1">
        <v>2023</v>
      </c>
      <c r="D3998" s="6">
        <v>18373</v>
      </c>
      <c r="E3998" s="1">
        <v>191</v>
      </c>
      <c r="F3998" s="1">
        <v>25</v>
      </c>
      <c r="G3998" s="1">
        <v>211810</v>
      </c>
      <c r="H3998" s="1" t="s">
        <v>70</v>
      </c>
    </row>
    <row r="3999" spans="1:8" x14ac:dyDescent="0.3">
      <c r="A3999" s="1" t="s">
        <v>401</v>
      </c>
      <c r="B3999" s="1" t="s">
        <v>167</v>
      </c>
      <c r="C3999" s="1">
        <v>2023</v>
      </c>
      <c r="D3999" s="6">
        <v>33306</v>
      </c>
      <c r="E3999" s="1">
        <v>317</v>
      </c>
      <c r="F3999" s="1">
        <v>70</v>
      </c>
      <c r="G3999" s="1">
        <v>219231</v>
      </c>
      <c r="H3999" s="1" t="s">
        <v>70</v>
      </c>
    </row>
    <row r="4000" spans="1:8" x14ac:dyDescent="0.3">
      <c r="A4000" s="1" t="s">
        <v>402</v>
      </c>
      <c r="B4000" s="1" t="s">
        <v>403</v>
      </c>
      <c r="C4000" s="1">
        <v>2023</v>
      </c>
      <c r="D4000" s="6">
        <v>20833</v>
      </c>
      <c r="E4000" s="1">
        <v>184</v>
      </c>
      <c r="F4000" s="1">
        <v>65</v>
      </c>
      <c r="G4000" s="1">
        <v>805310</v>
      </c>
      <c r="H4000" s="1" t="s">
        <v>70</v>
      </c>
    </row>
    <row r="4001" spans="1:8" x14ac:dyDescent="0.3">
      <c r="A4001" s="1" t="s">
        <v>404</v>
      </c>
      <c r="B4001" s="1" t="s">
        <v>405</v>
      </c>
      <c r="C4001" s="1">
        <v>2023</v>
      </c>
      <c r="D4001" s="6">
        <v>17542</v>
      </c>
      <c r="E4001" s="1">
        <v>120</v>
      </c>
      <c r="F4001" s="1">
        <v>25</v>
      </c>
      <c r="G4001" s="1">
        <v>279466</v>
      </c>
      <c r="H4001" s="1" t="s">
        <v>70</v>
      </c>
    </row>
    <row r="4002" spans="1:8" x14ac:dyDescent="0.3">
      <c r="A4002" s="1" t="s">
        <v>406</v>
      </c>
      <c r="B4002" s="1" t="s">
        <v>407</v>
      </c>
      <c r="C4002" s="1">
        <v>2023</v>
      </c>
      <c r="D4002" s="6">
        <v>25873</v>
      </c>
      <c r="E4002" s="1">
        <v>362</v>
      </c>
      <c r="F4002" s="1">
        <v>331</v>
      </c>
      <c r="G4002" s="1">
        <v>351894</v>
      </c>
      <c r="H4002" s="1" t="s">
        <v>70</v>
      </c>
    </row>
    <row r="4003" spans="1:8" x14ac:dyDescent="0.3">
      <c r="A4003" s="1" t="s">
        <v>408</v>
      </c>
      <c r="B4003" s="1" t="s">
        <v>409</v>
      </c>
      <c r="C4003" s="1">
        <v>2023</v>
      </c>
      <c r="D4003" s="6">
        <v>45297</v>
      </c>
      <c r="E4003" s="1">
        <v>573</v>
      </c>
      <c r="F4003" s="1">
        <v>335</v>
      </c>
      <c r="G4003" s="1">
        <v>1509862</v>
      </c>
      <c r="H4003" s="1" t="s">
        <v>70</v>
      </c>
    </row>
    <row r="4004" spans="1:8" x14ac:dyDescent="0.3">
      <c r="A4004" s="1" t="s">
        <v>410</v>
      </c>
      <c r="B4004" s="1" t="s">
        <v>411</v>
      </c>
      <c r="C4004" s="1">
        <v>2023</v>
      </c>
      <c r="D4004" s="6">
        <v>20873</v>
      </c>
      <c r="E4004" s="1">
        <v>159</v>
      </c>
      <c r="F4004" s="1">
        <v>25</v>
      </c>
      <c r="G4004" s="1">
        <v>344963</v>
      </c>
      <c r="H4004" s="1" t="s">
        <v>70</v>
      </c>
    </row>
    <row r="4005" spans="1:8" x14ac:dyDescent="0.3">
      <c r="A4005" s="1" t="s">
        <v>412</v>
      </c>
      <c r="B4005" s="1" t="s">
        <v>413</v>
      </c>
      <c r="C4005" s="1">
        <v>2023</v>
      </c>
      <c r="D4005" s="6">
        <v>21702</v>
      </c>
      <c r="E4005" s="1">
        <v>156</v>
      </c>
      <c r="F4005" s="1">
        <v>46</v>
      </c>
      <c r="G4005" s="1">
        <v>90835</v>
      </c>
      <c r="H4005" s="1" t="s">
        <v>70</v>
      </c>
    </row>
    <row r="4006" spans="1:8" x14ac:dyDescent="0.3">
      <c r="A4006" s="1" t="s">
        <v>414</v>
      </c>
      <c r="B4006" s="1" t="s">
        <v>415</v>
      </c>
      <c r="C4006" s="1">
        <v>2023</v>
      </c>
      <c r="D4006" s="6">
        <v>24648</v>
      </c>
      <c r="E4006" s="1">
        <v>277</v>
      </c>
      <c r="F4006" s="1">
        <v>121</v>
      </c>
      <c r="G4006" s="1">
        <v>352282</v>
      </c>
      <c r="H4006" s="1" t="s">
        <v>70</v>
      </c>
    </row>
    <row r="4007" spans="1:8" x14ac:dyDescent="0.3">
      <c r="A4007" s="1" t="s">
        <v>416</v>
      </c>
      <c r="B4007" s="1" t="s">
        <v>417</v>
      </c>
      <c r="C4007" s="1">
        <v>2023</v>
      </c>
      <c r="D4007" s="6">
        <v>22259</v>
      </c>
      <c r="E4007" s="1">
        <v>416</v>
      </c>
      <c r="F4007" s="1">
        <v>66</v>
      </c>
      <c r="G4007" s="1">
        <v>140554</v>
      </c>
      <c r="H4007" s="1" t="s">
        <v>70</v>
      </c>
    </row>
    <row r="4008" spans="1:8" x14ac:dyDescent="0.3">
      <c r="A4008" s="1" t="s">
        <v>418</v>
      </c>
      <c r="B4008" s="1" t="s">
        <v>419</v>
      </c>
      <c r="C4008" s="1">
        <v>2023</v>
      </c>
      <c r="D4008" s="6">
        <v>54493</v>
      </c>
      <c r="E4008" s="1">
        <v>1102</v>
      </c>
      <c r="F4008" s="1">
        <v>279</v>
      </c>
      <c r="G4008" s="1">
        <v>261592</v>
      </c>
      <c r="H4008" s="1" t="s">
        <v>70</v>
      </c>
    </row>
    <row r="4009" spans="1:8" x14ac:dyDescent="0.3">
      <c r="A4009" s="1" t="s">
        <v>420</v>
      </c>
      <c r="B4009" s="1" t="s">
        <v>421</v>
      </c>
      <c r="C4009" s="1">
        <v>2023</v>
      </c>
      <c r="D4009" s="6">
        <v>30623</v>
      </c>
      <c r="E4009" s="1">
        <v>252</v>
      </c>
      <c r="F4009" s="1">
        <v>134</v>
      </c>
      <c r="G4009" s="1">
        <v>1709654</v>
      </c>
      <c r="H4009" s="1" t="s">
        <v>70</v>
      </c>
    </row>
    <row r="4010" spans="1:8" x14ac:dyDescent="0.3">
      <c r="A4010" s="1" t="s">
        <v>422</v>
      </c>
      <c r="B4010" s="1" t="s">
        <v>423</v>
      </c>
      <c r="C4010" s="1">
        <v>2023</v>
      </c>
      <c r="D4010" s="6">
        <v>38323</v>
      </c>
      <c r="E4010" s="1">
        <v>324</v>
      </c>
      <c r="F4010" s="1">
        <v>334</v>
      </c>
      <c r="G4010" s="1">
        <v>411172</v>
      </c>
      <c r="H4010" s="1" t="s">
        <v>70</v>
      </c>
    </row>
    <row r="4011" spans="1:8" x14ac:dyDescent="0.3">
      <c r="A4011" s="1" t="s">
        <v>424</v>
      </c>
      <c r="B4011" s="1" t="s">
        <v>425</v>
      </c>
      <c r="C4011" s="1">
        <v>2023</v>
      </c>
      <c r="D4011" s="6">
        <v>18536</v>
      </c>
      <c r="E4011" s="1">
        <v>189</v>
      </c>
      <c r="F4011" s="1">
        <v>62</v>
      </c>
      <c r="G4011" s="1">
        <v>305367</v>
      </c>
      <c r="H4011" s="1" t="s">
        <v>70</v>
      </c>
    </row>
    <row r="4012" spans="1:8" x14ac:dyDescent="0.3">
      <c r="A4012" s="1" t="s">
        <v>426</v>
      </c>
      <c r="B4012" s="1" t="s">
        <v>427</v>
      </c>
      <c r="C4012" s="1">
        <v>2023</v>
      </c>
      <c r="D4012" s="6">
        <v>16952</v>
      </c>
      <c r="E4012" s="1">
        <v>145</v>
      </c>
      <c r="F4012" s="1">
        <v>56</v>
      </c>
      <c r="G4012" s="1">
        <v>584324</v>
      </c>
      <c r="H4012" s="1" t="s">
        <v>70</v>
      </c>
    </row>
    <row r="4013" spans="1:8" x14ac:dyDescent="0.3">
      <c r="A4013" s="1" t="s">
        <v>428</v>
      </c>
      <c r="B4013" s="1" t="s">
        <v>429</v>
      </c>
      <c r="C4013" s="1">
        <v>2023</v>
      </c>
      <c r="D4013" s="6">
        <v>8819</v>
      </c>
      <c r="E4013" s="1">
        <v>115</v>
      </c>
      <c r="F4013" s="1">
        <v>48</v>
      </c>
      <c r="G4013" s="1">
        <v>360426</v>
      </c>
      <c r="H4013" s="1" t="s">
        <v>70</v>
      </c>
    </row>
    <row r="4014" spans="1:8" x14ac:dyDescent="0.3">
      <c r="A4014" s="1" t="s">
        <v>430</v>
      </c>
      <c r="B4014" s="1" t="s">
        <v>431</v>
      </c>
      <c r="C4014" s="1">
        <v>2023</v>
      </c>
      <c r="D4014" s="6">
        <v>18862</v>
      </c>
      <c r="E4014" s="1">
        <v>141</v>
      </c>
      <c r="F4014" s="1">
        <v>145</v>
      </c>
      <c r="G4014" s="1">
        <v>788525</v>
      </c>
      <c r="H4014" s="1" t="s">
        <v>70</v>
      </c>
    </row>
    <row r="4015" spans="1:8" x14ac:dyDescent="0.3">
      <c r="A4015" s="1" t="s">
        <v>432</v>
      </c>
      <c r="B4015" s="1" t="s">
        <v>433</v>
      </c>
      <c r="C4015" s="1">
        <v>2023</v>
      </c>
      <c r="D4015" s="6">
        <v>25649</v>
      </c>
      <c r="E4015" s="1">
        <v>178</v>
      </c>
      <c r="F4015" s="1">
        <v>448</v>
      </c>
      <c r="G4015" s="1">
        <v>2835169</v>
      </c>
      <c r="H4015" s="1" t="s">
        <v>70</v>
      </c>
    </row>
    <row r="4016" spans="1:8" x14ac:dyDescent="0.3">
      <c r="A4016" s="1" t="s">
        <v>434</v>
      </c>
      <c r="B4016" s="1" t="s">
        <v>435</v>
      </c>
      <c r="C4016" s="1">
        <v>2023</v>
      </c>
      <c r="D4016" s="6">
        <v>98654</v>
      </c>
      <c r="E4016" s="1">
        <v>2175</v>
      </c>
      <c r="F4016" s="1">
        <v>2853</v>
      </c>
      <c r="G4016" s="1">
        <v>7529381</v>
      </c>
      <c r="H4016" s="1" t="s">
        <v>70</v>
      </c>
    </row>
    <row r="4017" spans="1:8" x14ac:dyDescent="0.3">
      <c r="A4017" s="1" t="s">
        <v>436</v>
      </c>
      <c r="B4017" s="1" t="s">
        <v>437</v>
      </c>
      <c r="C4017" s="1">
        <v>2023</v>
      </c>
      <c r="D4017" s="6">
        <v>18359</v>
      </c>
      <c r="E4017" s="1">
        <v>109</v>
      </c>
      <c r="F4017" s="1">
        <v>145</v>
      </c>
      <c r="G4017" s="1">
        <v>1898422</v>
      </c>
      <c r="H4017" s="1" t="s">
        <v>70</v>
      </c>
    </row>
    <row r="4018" spans="1:8" x14ac:dyDescent="0.3">
      <c r="A4018" s="1" t="s">
        <v>438</v>
      </c>
      <c r="B4018" s="1" t="s">
        <v>439</v>
      </c>
      <c r="C4018" s="1">
        <v>2023</v>
      </c>
      <c r="D4018" s="6">
        <v>20775</v>
      </c>
      <c r="E4018" s="1">
        <v>263</v>
      </c>
      <c r="F4018" s="1">
        <v>170</v>
      </c>
      <c r="G4018" s="1">
        <v>904843</v>
      </c>
      <c r="H4018" s="1" t="s">
        <v>70</v>
      </c>
    </row>
    <row r="4019" spans="1:8" x14ac:dyDescent="0.3">
      <c r="A4019" s="1" t="s">
        <v>440</v>
      </c>
      <c r="B4019" s="1" t="s">
        <v>441</v>
      </c>
      <c r="C4019" s="1">
        <v>2023</v>
      </c>
      <c r="D4019" s="6">
        <v>61688</v>
      </c>
      <c r="E4019" s="1">
        <v>1374</v>
      </c>
      <c r="F4019" s="1">
        <v>418</v>
      </c>
      <c r="G4019" s="1">
        <v>1928984</v>
      </c>
      <c r="H4019" s="1" t="s">
        <v>70</v>
      </c>
    </row>
    <row r="4020" spans="1:8" x14ac:dyDescent="0.3">
      <c r="A4020" s="1" t="s">
        <v>442</v>
      </c>
      <c r="B4020" s="1" t="s">
        <v>443</v>
      </c>
      <c r="C4020" s="1">
        <v>2023</v>
      </c>
      <c r="D4020" s="6">
        <v>24071</v>
      </c>
      <c r="E4020" s="1">
        <v>170</v>
      </c>
      <c r="F4020" s="1">
        <v>57</v>
      </c>
      <c r="G4020" s="1">
        <v>1244454</v>
      </c>
      <c r="H4020" s="1" t="s">
        <v>70</v>
      </c>
    </row>
    <row r="4021" spans="1:8" x14ac:dyDescent="0.3">
      <c r="A4021" s="1" t="s">
        <v>444</v>
      </c>
      <c r="B4021" s="1" t="s">
        <v>445</v>
      </c>
      <c r="C4021" s="1">
        <v>2023</v>
      </c>
      <c r="D4021" s="6">
        <v>15910</v>
      </c>
      <c r="E4021" s="1">
        <v>196</v>
      </c>
      <c r="F4021" s="1">
        <v>109</v>
      </c>
      <c r="G4021" s="1">
        <v>1416623</v>
      </c>
      <c r="H4021" s="1" t="s">
        <v>70</v>
      </c>
    </row>
    <row r="4022" spans="1:8" x14ac:dyDescent="0.3">
      <c r="A4022" s="1" t="s">
        <v>446</v>
      </c>
      <c r="B4022" s="1" t="s">
        <v>447</v>
      </c>
      <c r="C4022" s="1">
        <v>2023</v>
      </c>
      <c r="D4022" s="6">
        <v>21948</v>
      </c>
      <c r="E4022" s="1">
        <v>168</v>
      </c>
      <c r="F4022" s="1">
        <v>83</v>
      </c>
      <c r="G4022" s="1">
        <v>1434151</v>
      </c>
      <c r="H4022" s="1" t="s">
        <v>70</v>
      </c>
    </row>
    <row r="4023" spans="1:8" x14ac:dyDescent="0.3">
      <c r="A4023" s="1" t="s">
        <v>448</v>
      </c>
      <c r="B4023" s="1" t="s">
        <v>449</v>
      </c>
      <c r="C4023" s="1">
        <v>2023</v>
      </c>
      <c r="D4023" s="6">
        <v>11069</v>
      </c>
      <c r="E4023" s="1">
        <v>113</v>
      </c>
      <c r="F4023" s="1">
        <v>0</v>
      </c>
      <c r="G4023" s="1">
        <v>362421</v>
      </c>
      <c r="H4023" s="1" t="s">
        <v>70</v>
      </c>
    </row>
    <row r="4024" spans="1:8" x14ac:dyDescent="0.3">
      <c r="A4024" s="1" t="s">
        <v>450</v>
      </c>
      <c r="B4024" s="1" t="s">
        <v>451</v>
      </c>
      <c r="C4024" s="1">
        <v>2023</v>
      </c>
      <c r="D4024" s="6">
        <v>15670</v>
      </c>
      <c r="E4024" s="1">
        <v>221</v>
      </c>
      <c r="F4024" s="1">
        <v>32</v>
      </c>
      <c r="G4024" s="1">
        <v>89474</v>
      </c>
      <c r="H4024" s="1" t="s">
        <v>70</v>
      </c>
    </row>
    <row r="4025" spans="1:8" x14ac:dyDescent="0.3">
      <c r="A4025" s="1" t="s">
        <v>452</v>
      </c>
      <c r="B4025" s="1" t="s">
        <v>453</v>
      </c>
      <c r="C4025" s="1">
        <v>2023</v>
      </c>
      <c r="D4025" s="6">
        <v>13490</v>
      </c>
      <c r="E4025" s="1">
        <v>56</v>
      </c>
      <c r="F4025" s="1">
        <v>11</v>
      </c>
      <c r="G4025" s="1">
        <v>555730</v>
      </c>
      <c r="H4025" s="1" t="s">
        <v>70</v>
      </c>
    </row>
    <row r="4026" spans="1:8" x14ac:dyDescent="0.3">
      <c r="A4026" s="1" t="s">
        <v>454</v>
      </c>
      <c r="B4026" s="1" t="s">
        <v>455</v>
      </c>
      <c r="C4026" s="1">
        <v>2023</v>
      </c>
      <c r="D4026" s="6">
        <v>7170</v>
      </c>
      <c r="E4026" s="1">
        <v>52</v>
      </c>
      <c r="F4026" s="1">
        <v>0</v>
      </c>
      <c r="G4026" s="1">
        <v>204509</v>
      </c>
      <c r="H4026" s="1" t="s">
        <v>70</v>
      </c>
    </row>
    <row r="4027" spans="1:8" x14ac:dyDescent="0.3">
      <c r="A4027" s="1" t="s">
        <v>456</v>
      </c>
      <c r="B4027" s="1" t="s">
        <v>457</v>
      </c>
      <c r="C4027" s="1">
        <v>2023</v>
      </c>
      <c r="D4027" s="6">
        <v>17698</v>
      </c>
      <c r="E4027" s="1">
        <v>138</v>
      </c>
      <c r="F4027" s="1">
        <v>99</v>
      </c>
      <c r="G4027" s="1">
        <v>299367</v>
      </c>
      <c r="H4027" s="1" t="s">
        <v>70</v>
      </c>
    </row>
    <row r="4028" spans="1:8" x14ac:dyDescent="0.3">
      <c r="A4028" s="1" t="s">
        <v>458</v>
      </c>
      <c r="B4028" s="1" t="s">
        <v>459</v>
      </c>
      <c r="C4028" s="1">
        <v>2023</v>
      </c>
      <c r="D4028" s="6">
        <v>24713</v>
      </c>
      <c r="E4028" s="1">
        <v>90</v>
      </c>
      <c r="F4028" s="1">
        <v>62</v>
      </c>
      <c r="G4028" s="1">
        <v>1223715</v>
      </c>
      <c r="H4028" s="1" t="s">
        <v>70</v>
      </c>
    </row>
    <row r="4029" spans="1:8" x14ac:dyDescent="0.3">
      <c r="A4029" s="1" t="s">
        <v>460</v>
      </c>
      <c r="B4029" s="1" t="s">
        <v>461</v>
      </c>
      <c r="C4029" s="1">
        <v>2023</v>
      </c>
      <c r="D4029" s="6">
        <v>11874</v>
      </c>
      <c r="E4029" s="1">
        <v>165</v>
      </c>
      <c r="F4029" s="1">
        <v>22</v>
      </c>
      <c r="G4029" s="1">
        <v>294543</v>
      </c>
      <c r="H4029" s="1" t="s">
        <v>70</v>
      </c>
    </row>
    <row r="4030" spans="1:8" x14ac:dyDescent="0.3">
      <c r="A4030" s="1" t="s">
        <v>462</v>
      </c>
      <c r="B4030" s="1" t="s">
        <v>463</v>
      </c>
      <c r="C4030" s="1">
        <v>2023</v>
      </c>
      <c r="D4030" s="6">
        <v>18435</v>
      </c>
      <c r="E4030" s="1">
        <v>275</v>
      </c>
      <c r="F4030" s="1">
        <v>145</v>
      </c>
      <c r="G4030" s="1">
        <v>307402</v>
      </c>
      <c r="H4030" s="1" t="s">
        <v>70</v>
      </c>
    </row>
    <row r="4031" spans="1:8" x14ac:dyDescent="0.3">
      <c r="A4031" s="1" t="s">
        <v>464</v>
      </c>
      <c r="B4031" s="1" t="s">
        <v>465</v>
      </c>
      <c r="C4031" s="1">
        <v>2023</v>
      </c>
      <c r="D4031" s="6">
        <v>15144</v>
      </c>
      <c r="E4031" s="1">
        <v>180</v>
      </c>
      <c r="F4031" s="1">
        <v>141</v>
      </c>
      <c r="G4031" s="1">
        <v>768296</v>
      </c>
      <c r="H4031" s="1" t="s">
        <v>70</v>
      </c>
    </row>
    <row r="4032" spans="1:8" x14ac:dyDescent="0.3">
      <c r="A4032" s="1" t="s">
        <v>466</v>
      </c>
      <c r="B4032" s="1" t="s">
        <v>467</v>
      </c>
      <c r="C4032" s="1">
        <v>2023</v>
      </c>
      <c r="D4032" s="6">
        <v>143281</v>
      </c>
      <c r="E4032" s="1">
        <v>2786</v>
      </c>
      <c r="F4032" s="1">
        <v>3958</v>
      </c>
      <c r="G4032" s="1">
        <v>13756553</v>
      </c>
      <c r="H4032" s="1" t="s">
        <v>70</v>
      </c>
    </row>
    <row r="4033" spans="1:8" x14ac:dyDescent="0.3">
      <c r="A4033" s="1" t="s">
        <v>468</v>
      </c>
      <c r="B4033" s="1" t="s">
        <v>469</v>
      </c>
      <c r="C4033" s="1">
        <v>2023</v>
      </c>
      <c r="D4033" s="6">
        <v>25580</v>
      </c>
      <c r="E4033" s="1">
        <v>343</v>
      </c>
      <c r="F4033" s="1">
        <v>497</v>
      </c>
      <c r="G4033" s="1">
        <v>1626548</v>
      </c>
      <c r="H4033" s="1" t="s">
        <v>70</v>
      </c>
    </row>
    <row r="4034" spans="1:8" x14ac:dyDescent="0.3">
      <c r="A4034" s="1" t="s">
        <v>470</v>
      </c>
      <c r="B4034" s="1" t="s">
        <v>471</v>
      </c>
      <c r="C4034" s="1">
        <v>2023</v>
      </c>
      <c r="D4034" s="6">
        <v>28659</v>
      </c>
      <c r="E4034" s="1">
        <v>303</v>
      </c>
      <c r="F4034" s="1">
        <v>583</v>
      </c>
      <c r="G4034" s="1">
        <v>3810958</v>
      </c>
      <c r="H4034" s="1" t="s">
        <v>70</v>
      </c>
    </row>
    <row r="4035" spans="1:8" x14ac:dyDescent="0.3">
      <c r="A4035" s="1" t="s">
        <v>472</v>
      </c>
      <c r="B4035" s="1" t="s">
        <v>473</v>
      </c>
      <c r="C4035" s="1">
        <v>2023</v>
      </c>
      <c r="D4035" s="6">
        <v>25357</v>
      </c>
      <c r="E4035" s="1">
        <v>234</v>
      </c>
      <c r="F4035" s="1">
        <v>213</v>
      </c>
      <c r="G4035" s="1">
        <v>1052077</v>
      </c>
      <c r="H4035" s="1" t="s">
        <v>70</v>
      </c>
    </row>
    <row r="4036" spans="1:8" x14ac:dyDescent="0.3">
      <c r="A4036" s="1" t="s">
        <v>474</v>
      </c>
      <c r="B4036" s="1" t="s">
        <v>475</v>
      </c>
      <c r="C4036" s="1">
        <v>2023</v>
      </c>
      <c r="D4036" s="6">
        <v>32987</v>
      </c>
      <c r="E4036" s="1">
        <v>445</v>
      </c>
      <c r="F4036" s="1">
        <v>287</v>
      </c>
      <c r="G4036" s="1">
        <v>3042618</v>
      </c>
      <c r="H4036" s="1" t="s">
        <v>70</v>
      </c>
    </row>
    <row r="4037" spans="1:8" x14ac:dyDescent="0.3">
      <c r="A4037" s="1" t="s">
        <v>476</v>
      </c>
      <c r="B4037" s="1" t="s">
        <v>477</v>
      </c>
      <c r="C4037" s="1">
        <v>2023</v>
      </c>
      <c r="D4037" s="6">
        <v>19171</v>
      </c>
      <c r="E4037" s="1">
        <v>165</v>
      </c>
      <c r="F4037" s="1">
        <v>183</v>
      </c>
      <c r="G4037" s="1">
        <v>2240838</v>
      </c>
      <c r="H4037" s="1" t="s">
        <v>70</v>
      </c>
    </row>
    <row r="4038" spans="1:8" x14ac:dyDescent="0.3">
      <c r="A4038" s="1" t="s">
        <v>478</v>
      </c>
      <c r="B4038" s="1" t="s">
        <v>479</v>
      </c>
      <c r="C4038" s="1">
        <v>2023</v>
      </c>
      <c r="D4038" s="6">
        <v>49057</v>
      </c>
      <c r="E4038" s="1">
        <v>1491</v>
      </c>
      <c r="F4038" s="1">
        <v>1747</v>
      </c>
      <c r="G4038" s="1">
        <v>2379922</v>
      </c>
      <c r="H4038" s="1" t="s">
        <v>70</v>
      </c>
    </row>
    <row r="4039" spans="1:8" x14ac:dyDescent="0.3">
      <c r="A4039" s="1" t="s">
        <v>480</v>
      </c>
      <c r="B4039" s="1" t="s">
        <v>481</v>
      </c>
      <c r="C4039" s="1">
        <v>2023</v>
      </c>
      <c r="D4039" s="6">
        <v>46519</v>
      </c>
      <c r="E4039" s="1">
        <v>1228</v>
      </c>
      <c r="F4039" s="1">
        <v>730</v>
      </c>
      <c r="G4039" s="1">
        <v>3482110</v>
      </c>
      <c r="H4039" s="1" t="s">
        <v>70</v>
      </c>
    </row>
    <row r="4040" spans="1:8" x14ac:dyDescent="0.3">
      <c r="A4040" s="1" t="s">
        <v>482</v>
      </c>
      <c r="B4040" s="1" t="s">
        <v>483</v>
      </c>
      <c r="C4040" s="1">
        <v>2023</v>
      </c>
      <c r="D4040" s="6">
        <v>23553</v>
      </c>
      <c r="E4040" s="1">
        <v>394</v>
      </c>
      <c r="F4040" s="1">
        <v>221</v>
      </c>
      <c r="G4040" s="1">
        <v>2790222</v>
      </c>
      <c r="H4040" s="1" t="s">
        <v>70</v>
      </c>
    </row>
    <row r="4041" spans="1:8" x14ac:dyDescent="0.3">
      <c r="A4041" s="1" t="s">
        <v>484</v>
      </c>
      <c r="B4041" s="1" t="s">
        <v>485</v>
      </c>
      <c r="C4041" s="1">
        <v>2023</v>
      </c>
      <c r="D4041" s="6">
        <v>27825</v>
      </c>
      <c r="E4041" s="1">
        <v>262</v>
      </c>
      <c r="F4041" s="1">
        <v>285</v>
      </c>
      <c r="G4041" s="1">
        <v>1518396</v>
      </c>
      <c r="H4041" s="1" t="s">
        <v>70</v>
      </c>
    </row>
    <row r="4042" spans="1:8" x14ac:dyDescent="0.3">
      <c r="A4042" s="1" t="s">
        <v>486</v>
      </c>
      <c r="B4042" s="1" t="s">
        <v>487</v>
      </c>
      <c r="C4042" s="1">
        <v>2023</v>
      </c>
      <c r="D4042" s="6">
        <v>24806</v>
      </c>
      <c r="E4042" s="1">
        <v>433</v>
      </c>
      <c r="F4042" s="1">
        <v>566</v>
      </c>
      <c r="G4042" s="1">
        <v>1481403</v>
      </c>
      <c r="H4042" s="1" t="s">
        <v>70</v>
      </c>
    </row>
    <row r="4043" spans="1:8" x14ac:dyDescent="0.3">
      <c r="A4043" s="1" t="s">
        <v>488</v>
      </c>
      <c r="B4043" s="1" t="s">
        <v>489</v>
      </c>
      <c r="C4043" s="1">
        <v>2023</v>
      </c>
      <c r="D4043" s="6">
        <v>23508</v>
      </c>
      <c r="E4043" s="1">
        <v>297</v>
      </c>
      <c r="F4043" s="1">
        <v>425</v>
      </c>
      <c r="G4043" s="1">
        <v>3890849</v>
      </c>
      <c r="H4043" s="1" t="s">
        <v>70</v>
      </c>
    </row>
    <row r="4044" spans="1:8" x14ac:dyDescent="0.3">
      <c r="A4044" s="1" t="s">
        <v>490</v>
      </c>
      <c r="B4044" s="1" t="s">
        <v>310</v>
      </c>
      <c r="C4044" s="1">
        <v>2023</v>
      </c>
      <c r="D4044" s="6">
        <v>14203</v>
      </c>
      <c r="E4044" s="1">
        <v>444</v>
      </c>
      <c r="F4044" s="1">
        <v>378</v>
      </c>
      <c r="G4044" s="1">
        <v>859846</v>
      </c>
      <c r="H4044" s="1" t="s">
        <v>70</v>
      </c>
    </row>
    <row r="4045" spans="1:8" x14ac:dyDescent="0.3">
      <c r="A4045" s="1" t="s">
        <v>491</v>
      </c>
      <c r="B4045" s="1" t="s">
        <v>492</v>
      </c>
      <c r="C4045" s="1">
        <v>2023</v>
      </c>
      <c r="D4045" s="6">
        <v>36815</v>
      </c>
      <c r="E4045" s="1">
        <v>1426</v>
      </c>
      <c r="F4045" s="1">
        <v>1158</v>
      </c>
      <c r="G4045" s="1">
        <v>1417833</v>
      </c>
      <c r="H4045" s="1" t="s">
        <v>70</v>
      </c>
    </row>
    <row r="4046" spans="1:8" x14ac:dyDescent="0.3">
      <c r="A4046" s="1" t="s">
        <v>493</v>
      </c>
      <c r="B4046" s="1" t="s">
        <v>494</v>
      </c>
      <c r="C4046" s="1">
        <v>2023</v>
      </c>
      <c r="D4046" s="6">
        <v>36666</v>
      </c>
      <c r="E4046" s="1">
        <v>637</v>
      </c>
      <c r="F4046" s="1">
        <v>338</v>
      </c>
      <c r="G4046" s="1">
        <v>1300795</v>
      </c>
      <c r="H4046" s="1" t="s">
        <v>70</v>
      </c>
    </row>
    <row r="4047" spans="1:8" x14ac:dyDescent="0.3">
      <c r="A4047" s="1" t="s">
        <v>495</v>
      </c>
      <c r="B4047" s="1" t="s">
        <v>496</v>
      </c>
      <c r="C4047" s="1">
        <v>2023</v>
      </c>
      <c r="D4047" s="6">
        <v>43598</v>
      </c>
      <c r="E4047" s="1">
        <v>689</v>
      </c>
      <c r="F4047" s="1">
        <v>511</v>
      </c>
      <c r="G4047" s="1">
        <v>5751302</v>
      </c>
      <c r="H4047" s="1" t="s">
        <v>70</v>
      </c>
    </row>
    <row r="4048" spans="1:8" x14ac:dyDescent="0.3">
      <c r="A4048" s="1" t="s">
        <v>497</v>
      </c>
      <c r="B4048" s="1" t="s">
        <v>498</v>
      </c>
      <c r="C4048" s="1">
        <v>2023</v>
      </c>
      <c r="D4048" s="6">
        <v>41430</v>
      </c>
      <c r="E4048" s="1">
        <v>743</v>
      </c>
      <c r="F4048" s="1">
        <v>1013</v>
      </c>
      <c r="G4048" s="1">
        <v>5122283</v>
      </c>
      <c r="H4048" s="1" t="s">
        <v>70</v>
      </c>
    </row>
    <row r="4049" spans="1:8" x14ac:dyDescent="0.3">
      <c r="A4049" s="1" t="s">
        <v>499</v>
      </c>
      <c r="B4049" s="1" t="s">
        <v>500</v>
      </c>
      <c r="C4049" s="1">
        <v>2023</v>
      </c>
      <c r="D4049" s="6">
        <v>82356</v>
      </c>
      <c r="E4049" s="1">
        <v>1780</v>
      </c>
      <c r="F4049" s="1">
        <v>3028</v>
      </c>
      <c r="G4049" s="1">
        <v>2970240</v>
      </c>
      <c r="H4049" s="1" t="s">
        <v>70</v>
      </c>
    </row>
    <row r="4050" spans="1:8" x14ac:dyDescent="0.3">
      <c r="A4050" s="1" t="s">
        <v>501</v>
      </c>
      <c r="B4050" s="1" t="s">
        <v>502</v>
      </c>
      <c r="C4050" s="1">
        <v>2023</v>
      </c>
      <c r="D4050" s="6">
        <v>13403</v>
      </c>
      <c r="E4050" s="1">
        <v>45</v>
      </c>
      <c r="F4050" s="1">
        <v>83</v>
      </c>
      <c r="G4050" s="1">
        <v>1739898</v>
      </c>
      <c r="H4050" s="1" t="s">
        <v>70</v>
      </c>
    </row>
    <row r="4051" spans="1:8" x14ac:dyDescent="0.3">
      <c r="A4051" s="1" t="s">
        <v>503</v>
      </c>
      <c r="B4051" s="1" t="s">
        <v>504</v>
      </c>
      <c r="C4051" s="1">
        <v>2023</v>
      </c>
      <c r="D4051" s="6">
        <v>262986</v>
      </c>
      <c r="E4051" s="1">
        <v>6236</v>
      </c>
      <c r="F4051" s="1">
        <v>8899</v>
      </c>
      <c r="G4051" s="1">
        <v>13293488</v>
      </c>
      <c r="H4051" s="1" t="s">
        <v>70</v>
      </c>
    </row>
    <row r="4052" spans="1:8" x14ac:dyDescent="0.3">
      <c r="A4052" s="1" t="s">
        <v>505</v>
      </c>
      <c r="B4052" s="1" t="s">
        <v>506</v>
      </c>
      <c r="C4052" s="1">
        <v>2023</v>
      </c>
      <c r="D4052" s="6">
        <v>121891</v>
      </c>
      <c r="E4052" s="1">
        <v>1374</v>
      </c>
      <c r="F4052" s="1">
        <v>2445</v>
      </c>
      <c r="G4052" s="1">
        <v>9928214</v>
      </c>
      <c r="H4052" s="1" t="s">
        <v>70</v>
      </c>
    </row>
    <row r="4053" spans="1:8" x14ac:dyDescent="0.3">
      <c r="A4053" s="1" t="s">
        <v>507</v>
      </c>
      <c r="B4053" s="1" t="s">
        <v>508</v>
      </c>
      <c r="C4053" s="1">
        <v>2023</v>
      </c>
      <c r="D4053" s="6">
        <v>42206</v>
      </c>
      <c r="E4053" s="1">
        <v>862</v>
      </c>
      <c r="F4053" s="1">
        <v>1212</v>
      </c>
      <c r="G4053" s="1">
        <v>2318656</v>
      </c>
      <c r="H4053" s="1" t="s">
        <v>70</v>
      </c>
    </row>
    <row r="4054" spans="1:8" x14ac:dyDescent="0.3">
      <c r="A4054" s="1" t="s">
        <v>509</v>
      </c>
      <c r="B4054" s="1" t="s">
        <v>510</v>
      </c>
      <c r="C4054" s="1">
        <v>2023</v>
      </c>
      <c r="D4054" s="6">
        <v>19661</v>
      </c>
      <c r="E4054" s="1">
        <v>134</v>
      </c>
      <c r="F4054" s="1">
        <v>322</v>
      </c>
      <c r="G4054" s="1">
        <v>617175</v>
      </c>
      <c r="H4054" s="1" t="s">
        <v>70</v>
      </c>
    </row>
    <row r="4055" spans="1:8" x14ac:dyDescent="0.3">
      <c r="A4055" s="1" t="s">
        <v>511</v>
      </c>
      <c r="B4055" s="1" t="s">
        <v>512</v>
      </c>
      <c r="C4055" s="1">
        <v>2023</v>
      </c>
      <c r="D4055" s="6">
        <v>63785</v>
      </c>
      <c r="E4055" s="1">
        <v>293</v>
      </c>
      <c r="F4055" s="1">
        <v>628</v>
      </c>
      <c r="G4055" s="1">
        <v>5109902</v>
      </c>
      <c r="H4055" s="1" t="s">
        <v>70</v>
      </c>
    </row>
    <row r="4056" spans="1:8" x14ac:dyDescent="0.3">
      <c r="A4056" s="1" t="s">
        <v>513</v>
      </c>
      <c r="B4056" s="1" t="s">
        <v>443</v>
      </c>
      <c r="C4056" s="1">
        <v>2023</v>
      </c>
      <c r="D4056" s="6">
        <v>55853</v>
      </c>
      <c r="E4056" s="1">
        <v>778</v>
      </c>
      <c r="F4056" s="1">
        <v>445</v>
      </c>
      <c r="G4056" s="1">
        <v>954835</v>
      </c>
      <c r="H4056" s="1" t="s">
        <v>70</v>
      </c>
    </row>
    <row r="4057" spans="1:8" x14ac:dyDescent="0.3">
      <c r="A4057" s="1" t="s">
        <v>514</v>
      </c>
      <c r="B4057" s="1" t="s">
        <v>515</v>
      </c>
      <c r="C4057" s="1">
        <v>2023</v>
      </c>
      <c r="D4057" s="6">
        <v>66346</v>
      </c>
      <c r="E4057" s="1">
        <v>776</v>
      </c>
      <c r="F4057" s="1">
        <v>515</v>
      </c>
      <c r="G4057" s="1">
        <v>2329947</v>
      </c>
      <c r="H4057" s="1" t="s">
        <v>70</v>
      </c>
    </row>
    <row r="4058" spans="1:8" x14ac:dyDescent="0.3">
      <c r="A4058" s="1" t="s">
        <v>516</v>
      </c>
      <c r="B4058" s="1" t="s">
        <v>517</v>
      </c>
      <c r="C4058" s="1">
        <v>2023</v>
      </c>
      <c r="D4058" s="6">
        <v>48541</v>
      </c>
      <c r="E4058" s="1">
        <v>638</v>
      </c>
      <c r="F4058" s="1">
        <v>89</v>
      </c>
      <c r="G4058" s="1">
        <v>416341</v>
      </c>
      <c r="H4058" s="1" t="s">
        <v>70</v>
      </c>
    </row>
    <row r="4059" spans="1:8" x14ac:dyDescent="0.3">
      <c r="A4059" s="1" t="s">
        <v>518</v>
      </c>
      <c r="B4059" s="1" t="s">
        <v>519</v>
      </c>
      <c r="C4059" s="1">
        <v>2023</v>
      </c>
      <c r="D4059" s="6">
        <v>41517</v>
      </c>
      <c r="E4059" s="1">
        <v>507</v>
      </c>
      <c r="F4059" s="1">
        <v>345</v>
      </c>
      <c r="G4059" s="1">
        <v>2240487</v>
      </c>
      <c r="H4059" s="1" t="s">
        <v>70</v>
      </c>
    </row>
    <row r="4060" spans="1:8" x14ac:dyDescent="0.3">
      <c r="A4060" s="1" t="s">
        <v>520</v>
      </c>
      <c r="B4060" s="1" t="s">
        <v>521</v>
      </c>
      <c r="C4060" s="1">
        <v>2023</v>
      </c>
      <c r="D4060" s="6">
        <v>27789</v>
      </c>
      <c r="E4060" s="1">
        <v>294</v>
      </c>
      <c r="F4060" s="1">
        <v>79</v>
      </c>
      <c r="G4060" s="1">
        <v>373265</v>
      </c>
      <c r="H4060" s="1" t="s">
        <v>70</v>
      </c>
    </row>
    <row r="4061" spans="1:8" x14ac:dyDescent="0.3">
      <c r="A4061" s="1" t="s">
        <v>522</v>
      </c>
      <c r="B4061" s="1" t="s">
        <v>523</v>
      </c>
      <c r="C4061" s="1">
        <v>2023</v>
      </c>
      <c r="D4061" s="6">
        <v>25992</v>
      </c>
      <c r="E4061" s="1">
        <v>213</v>
      </c>
      <c r="F4061" s="1">
        <v>96</v>
      </c>
      <c r="G4061" s="1">
        <v>755115</v>
      </c>
      <c r="H4061" s="1" t="s">
        <v>70</v>
      </c>
    </row>
    <row r="4062" spans="1:8" x14ac:dyDescent="0.3">
      <c r="A4062" s="1" t="s">
        <v>524</v>
      </c>
      <c r="B4062" s="1" t="s">
        <v>525</v>
      </c>
      <c r="C4062" s="1">
        <v>2023</v>
      </c>
      <c r="D4062" s="6">
        <v>37526</v>
      </c>
      <c r="E4062" s="1">
        <v>554</v>
      </c>
      <c r="F4062" s="1">
        <v>238</v>
      </c>
      <c r="G4062" s="1">
        <v>2535188</v>
      </c>
      <c r="H4062" s="1" t="s">
        <v>70</v>
      </c>
    </row>
    <row r="4063" spans="1:8" x14ac:dyDescent="0.3">
      <c r="A4063" s="1" t="s">
        <v>526</v>
      </c>
      <c r="B4063" s="1" t="s">
        <v>527</v>
      </c>
      <c r="C4063" s="1">
        <v>2023</v>
      </c>
      <c r="D4063" s="6">
        <v>26658</v>
      </c>
      <c r="E4063" s="1">
        <v>172</v>
      </c>
      <c r="F4063" s="1">
        <v>165</v>
      </c>
      <c r="G4063" s="1">
        <v>746574</v>
      </c>
      <c r="H4063" s="1" t="s">
        <v>70</v>
      </c>
    </row>
    <row r="4064" spans="1:8" x14ac:dyDescent="0.3">
      <c r="A4064" s="1" t="s">
        <v>528</v>
      </c>
      <c r="B4064" s="1" t="s">
        <v>529</v>
      </c>
      <c r="C4064" s="1">
        <v>2023</v>
      </c>
      <c r="D4064" s="6">
        <v>35158</v>
      </c>
      <c r="E4064" s="1">
        <v>493</v>
      </c>
      <c r="F4064" s="1">
        <v>0</v>
      </c>
      <c r="G4064" s="1">
        <v>1195387</v>
      </c>
      <c r="H4064" s="1" t="s">
        <v>70</v>
      </c>
    </row>
    <row r="4065" spans="1:8" x14ac:dyDescent="0.3">
      <c r="A4065" s="1" t="s">
        <v>530</v>
      </c>
      <c r="B4065" s="1" t="s">
        <v>531</v>
      </c>
      <c r="C4065" s="1">
        <v>2023</v>
      </c>
      <c r="D4065" s="6">
        <v>37174</v>
      </c>
      <c r="E4065" s="1">
        <v>215</v>
      </c>
      <c r="F4065" s="1">
        <v>364</v>
      </c>
      <c r="G4065" s="1">
        <v>3430259</v>
      </c>
      <c r="H4065" s="1" t="s">
        <v>70</v>
      </c>
    </row>
    <row r="4066" spans="1:8" x14ac:dyDescent="0.3">
      <c r="A4066" s="1" t="s">
        <v>532</v>
      </c>
      <c r="B4066" s="1" t="s">
        <v>533</v>
      </c>
      <c r="C4066" s="1">
        <v>2023</v>
      </c>
      <c r="D4066" s="6">
        <v>25197</v>
      </c>
      <c r="E4066" s="1">
        <v>224</v>
      </c>
      <c r="F4066" s="1">
        <v>125</v>
      </c>
      <c r="G4066" s="1">
        <v>784397</v>
      </c>
      <c r="H4066" s="1" t="s">
        <v>70</v>
      </c>
    </row>
    <row r="4067" spans="1:8" x14ac:dyDescent="0.3">
      <c r="A4067" s="1" t="s">
        <v>534</v>
      </c>
      <c r="B4067" s="1" t="s">
        <v>535</v>
      </c>
      <c r="C4067" s="1">
        <v>2023</v>
      </c>
      <c r="D4067" s="6">
        <v>53160</v>
      </c>
      <c r="E4067" s="1">
        <v>702</v>
      </c>
      <c r="F4067" s="1">
        <v>475</v>
      </c>
      <c r="G4067" s="1">
        <v>3618864</v>
      </c>
      <c r="H4067" s="1" t="s">
        <v>70</v>
      </c>
    </row>
    <row r="4068" spans="1:8" x14ac:dyDescent="0.3">
      <c r="A4068" s="1" t="s">
        <v>536</v>
      </c>
      <c r="B4068" s="1" t="s">
        <v>537</v>
      </c>
      <c r="C4068" s="1">
        <v>2023</v>
      </c>
      <c r="D4068" s="6">
        <v>19507</v>
      </c>
      <c r="E4068" s="1">
        <v>258</v>
      </c>
      <c r="F4068" s="1">
        <v>242</v>
      </c>
      <c r="G4068" s="1">
        <v>366034</v>
      </c>
      <c r="H4068" s="1" t="s">
        <v>70</v>
      </c>
    </row>
    <row r="4069" spans="1:8" x14ac:dyDescent="0.3">
      <c r="A4069" s="1" t="s">
        <v>538</v>
      </c>
      <c r="B4069" s="1" t="s">
        <v>539</v>
      </c>
      <c r="C4069" s="1">
        <v>2023</v>
      </c>
      <c r="D4069" s="6">
        <v>51067</v>
      </c>
      <c r="E4069" s="1">
        <v>382</v>
      </c>
      <c r="F4069" s="1">
        <v>217</v>
      </c>
      <c r="G4069" s="1">
        <v>4353281</v>
      </c>
      <c r="H4069" s="1" t="s">
        <v>70</v>
      </c>
    </row>
    <row r="4070" spans="1:8" x14ac:dyDescent="0.3">
      <c r="A4070" s="1" t="s">
        <v>540</v>
      </c>
      <c r="B4070" s="1" t="s">
        <v>541</v>
      </c>
      <c r="C4070" s="1">
        <v>2023</v>
      </c>
      <c r="D4070" s="6">
        <v>48754</v>
      </c>
      <c r="E4070" s="1">
        <v>301</v>
      </c>
      <c r="F4070" s="1">
        <v>183</v>
      </c>
      <c r="G4070" s="1">
        <v>2897637</v>
      </c>
      <c r="H4070" s="1" t="s">
        <v>70</v>
      </c>
    </row>
    <row r="4071" spans="1:8" x14ac:dyDescent="0.3">
      <c r="A4071" s="1" t="s">
        <v>542</v>
      </c>
      <c r="B4071" s="1" t="s">
        <v>543</v>
      </c>
      <c r="C4071" s="1">
        <v>2023</v>
      </c>
      <c r="D4071" s="6">
        <v>55032</v>
      </c>
      <c r="E4071" s="1">
        <v>845</v>
      </c>
      <c r="F4071" s="1">
        <v>270</v>
      </c>
      <c r="G4071" s="1">
        <v>1418707</v>
      </c>
      <c r="H4071" s="1" t="s">
        <v>70</v>
      </c>
    </row>
    <row r="4072" spans="1:8" x14ac:dyDescent="0.3">
      <c r="A4072" s="1" t="s">
        <v>544</v>
      </c>
      <c r="B4072" s="1" t="s">
        <v>545</v>
      </c>
      <c r="C4072" s="1">
        <v>2023</v>
      </c>
      <c r="D4072" s="6">
        <v>76851</v>
      </c>
      <c r="E4072" s="1">
        <v>696</v>
      </c>
      <c r="F4072" s="1">
        <v>1355</v>
      </c>
      <c r="G4072" s="1">
        <v>6354643</v>
      </c>
      <c r="H4072" s="1" t="s">
        <v>70</v>
      </c>
    </row>
    <row r="4073" spans="1:8" x14ac:dyDescent="0.3">
      <c r="A4073" s="1" t="s">
        <v>546</v>
      </c>
      <c r="B4073" s="1" t="s">
        <v>547</v>
      </c>
      <c r="C4073" s="1">
        <v>2023</v>
      </c>
      <c r="D4073" s="6">
        <v>74265</v>
      </c>
      <c r="E4073" s="1">
        <v>173</v>
      </c>
      <c r="F4073" s="1">
        <v>1363</v>
      </c>
      <c r="G4073" s="1">
        <v>5332505</v>
      </c>
      <c r="H4073" s="1" t="s">
        <v>70</v>
      </c>
    </row>
    <row r="4074" spans="1:8" x14ac:dyDescent="0.3">
      <c r="A4074" s="1" t="s">
        <v>548</v>
      </c>
      <c r="B4074" s="1" t="s">
        <v>549</v>
      </c>
      <c r="C4074" s="1">
        <v>2023</v>
      </c>
      <c r="D4074" s="6">
        <v>54826</v>
      </c>
      <c r="E4074" s="1">
        <v>467</v>
      </c>
      <c r="F4074" s="1">
        <v>927</v>
      </c>
      <c r="G4074" s="1">
        <v>11399630</v>
      </c>
      <c r="H4074" s="1" t="s">
        <v>70</v>
      </c>
    </row>
    <row r="4075" spans="1:8" x14ac:dyDescent="0.3">
      <c r="A4075" s="1" t="s">
        <v>550</v>
      </c>
      <c r="B4075" s="1" t="s">
        <v>551</v>
      </c>
      <c r="C4075" s="1">
        <v>2023</v>
      </c>
      <c r="D4075" s="6">
        <v>102419</v>
      </c>
      <c r="E4075" s="1">
        <v>1226</v>
      </c>
      <c r="F4075" s="1">
        <v>1540</v>
      </c>
      <c r="G4075" s="1">
        <v>11472473</v>
      </c>
      <c r="H4075" s="1" t="s">
        <v>70</v>
      </c>
    </row>
    <row r="4076" spans="1:8" x14ac:dyDescent="0.3">
      <c r="A4076" s="1" t="s">
        <v>552</v>
      </c>
      <c r="B4076" s="1" t="s">
        <v>553</v>
      </c>
      <c r="C4076" s="1">
        <v>2023</v>
      </c>
      <c r="D4076" s="6">
        <v>52181</v>
      </c>
      <c r="E4076" s="1">
        <v>459</v>
      </c>
      <c r="F4076" s="1">
        <v>0</v>
      </c>
      <c r="G4076" s="1">
        <v>2406142</v>
      </c>
      <c r="H4076" s="1" t="s">
        <v>70</v>
      </c>
    </row>
    <row r="4077" spans="1:8" x14ac:dyDescent="0.3">
      <c r="A4077" s="1" t="s">
        <v>554</v>
      </c>
      <c r="B4077" s="1" t="s">
        <v>555</v>
      </c>
      <c r="C4077" s="1">
        <v>2023</v>
      </c>
      <c r="D4077" s="6">
        <v>83480</v>
      </c>
      <c r="E4077" s="1">
        <v>789</v>
      </c>
      <c r="F4077" s="1">
        <v>2003</v>
      </c>
      <c r="G4077" s="1">
        <v>8307182</v>
      </c>
      <c r="H4077" s="1" t="s">
        <v>70</v>
      </c>
    </row>
    <row r="4078" spans="1:8" x14ac:dyDescent="0.3">
      <c r="A4078" s="1" t="s">
        <v>556</v>
      </c>
      <c r="B4078" s="1" t="s">
        <v>557</v>
      </c>
      <c r="C4078" s="1">
        <v>2023</v>
      </c>
      <c r="D4078" s="6">
        <v>33017</v>
      </c>
      <c r="E4078" s="1">
        <v>113</v>
      </c>
      <c r="F4078" s="1">
        <v>0</v>
      </c>
      <c r="G4078" s="1">
        <v>2806363</v>
      </c>
      <c r="H4078" s="1" t="s">
        <v>70</v>
      </c>
    </row>
    <row r="4079" spans="1:8" x14ac:dyDescent="0.3">
      <c r="A4079" s="1" t="s">
        <v>558</v>
      </c>
      <c r="B4079" s="1" t="s">
        <v>559</v>
      </c>
      <c r="C4079" s="1">
        <v>2023</v>
      </c>
      <c r="D4079" s="6">
        <v>37056</v>
      </c>
      <c r="E4079" s="1">
        <v>291</v>
      </c>
      <c r="F4079" s="1">
        <v>383</v>
      </c>
      <c r="G4079" s="1">
        <v>2279516</v>
      </c>
      <c r="H4079" s="1" t="s">
        <v>70</v>
      </c>
    </row>
    <row r="4080" spans="1:8" x14ac:dyDescent="0.3">
      <c r="A4080" s="1" t="s">
        <v>560</v>
      </c>
      <c r="B4080" s="1" t="s">
        <v>561</v>
      </c>
      <c r="C4080" s="1">
        <v>2023</v>
      </c>
      <c r="D4080" s="6">
        <v>159264</v>
      </c>
      <c r="E4080" s="1">
        <v>2968</v>
      </c>
      <c r="F4080" s="1">
        <v>4031</v>
      </c>
      <c r="G4080" s="1">
        <v>11753465</v>
      </c>
      <c r="H4080" s="1" t="s">
        <v>70</v>
      </c>
    </row>
    <row r="4081" spans="1:8" x14ac:dyDescent="0.3">
      <c r="A4081" s="1" t="s">
        <v>562</v>
      </c>
      <c r="B4081" s="1" t="s">
        <v>563</v>
      </c>
      <c r="C4081" s="1">
        <v>2023</v>
      </c>
      <c r="D4081" s="6">
        <v>30738</v>
      </c>
      <c r="E4081" s="1">
        <v>335</v>
      </c>
      <c r="F4081" s="1">
        <v>403</v>
      </c>
      <c r="G4081" s="1">
        <v>3831630</v>
      </c>
      <c r="H4081" s="1" t="s">
        <v>70</v>
      </c>
    </row>
    <row r="4082" spans="1:8" x14ac:dyDescent="0.3">
      <c r="A4082" s="1" t="s">
        <v>564</v>
      </c>
      <c r="B4082" s="1" t="s">
        <v>565</v>
      </c>
      <c r="C4082" s="1">
        <v>2023</v>
      </c>
      <c r="D4082" s="6">
        <v>22980</v>
      </c>
      <c r="E4082" s="1">
        <v>151</v>
      </c>
      <c r="F4082" s="1">
        <v>321</v>
      </c>
      <c r="G4082" s="1">
        <v>4473342</v>
      </c>
      <c r="H4082" s="1" t="s">
        <v>70</v>
      </c>
    </row>
    <row r="4083" spans="1:8" x14ac:dyDescent="0.3">
      <c r="A4083" s="1" t="s">
        <v>566</v>
      </c>
      <c r="B4083" s="1" t="s">
        <v>567</v>
      </c>
      <c r="C4083" s="1">
        <v>2023</v>
      </c>
      <c r="D4083" s="6">
        <v>61205</v>
      </c>
      <c r="E4083" s="1">
        <v>294</v>
      </c>
      <c r="F4083" s="1">
        <v>827</v>
      </c>
      <c r="G4083" s="1">
        <v>5018181</v>
      </c>
      <c r="H4083" s="1" t="s">
        <v>70</v>
      </c>
    </row>
    <row r="4084" spans="1:8" x14ac:dyDescent="0.3">
      <c r="A4084" s="1" t="s">
        <v>568</v>
      </c>
      <c r="B4084" s="1" t="s">
        <v>569</v>
      </c>
      <c r="C4084" s="1">
        <v>2023</v>
      </c>
      <c r="D4084" s="6">
        <v>52842</v>
      </c>
      <c r="E4084" s="1">
        <v>347</v>
      </c>
      <c r="F4084" s="1">
        <v>610</v>
      </c>
      <c r="G4084" s="1">
        <v>6193290</v>
      </c>
      <c r="H4084" s="1" t="s">
        <v>70</v>
      </c>
    </row>
    <row r="4085" spans="1:8" x14ac:dyDescent="0.3">
      <c r="A4085" s="1" t="s">
        <v>570</v>
      </c>
      <c r="B4085" s="1" t="s">
        <v>571</v>
      </c>
      <c r="C4085" s="1">
        <v>2023</v>
      </c>
      <c r="D4085" s="6">
        <v>32235</v>
      </c>
      <c r="E4085" s="1">
        <v>350</v>
      </c>
      <c r="F4085" s="1">
        <v>827</v>
      </c>
      <c r="G4085" s="1">
        <v>3940604</v>
      </c>
      <c r="H4085" s="1" t="s">
        <v>70</v>
      </c>
    </row>
    <row r="4086" spans="1:8" x14ac:dyDescent="0.3">
      <c r="A4086" s="1" t="s">
        <v>572</v>
      </c>
      <c r="B4086" s="1" t="s">
        <v>573</v>
      </c>
      <c r="C4086" s="1">
        <v>2023</v>
      </c>
      <c r="D4086" s="6">
        <v>94919</v>
      </c>
      <c r="E4086" s="1">
        <v>740</v>
      </c>
      <c r="F4086" s="1">
        <v>1664</v>
      </c>
      <c r="G4086" s="1">
        <v>10799308</v>
      </c>
      <c r="H4086" s="1" t="s">
        <v>70</v>
      </c>
    </row>
    <row r="4087" spans="1:8" x14ac:dyDescent="0.3">
      <c r="A4087" s="1" t="s">
        <v>574</v>
      </c>
      <c r="B4087" s="1" t="s">
        <v>575</v>
      </c>
      <c r="C4087" s="1">
        <v>2023</v>
      </c>
      <c r="D4087" s="6">
        <v>23337</v>
      </c>
      <c r="E4087" s="1">
        <v>117</v>
      </c>
      <c r="F4087" s="1">
        <v>377</v>
      </c>
      <c r="G4087" s="1">
        <v>1066399</v>
      </c>
      <c r="H4087" s="1" t="s">
        <v>70</v>
      </c>
    </row>
    <row r="4088" spans="1:8" x14ac:dyDescent="0.3">
      <c r="A4088" s="1" t="s">
        <v>576</v>
      </c>
      <c r="B4088" s="1" t="s">
        <v>577</v>
      </c>
      <c r="C4088" s="1">
        <v>2023</v>
      </c>
      <c r="D4088" s="6">
        <v>53968</v>
      </c>
      <c r="E4088" s="1">
        <v>752</v>
      </c>
      <c r="F4088" s="1">
        <v>913</v>
      </c>
      <c r="G4088" s="1">
        <v>5098558</v>
      </c>
      <c r="H4088" s="1" t="s">
        <v>70</v>
      </c>
    </row>
    <row r="4089" spans="1:8" x14ac:dyDescent="0.3">
      <c r="A4089" s="1" t="s">
        <v>578</v>
      </c>
      <c r="B4089" s="1" t="s">
        <v>579</v>
      </c>
      <c r="C4089" s="1">
        <v>2023</v>
      </c>
      <c r="D4089" s="6">
        <v>72003</v>
      </c>
      <c r="E4089" s="1">
        <v>537</v>
      </c>
      <c r="F4089" s="1">
        <v>1244</v>
      </c>
      <c r="G4089" s="1">
        <v>9266766</v>
      </c>
      <c r="H4089" s="1" t="s">
        <v>70</v>
      </c>
    </row>
    <row r="4090" spans="1:8" x14ac:dyDescent="0.3">
      <c r="A4090" s="1" t="s">
        <v>580</v>
      </c>
      <c r="B4090" s="1" t="s">
        <v>581</v>
      </c>
      <c r="C4090" s="1">
        <v>2023</v>
      </c>
      <c r="D4090" s="6">
        <v>23525</v>
      </c>
      <c r="E4090" s="1">
        <v>408</v>
      </c>
      <c r="F4090" s="1">
        <v>342</v>
      </c>
      <c r="G4090" s="1">
        <v>1417366</v>
      </c>
      <c r="H4090" s="1" t="s">
        <v>70</v>
      </c>
    </row>
    <row r="4091" spans="1:8" x14ac:dyDescent="0.3">
      <c r="A4091" s="1" t="s">
        <v>582</v>
      </c>
      <c r="B4091" s="1" t="s">
        <v>583</v>
      </c>
      <c r="C4091" s="1">
        <v>2023</v>
      </c>
      <c r="D4091" s="6">
        <v>25997</v>
      </c>
      <c r="E4091" s="1">
        <v>379</v>
      </c>
      <c r="F4091" s="1">
        <v>191</v>
      </c>
      <c r="G4091" s="1">
        <v>531199</v>
      </c>
      <c r="H4091" s="1" t="s">
        <v>70</v>
      </c>
    </row>
    <row r="4092" spans="1:8" x14ac:dyDescent="0.3">
      <c r="A4092" s="1" t="s">
        <v>584</v>
      </c>
      <c r="B4092" s="1" t="s">
        <v>585</v>
      </c>
      <c r="C4092" s="1">
        <v>2023</v>
      </c>
      <c r="D4092" s="6">
        <v>30794</v>
      </c>
      <c r="E4092" s="1">
        <v>195</v>
      </c>
      <c r="F4092" s="1">
        <v>59</v>
      </c>
      <c r="G4092" s="1">
        <v>554407</v>
      </c>
      <c r="H4092" s="1" t="s">
        <v>70</v>
      </c>
    </row>
    <row r="4093" spans="1:8" x14ac:dyDescent="0.3">
      <c r="A4093" s="1" t="s">
        <v>586</v>
      </c>
      <c r="B4093" s="1" t="s">
        <v>587</v>
      </c>
      <c r="C4093" s="1">
        <v>2023</v>
      </c>
      <c r="D4093" s="6">
        <v>11047</v>
      </c>
      <c r="E4093" s="1">
        <v>82</v>
      </c>
      <c r="F4093" s="1">
        <v>7</v>
      </c>
      <c r="G4093" s="1">
        <v>65248</v>
      </c>
      <c r="H4093" s="1" t="s">
        <v>70</v>
      </c>
    </row>
    <row r="4094" spans="1:8" x14ac:dyDescent="0.3">
      <c r="A4094" s="1" t="s">
        <v>588</v>
      </c>
      <c r="B4094" s="1" t="s">
        <v>589</v>
      </c>
      <c r="C4094" s="1">
        <v>2023</v>
      </c>
      <c r="D4094" s="6">
        <v>65378</v>
      </c>
      <c r="E4094" s="1">
        <v>900</v>
      </c>
      <c r="F4094" s="1">
        <v>98</v>
      </c>
      <c r="G4094" s="1">
        <v>211246</v>
      </c>
      <c r="H4094" s="1" t="s">
        <v>70</v>
      </c>
    </row>
    <row r="4095" spans="1:8" x14ac:dyDescent="0.3">
      <c r="A4095" s="1" t="s">
        <v>590</v>
      </c>
      <c r="B4095" s="1" t="s">
        <v>591</v>
      </c>
      <c r="C4095" s="1">
        <v>2023</v>
      </c>
      <c r="D4095" s="6">
        <v>30327</v>
      </c>
      <c r="E4095" s="1">
        <v>222</v>
      </c>
      <c r="F4095" s="1">
        <v>72</v>
      </c>
      <c r="G4095" s="1">
        <v>437157</v>
      </c>
      <c r="H4095" s="1" t="s">
        <v>70</v>
      </c>
    </row>
    <row r="4096" spans="1:8" x14ac:dyDescent="0.3">
      <c r="A4096" s="1" t="s">
        <v>592</v>
      </c>
      <c r="B4096" s="1" t="s">
        <v>593</v>
      </c>
      <c r="C4096" s="1">
        <v>2023</v>
      </c>
      <c r="D4096" s="6">
        <v>18590</v>
      </c>
      <c r="E4096" s="1">
        <v>77</v>
      </c>
      <c r="F4096" s="1">
        <v>15</v>
      </c>
      <c r="G4096" s="1">
        <v>207433</v>
      </c>
      <c r="H4096" s="1" t="s">
        <v>70</v>
      </c>
    </row>
    <row r="4097" spans="1:8" x14ac:dyDescent="0.3">
      <c r="A4097" s="1" t="s">
        <v>594</v>
      </c>
      <c r="B4097" s="1" t="s">
        <v>595</v>
      </c>
      <c r="C4097" s="1">
        <v>2023</v>
      </c>
      <c r="D4097" s="6">
        <v>41435</v>
      </c>
      <c r="E4097" s="1">
        <v>162</v>
      </c>
      <c r="F4097" s="1">
        <v>200</v>
      </c>
      <c r="G4097" s="1">
        <v>1310854</v>
      </c>
      <c r="H4097" s="1" t="s">
        <v>70</v>
      </c>
    </row>
    <row r="4098" spans="1:8" x14ac:dyDescent="0.3">
      <c r="A4098" s="1" t="s">
        <v>596</v>
      </c>
      <c r="B4098" s="1" t="s">
        <v>597</v>
      </c>
      <c r="C4098" s="1">
        <v>2023</v>
      </c>
      <c r="D4098" s="6">
        <v>14800</v>
      </c>
      <c r="E4098" s="1">
        <v>67</v>
      </c>
      <c r="F4098" s="1">
        <v>22</v>
      </c>
      <c r="G4098" s="1">
        <v>421145</v>
      </c>
      <c r="H4098" s="1" t="s">
        <v>70</v>
      </c>
    </row>
    <row r="4099" spans="1:8" x14ac:dyDescent="0.3">
      <c r="A4099" s="1" t="s">
        <v>598</v>
      </c>
      <c r="B4099" s="1" t="s">
        <v>599</v>
      </c>
      <c r="C4099" s="1">
        <v>2023</v>
      </c>
      <c r="D4099" s="6">
        <v>26443</v>
      </c>
      <c r="E4099" s="1">
        <v>216</v>
      </c>
      <c r="F4099" s="1">
        <v>62</v>
      </c>
      <c r="G4099" s="1">
        <v>698662</v>
      </c>
      <c r="H4099" s="1" t="s">
        <v>70</v>
      </c>
    </row>
    <row r="4100" spans="1:8" x14ac:dyDescent="0.3">
      <c r="A4100" s="1" t="s">
        <v>600</v>
      </c>
      <c r="B4100" s="1" t="s">
        <v>601</v>
      </c>
      <c r="C4100" s="1">
        <v>2023</v>
      </c>
      <c r="D4100" s="6">
        <v>30490</v>
      </c>
      <c r="E4100" s="1">
        <v>216</v>
      </c>
      <c r="F4100" s="1">
        <v>259</v>
      </c>
      <c r="G4100" s="1">
        <v>1675076</v>
      </c>
      <c r="H4100" s="1" t="s">
        <v>70</v>
      </c>
    </row>
    <row r="4101" spans="1:8" x14ac:dyDescent="0.3">
      <c r="A4101" s="1" t="s">
        <v>602</v>
      </c>
      <c r="B4101" s="1" t="s">
        <v>603</v>
      </c>
      <c r="C4101" s="1">
        <v>2023</v>
      </c>
      <c r="D4101" s="6">
        <v>33428</v>
      </c>
      <c r="E4101" s="1">
        <v>342</v>
      </c>
      <c r="F4101" s="1">
        <v>250</v>
      </c>
      <c r="G4101" s="1">
        <v>2254083</v>
      </c>
      <c r="H4101" s="1" t="s">
        <v>70</v>
      </c>
    </row>
    <row r="4102" spans="1:8" x14ac:dyDescent="0.3">
      <c r="A4102" s="1" t="s">
        <v>604</v>
      </c>
      <c r="B4102" s="1" t="s">
        <v>605</v>
      </c>
      <c r="C4102" s="1">
        <v>2023</v>
      </c>
      <c r="D4102" s="6">
        <v>24603</v>
      </c>
      <c r="E4102" s="1">
        <v>157</v>
      </c>
      <c r="F4102" s="1">
        <v>42</v>
      </c>
      <c r="G4102" s="1">
        <v>470722</v>
      </c>
      <c r="H4102" s="1" t="s">
        <v>70</v>
      </c>
    </row>
    <row r="4103" spans="1:8" x14ac:dyDescent="0.3">
      <c r="A4103" s="1" t="s">
        <v>606</v>
      </c>
      <c r="B4103" s="1" t="s">
        <v>607</v>
      </c>
      <c r="C4103" s="1">
        <v>2023</v>
      </c>
      <c r="D4103" s="6">
        <v>17024</v>
      </c>
      <c r="E4103" s="1">
        <v>191</v>
      </c>
      <c r="F4103" s="1">
        <v>65</v>
      </c>
      <c r="G4103" s="1">
        <v>132547</v>
      </c>
      <c r="H4103" s="1" t="s">
        <v>70</v>
      </c>
    </row>
    <row r="4104" spans="1:8" x14ac:dyDescent="0.3">
      <c r="A4104" s="1" t="s">
        <v>608</v>
      </c>
      <c r="B4104" s="1" t="s">
        <v>609</v>
      </c>
      <c r="C4104" s="1">
        <v>2023</v>
      </c>
      <c r="D4104" s="6">
        <v>92232</v>
      </c>
      <c r="E4104" s="1">
        <v>1177</v>
      </c>
      <c r="F4104" s="1">
        <v>2093</v>
      </c>
      <c r="G4104" s="1">
        <v>2998547</v>
      </c>
      <c r="H4104" s="1" t="s">
        <v>70</v>
      </c>
    </row>
    <row r="4105" spans="1:8" x14ac:dyDescent="0.3">
      <c r="A4105" s="1" t="s">
        <v>610</v>
      </c>
      <c r="B4105" s="1" t="s">
        <v>611</v>
      </c>
      <c r="C4105" s="1">
        <v>2023</v>
      </c>
      <c r="D4105" s="6">
        <v>20954</v>
      </c>
      <c r="E4105" s="1">
        <v>38</v>
      </c>
      <c r="F4105" s="1">
        <v>245</v>
      </c>
      <c r="G4105" s="1">
        <v>2897822</v>
      </c>
      <c r="H4105" s="1" t="s">
        <v>70</v>
      </c>
    </row>
    <row r="4106" spans="1:8" x14ac:dyDescent="0.3">
      <c r="A4106" s="1" t="s">
        <v>612</v>
      </c>
      <c r="B4106" s="1" t="s">
        <v>613</v>
      </c>
      <c r="C4106" s="1">
        <v>2023</v>
      </c>
      <c r="D4106" s="6">
        <v>14581</v>
      </c>
      <c r="E4106" s="1">
        <v>41</v>
      </c>
      <c r="F4106" s="1">
        <v>177</v>
      </c>
      <c r="G4106" s="1">
        <v>1234644</v>
      </c>
      <c r="H4106" s="1" t="s">
        <v>70</v>
      </c>
    </row>
    <row r="4107" spans="1:8" x14ac:dyDescent="0.3">
      <c r="A4107" s="1" t="s">
        <v>614</v>
      </c>
      <c r="B4107" s="1" t="s">
        <v>615</v>
      </c>
      <c r="C4107" s="1">
        <v>2023</v>
      </c>
      <c r="D4107" s="6">
        <v>22827</v>
      </c>
      <c r="E4107" s="1">
        <v>273</v>
      </c>
      <c r="F4107" s="1">
        <v>372</v>
      </c>
      <c r="G4107" s="1">
        <v>1005413</v>
      </c>
      <c r="H4107" s="1" t="s">
        <v>70</v>
      </c>
    </row>
    <row r="4108" spans="1:8" x14ac:dyDescent="0.3">
      <c r="A4108" s="1" t="s">
        <v>616</v>
      </c>
      <c r="B4108" s="1" t="s">
        <v>617</v>
      </c>
      <c r="C4108" s="1">
        <v>2023</v>
      </c>
      <c r="D4108" s="6">
        <v>18918</v>
      </c>
      <c r="E4108" s="1">
        <v>177</v>
      </c>
      <c r="F4108" s="1">
        <v>116</v>
      </c>
      <c r="G4108" s="1">
        <v>611070</v>
      </c>
      <c r="H4108" s="1" t="s">
        <v>70</v>
      </c>
    </row>
    <row r="4109" spans="1:8" x14ac:dyDescent="0.3">
      <c r="A4109" s="1" t="s">
        <v>618</v>
      </c>
      <c r="B4109" s="1" t="s">
        <v>619</v>
      </c>
      <c r="C4109" s="1">
        <v>2023</v>
      </c>
      <c r="D4109" s="6">
        <v>35168</v>
      </c>
      <c r="E4109" s="1">
        <v>257</v>
      </c>
      <c r="F4109" s="1">
        <v>568</v>
      </c>
      <c r="G4109" s="1">
        <v>1877791</v>
      </c>
      <c r="H4109" s="1" t="s">
        <v>70</v>
      </c>
    </row>
    <row r="4110" spans="1:8" x14ac:dyDescent="0.3">
      <c r="A4110" s="1" t="s">
        <v>620</v>
      </c>
      <c r="B4110" s="1" t="s">
        <v>621</v>
      </c>
      <c r="C4110" s="1">
        <v>2023</v>
      </c>
      <c r="D4110" s="6">
        <v>22852</v>
      </c>
      <c r="E4110" s="1">
        <v>173</v>
      </c>
      <c r="F4110" s="1">
        <v>226</v>
      </c>
      <c r="G4110" s="1">
        <v>2087455</v>
      </c>
      <c r="H4110" s="1" t="s">
        <v>70</v>
      </c>
    </row>
    <row r="4111" spans="1:8" x14ac:dyDescent="0.3">
      <c r="A4111" s="1" t="s">
        <v>622</v>
      </c>
      <c r="B4111" s="1" t="s">
        <v>623</v>
      </c>
      <c r="C4111" s="1">
        <v>2023</v>
      </c>
      <c r="D4111" s="6">
        <v>33356</v>
      </c>
      <c r="E4111" s="1">
        <v>597</v>
      </c>
      <c r="F4111" s="1">
        <v>657</v>
      </c>
      <c r="G4111" s="1">
        <v>1619100</v>
      </c>
      <c r="H4111" s="1" t="s">
        <v>70</v>
      </c>
    </row>
    <row r="4112" spans="1:8" x14ac:dyDescent="0.3">
      <c r="A4112" s="1" t="s">
        <v>624</v>
      </c>
      <c r="B4112" s="1" t="s">
        <v>625</v>
      </c>
      <c r="C4112" s="1">
        <v>2023</v>
      </c>
      <c r="D4112" s="6">
        <v>23847</v>
      </c>
      <c r="E4112" s="1">
        <v>76</v>
      </c>
      <c r="F4112" s="1">
        <v>288</v>
      </c>
      <c r="G4112" s="1">
        <v>2793683</v>
      </c>
      <c r="H4112" s="1" t="s">
        <v>70</v>
      </c>
    </row>
    <row r="4113" spans="1:8" x14ac:dyDescent="0.3">
      <c r="A4113" s="1" t="s">
        <v>626</v>
      </c>
      <c r="B4113" s="1" t="s">
        <v>627</v>
      </c>
      <c r="C4113" s="1">
        <v>2023</v>
      </c>
      <c r="D4113" s="6">
        <v>15305</v>
      </c>
      <c r="E4113" s="1">
        <v>73</v>
      </c>
      <c r="F4113" s="1">
        <v>137</v>
      </c>
      <c r="G4113" s="1">
        <v>1532987</v>
      </c>
      <c r="H4113" s="1" t="s">
        <v>70</v>
      </c>
    </row>
    <row r="4114" spans="1:8" x14ac:dyDescent="0.3">
      <c r="A4114" s="1" t="s">
        <v>628</v>
      </c>
      <c r="B4114" s="1" t="s">
        <v>629</v>
      </c>
      <c r="C4114" s="1">
        <v>2023</v>
      </c>
      <c r="D4114" s="6">
        <v>18818</v>
      </c>
      <c r="E4114" s="1">
        <v>179</v>
      </c>
      <c r="F4114" s="1">
        <v>165</v>
      </c>
      <c r="G4114" s="1">
        <v>1740739</v>
      </c>
      <c r="H4114" s="1" t="s">
        <v>70</v>
      </c>
    </row>
    <row r="4115" spans="1:8" x14ac:dyDescent="0.3">
      <c r="A4115" s="1" t="s">
        <v>630</v>
      </c>
      <c r="B4115" s="1" t="s">
        <v>631</v>
      </c>
      <c r="C4115" s="1">
        <v>2023</v>
      </c>
      <c r="D4115" s="6">
        <v>11089</v>
      </c>
      <c r="E4115" s="1">
        <v>68</v>
      </c>
      <c r="F4115" s="1">
        <v>87</v>
      </c>
      <c r="G4115" s="1">
        <v>743635</v>
      </c>
      <c r="H4115" s="1" t="s">
        <v>70</v>
      </c>
    </row>
    <row r="4116" spans="1:8" x14ac:dyDescent="0.3">
      <c r="A4116" s="1" t="s">
        <v>632</v>
      </c>
      <c r="B4116" s="1" t="s">
        <v>633</v>
      </c>
      <c r="C4116" s="1">
        <v>2023</v>
      </c>
      <c r="D4116" s="6">
        <v>14448</v>
      </c>
      <c r="E4116" s="1">
        <v>177</v>
      </c>
      <c r="F4116" s="1">
        <v>113</v>
      </c>
      <c r="G4116" s="1">
        <v>559003</v>
      </c>
      <c r="H4116" s="1" t="s">
        <v>70</v>
      </c>
    </row>
    <row r="4117" spans="1:8" x14ac:dyDescent="0.3">
      <c r="A4117" s="1" t="s">
        <v>634</v>
      </c>
      <c r="B4117" s="1" t="s">
        <v>635</v>
      </c>
      <c r="C4117" s="1">
        <v>2023</v>
      </c>
      <c r="D4117" s="6">
        <v>12467</v>
      </c>
      <c r="E4117" s="1">
        <v>177</v>
      </c>
      <c r="F4117" s="1">
        <v>269</v>
      </c>
      <c r="G4117" s="1">
        <v>1232970</v>
      </c>
      <c r="H4117" s="1" t="s">
        <v>70</v>
      </c>
    </row>
    <row r="4118" spans="1:8" x14ac:dyDescent="0.3">
      <c r="A4118" s="1" t="s">
        <v>636</v>
      </c>
      <c r="B4118" s="1" t="s">
        <v>637</v>
      </c>
      <c r="C4118" s="1">
        <v>2023</v>
      </c>
      <c r="D4118" s="6">
        <v>48407</v>
      </c>
      <c r="E4118" s="1">
        <v>1076</v>
      </c>
      <c r="F4118" s="1">
        <v>974</v>
      </c>
      <c r="G4118" s="1">
        <v>2170340</v>
      </c>
      <c r="H4118" s="1" t="s">
        <v>70</v>
      </c>
    </row>
    <row r="4119" spans="1:8" x14ac:dyDescent="0.3">
      <c r="A4119" s="1" t="s">
        <v>638</v>
      </c>
      <c r="B4119" s="1" t="s">
        <v>639</v>
      </c>
      <c r="C4119" s="1">
        <v>2023</v>
      </c>
      <c r="D4119" s="6">
        <v>38332</v>
      </c>
      <c r="E4119" s="1">
        <v>429</v>
      </c>
      <c r="F4119" s="1">
        <v>547</v>
      </c>
      <c r="G4119" s="1">
        <v>1591255</v>
      </c>
      <c r="H4119" s="1" t="s">
        <v>70</v>
      </c>
    </row>
    <row r="4120" spans="1:8" x14ac:dyDescent="0.3">
      <c r="A4120" s="1" t="s">
        <v>640</v>
      </c>
      <c r="B4120" s="1" t="s">
        <v>641</v>
      </c>
      <c r="C4120" s="1">
        <v>2023</v>
      </c>
      <c r="D4120" s="6">
        <v>19768</v>
      </c>
      <c r="E4120" s="1">
        <v>194</v>
      </c>
      <c r="F4120" s="1">
        <v>248</v>
      </c>
      <c r="G4120" s="1">
        <v>2123507</v>
      </c>
      <c r="H4120" s="1" t="s">
        <v>70</v>
      </c>
    </row>
    <row r="4121" spans="1:8" x14ac:dyDescent="0.3">
      <c r="A4121" s="1" t="s">
        <v>642</v>
      </c>
      <c r="B4121" s="1" t="s">
        <v>643</v>
      </c>
      <c r="C4121" s="1">
        <v>2023</v>
      </c>
      <c r="D4121" s="6">
        <v>24615</v>
      </c>
      <c r="E4121" s="1">
        <v>284</v>
      </c>
      <c r="F4121" s="1">
        <v>228</v>
      </c>
      <c r="G4121" s="1">
        <v>793420</v>
      </c>
      <c r="H4121" s="1" t="s">
        <v>70</v>
      </c>
    </row>
    <row r="4122" spans="1:8" x14ac:dyDescent="0.3">
      <c r="A4122" s="1" t="s">
        <v>644</v>
      </c>
      <c r="B4122" s="1" t="s">
        <v>645</v>
      </c>
      <c r="C4122" s="1">
        <v>2023</v>
      </c>
      <c r="D4122" s="6">
        <v>9459</v>
      </c>
      <c r="E4122" s="1">
        <v>74</v>
      </c>
      <c r="F4122" s="1">
        <v>98</v>
      </c>
      <c r="G4122" s="1">
        <v>2884182</v>
      </c>
      <c r="H4122" s="1" t="s">
        <v>70</v>
      </c>
    </row>
    <row r="4123" spans="1:8" x14ac:dyDescent="0.3">
      <c r="A4123" s="1" t="s">
        <v>646</v>
      </c>
      <c r="B4123" s="1" t="s">
        <v>647</v>
      </c>
      <c r="C4123" s="1">
        <v>2023</v>
      </c>
      <c r="D4123" s="6">
        <v>8663</v>
      </c>
      <c r="E4123" s="1">
        <v>84</v>
      </c>
      <c r="F4123" s="1">
        <v>65</v>
      </c>
      <c r="G4123" s="1">
        <v>821883</v>
      </c>
      <c r="H4123" s="1" t="s">
        <v>70</v>
      </c>
    </row>
    <row r="4124" spans="1:8" x14ac:dyDescent="0.3">
      <c r="A4124" s="1" t="s">
        <v>648</v>
      </c>
      <c r="B4124" s="1" t="s">
        <v>649</v>
      </c>
      <c r="C4124" s="1">
        <v>2023</v>
      </c>
      <c r="D4124" s="6">
        <v>49550</v>
      </c>
      <c r="E4124" s="1">
        <v>564</v>
      </c>
      <c r="F4124" s="1">
        <v>1260</v>
      </c>
      <c r="G4124" s="1">
        <v>6517665</v>
      </c>
      <c r="H4124" s="1" t="s">
        <v>70</v>
      </c>
    </row>
    <row r="4125" spans="1:8" x14ac:dyDescent="0.3">
      <c r="A4125" s="1" t="s">
        <v>650</v>
      </c>
      <c r="B4125" s="1" t="s">
        <v>651</v>
      </c>
      <c r="C4125" s="1">
        <v>2023</v>
      </c>
      <c r="D4125" s="6">
        <v>83932</v>
      </c>
      <c r="E4125" s="1">
        <v>962</v>
      </c>
      <c r="F4125" s="1">
        <v>2372</v>
      </c>
      <c r="G4125" s="1">
        <v>6731702</v>
      </c>
      <c r="H4125" s="1" t="s">
        <v>70</v>
      </c>
    </row>
    <row r="4126" spans="1:8" x14ac:dyDescent="0.3">
      <c r="A4126" s="1" t="s">
        <v>652</v>
      </c>
      <c r="B4126" s="1" t="s">
        <v>653</v>
      </c>
      <c r="C4126" s="1">
        <v>2023</v>
      </c>
      <c r="D4126" s="6">
        <v>16078</v>
      </c>
      <c r="E4126" s="1">
        <v>292</v>
      </c>
      <c r="F4126" s="1">
        <v>120</v>
      </c>
      <c r="G4126" s="1">
        <v>1078260</v>
      </c>
      <c r="H4126" s="1" t="s">
        <v>70</v>
      </c>
    </row>
    <row r="4127" spans="1:8" x14ac:dyDescent="0.3">
      <c r="A4127" s="1" t="s">
        <v>654</v>
      </c>
      <c r="B4127" s="1" t="s">
        <v>655</v>
      </c>
      <c r="C4127" s="1">
        <v>2023</v>
      </c>
      <c r="D4127" s="6">
        <v>29007</v>
      </c>
      <c r="E4127" s="1">
        <v>289</v>
      </c>
      <c r="F4127" s="1">
        <v>125</v>
      </c>
      <c r="G4127" s="1">
        <v>2004163</v>
      </c>
      <c r="H4127" s="1" t="s">
        <v>70</v>
      </c>
    </row>
    <row r="4128" spans="1:8" x14ac:dyDescent="0.3">
      <c r="A4128" s="1" t="s">
        <v>656</v>
      </c>
      <c r="B4128" s="1" t="s">
        <v>657</v>
      </c>
      <c r="C4128" s="1">
        <v>2023</v>
      </c>
      <c r="D4128" s="6">
        <v>55578</v>
      </c>
      <c r="E4128" s="1">
        <v>806</v>
      </c>
      <c r="F4128" s="1">
        <v>466</v>
      </c>
      <c r="G4128" s="1">
        <v>7958748</v>
      </c>
      <c r="H4128" s="1" t="s">
        <v>70</v>
      </c>
    </row>
    <row r="4129" spans="1:8" x14ac:dyDescent="0.3">
      <c r="A4129" s="1" t="s">
        <v>658</v>
      </c>
      <c r="B4129" s="1" t="s">
        <v>659</v>
      </c>
      <c r="C4129" s="1">
        <v>2023</v>
      </c>
      <c r="D4129" s="6">
        <v>23973</v>
      </c>
      <c r="E4129" s="1">
        <v>305</v>
      </c>
      <c r="F4129" s="1">
        <v>172</v>
      </c>
      <c r="G4129" s="1">
        <v>1083762</v>
      </c>
      <c r="H4129" s="1" t="s">
        <v>70</v>
      </c>
    </row>
    <row r="4130" spans="1:8" x14ac:dyDescent="0.3">
      <c r="A4130" s="1" t="s">
        <v>660</v>
      </c>
      <c r="B4130" s="1" t="s">
        <v>292</v>
      </c>
      <c r="C4130" s="1">
        <v>2023</v>
      </c>
      <c r="D4130" s="6">
        <v>16536</v>
      </c>
      <c r="E4130" s="1">
        <v>314</v>
      </c>
      <c r="F4130" s="1">
        <v>146</v>
      </c>
      <c r="G4130" s="1">
        <v>1497083</v>
      </c>
      <c r="H4130" s="1" t="s">
        <v>70</v>
      </c>
    </row>
    <row r="4131" spans="1:8" x14ac:dyDescent="0.3">
      <c r="A4131" s="1" t="s">
        <v>661</v>
      </c>
      <c r="B4131" s="1" t="s">
        <v>662</v>
      </c>
      <c r="C4131" s="1">
        <v>2023</v>
      </c>
      <c r="D4131" s="6">
        <v>24304</v>
      </c>
      <c r="E4131" s="1">
        <v>414</v>
      </c>
      <c r="F4131" s="1">
        <v>480</v>
      </c>
      <c r="G4131" s="1">
        <v>1466125</v>
      </c>
      <c r="H4131" s="1" t="s">
        <v>70</v>
      </c>
    </row>
    <row r="4132" spans="1:8" x14ac:dyDescent="0.3">
      <c r="A4132" s="1" t="s">
        <v>663</v>
      </c>
      <c r="B4132" s="1" t="s">
        <v>664</v>
      </c>
      <c r="C4132" s="1">
        <v>2023</v>
      </c>
      <c r="D4132" s="6">
        <v>24775</v>
      </c>
      <c r="E4132" s="1">
        <v>257</v>
      </c>
      <c r="F4132" s="1">
        <v>46</v>
      </c>
      <c r="G4132" s="1">
        <v>146787</v>
      </c>
      <c r="H4132" s="1" t="s">
        <v>70</v>
      </c>
    </row>
    <row r="4133" spans="1:8" x14ac:dyDescent="0.3">
      <c r="A4133" s="1" t="s">
        <v>665</v>
      </c>
      <c r="B4133" s="1" t="s">
        <v>666</v>
      </c>
      <c r="C4133" s="1">
        <v>2023</v>
      </c>
      <c r="D4133" s="6">
        <v>19402</v>
      </c>
      <c r="E4133" s="1">
        <v>409</v>
      </c>
      <c r="F4133" s="1">
        <v>214</v>
      </c>
      <c r="G4133" s="1">
        <v>815156</v>
      </c>
      <c r="H4133" s="1" t="s">
        <v>70</v>
      </c>
    </row>
    <row r="4134" spans="1:8" x14ac:dyDescent="0.3">
      <c r="A4134" s="1" t="s">
        <v>667</v>
      </c>
      <c r="B4134" s="1" t="s">
        <v>668</v>
      </c>
      <c r="C4134" s="1">
        <v>2023</v>
      </c>
      <c r="D4134" s="6">
        <v>30459</v>
      </c>
      <c r="E4134" s="1">
        <v>335</v>
      </c>
      <c r="F4134" s="1">
        <v>105</v>
      </c>
      <c r="G4134" s="1">
        <v>1635556</v>
      </c>
      <c r="H4134" s="1" t="s">
        <v>70</v>
      </c>
    </row>
    <row r="4135" spans="1:8" x14ac:dyDescent="0.3">
      <c r="A4135" s="1" t="s">
        <v>669</v>
      </c>
      <c r="B4135" s="1" t="s">
        <v>670</v>
      </c>
      <c r="C4135" s="1">
        <v>2023</v>
      </c>
      <c r="D4135" s="6">
        <v>40082</v>
      </c>
      <c r="E4135" s="1">
        <v>561</v>
      </c>
      <c r="F4135" s="1">
        <v>84</v>
      </c>
      <c r="G4135" s="1">
        <v>509509</v>
      </c>
      <c r="H4135" s="1" t="s">
        <v>70</v>
      </c>
    </row>
    <row r="4136" spans="1:8" x14ac:dyDescent="0.3">
      <c r="A4136" s="1" t="s">
        <v>671</v>
      </c>
      <c r="B4136" s="1" t="s">
        <v>672</v>
      </c>
      <c r="C4136" s="1">
        <v>2023</v>
      </c>
      <c r="D4136" s="6">
        <v>27190</v>
      </c>
      <c r="E4136" s="1">
        <v>372</v>
      </c>
      <c r="F4136" s="1">
        <v>279</v>
      </c>
      <c r="G4136" s="1">
        <v>2867521</v>
      </c>
      <c r="H4136" s="1" t="s">
        <v>70</v>
      </c>
    </row>
    <row r="4137" spans="1:8" x14ac:dyDescent="0.3">
      <c r="A4137" s="1" t="s">
        <v>673</v>
      </c>
      <c r="B4137" s="1" t="s">
        <v>674</v>
      </c>
      <c r="C4137" s="1">
        <v>2023</v>
      </c>
      <c r="D4137" s="6">
        <v>25234</v>
      </c>
      <c r="E4137" s="1">
        <v>325</v>
      </c>
      <c r="F4137" s="1">
        <v>286</v>
      </c>
      <c r="G4137" s="1">
        <v>1917099</v>
      </c>
      <c r="H4137" s="1" t="s">
        <v>70</v>
      </c>
    </row>
    <row r="4138" spans="1:8" x14ac:dyDescent="0.3">
      <c r="A4138" s="1" t="s">
        <v>675</v>
      </c>
      <c r="B4138" s="1" t="s">
        <v>676</v>
      </c>
      <c r="C4138" s="1">
        <v>2023</v>
      </c>
      <c r="D4138" s="6">
        <v>19620</v>
      </c>
      <c r="E4138" s="1">
        <v>538</v>
      </c>
      <c r="F4138" s="1">
        <v>274</v>
      </c>
      <c r="G4138" s="1">
        <v>166523</v>
      </c>
      <c r="H4138" s="1" t="s">
        <v>70</v>
      </c>
    </row>
    <row r="4139" spans="1:8" x14ac:dyDescent="0.3">
      <c r="A4139" s="1" t="s">
        <v>677</v>
      </c>
      <c r="B4139" s="1" t="s">
        <v>678</v>
      </c>
      <c r="C4139" s="1">
        <v>2023</v>
      </c>
      <c r="D4139" s="6">
        <v>13387</v>
      </c>
      <c r="E4139" s="1">
        <v>140</v>
      </c>
      <c r="F4139" s="1">
        <v>72</v>
      </c>
      <c r="G4139" s="1">
        <v>934514</v>
      </c>
      <c r="H4139" s="1" t="s">
        <v>70</v>
      </c>
    </row>
    <row r="4140" spans="1:8" x14ac:dyDescent="0.3">
      <c r="A4140" s="1" t="s">
        <v>679</v>
      </c>
      <c r="B4140" s="1" t="s">
        <v>680</v>
      </c>
      <c r="C4140" s="1">
        <v>2023</v>
      </c>
      <c r="D4140" s="6">
        <v>26366</v>
      </c>
      <c r="E4140" s="1">
        <v>470</v>
      </c>
      <c r="F4140" s="1">
        <v>267</v>
      </c>
      <c r="G4140" s="1">
        <v>944413</v>
      </c>
      <c r="H4140" s="1" t="s">
        <v>70</v>
      </c>
    </row>
    <row r="4141" spans="1:8" x14ac:dyDescent="0.3">
      <c r="A4141" s="1" t="s">
        <v>681</v>
      </c>
      <c r="B4141" s="1" t="s">
        <v>682</v>
      </c>
      <c r="C4141" s="1">
        <v>2023</v>
      </c>
      <c r="D4141" s="6">
        <v>21117</v>
      </c>
      <c r="E4141" s="1">
        <v>429</v>
      </c>
      <c r="F4141" s="1">
        <v>303</v>
      </c>
      <c r="G4141" s="1">
        <v>1272767</v>
      </c>
      <c r="H4141" s="1" t="s">
        <v>70</v>
      </c>
    </row>
    <row r="4142" spans="1:8" x14ac:dyDescent="0.3">
      <c r="A4142" s="1" t="s">
        <v>683</v>
      </c>
      <c r="B4142" s="1" t="s">
        <v>314</v>
      </c>
      <c r="C4142" s="1">
        <v>2023</v>
      </c>
      <c r="D4142" s="6">
        <v>57625</v>
      </c>
      <c r="E4142" s="1">
        <v>719</v>
      </c>
      <c r="F4142" s="1">
        <v>421</v>
      </c>
      <c r="G4142" s="1">
        <v>5892823</v>
      </c>
      <c r="H4142" s="1" t="s">
        <v>70</v>
      </c>
    </row>
    <row r="4143" spans="1:8" x14ac:dyDescent="0.3">
      <c r="A4143" s="1" t="s">
        <v>684</v>
      </c>
      <c r="B4143" s="1" t="s">
        <v>685</v>
      </c>
      <c r="C4143" s="1">
        <v>2023</v>
      </c>
      <c r="D4143" s="6">
        <v>18394</v>
      </c>
      <c r="E4143" s="1">
        <v>262</v>
      </c>
      <c r="F4143" s="1">
        <v>92</v>
      </c>
      <c r="G4143" s="1">
        <v>896907</v>
      </c>
      <c r="H4143" s="1" t="s">
        <v>70</v>
      </c>
    </row>
    <row r="4144" spans="1:8" x14ac:dyDescent="0.3">
      <c r="A4144" s="1" t="s">
        <v>686</v>
      </c>
      <c r="B4144" s="1" t="s">
        <v>687</v>
      </c>
      <c r="C4144" s="1">
        <v>2023</v>
      </c>
      <c r="D4144" s="6">
        <v>49383</v>
      </c>
      <c r="E4144" s="1">
        <v>574</v>
      </c>
      <c r="F4144" s="1">
        <v>830</v>
      </c>
      <c r="G4144" s="1">
        <v>4085554</v>
      </c>
      <c r="H4144" s="1" t="s">
        <v>70</v>
      </c>
    </row>
    <row r="4145" spans="1:8" x14ac:dyDescent="0.3">
      <c r="A4145" s="1" t="s">
        <v>688</v>
      </c>
      <c r="B4145" s="1" t="s">
        <v>689</v>
      </c>
      <c r="C4145" s="1">
        <v>2023</v>
      </c>
      <c r="D4145" s="6">
        <v>20375</v>
      </c>
      <c r="E4145" s="1">
        <v>394</v>
      </c>
      <c r="F4145" s="1">
        <v>154</v>
      </c>
      <c r="G4145" s="1">
        <v>1693471</v>
      </c>
      <c r="H4145" s="1" t="s">
        <v>70</v>
      </c>
    </row>
    <row r="4146" spans="1:8" x14ac:dyDescent="0.3">
      <c r="A4146" s="1" t="s">
        <v>690</v>
      </c>
      <c r="B4146" s="1" t="s">
        <v>691</v>
      </c>
      <c r="C4146" s="1">
        <v>2023</v>
      </c>
      <c r="D4146" s="6">
        <v>163811</v>
      </c>
      <c r="E4146" s="1">
        <v>5283</v>
      </c>
      <c r="F4146" s="1">
        <v>4519</v>
      </c>
      <c r="G4146" s="1">
        <v>4143733</v>
      </c>
      <c r="H4146" s="1" t="s">
        <v>70</v>
      </c>
    </row>
    <row r="4147" spans="1:8" x14ac:dyDescent="0.3">
      <c r="A4147" s="1" t="s">
        <v>692</v>
      </c>
      <c r="B4147" s="1" t="s">
        <v>693</v>
      </c>
      <c r="C4147" s="1">
        <v>2023</v>
      </c>
      <c r="D4147" s="6">
        <v>20908</v>
      </c>
      <c r="E4147" s="1">
        <v>284</v>
      </c>
      <c r="F4147" s="1">
        <v>218</v>
      </c>
      <c r="G4147" s="1">
        <v>1021161</v>
      </c>
      <c r="H4147" s="1" t="s">
        <v>70</v>
      </c>
    </row>
    <row r="4148" spans="1:8" x14ac:dyDescent="0.3">
      <c r="A4148" s="1" t="s">
        <v>694</v>
      </c>
      <c r="B4148" s="1" t="s">
        <v>695</v>
      </c>
      <c r="C4148" s="1">
        <v>2023</v>
      </c>
      <c r="D4148" s="6">
        <v>20110</v>
      </c>
      <c r="E4148" s="1">
        <v>327</v>
      </c>
      <c r="F4148" s="1">
        <v>109</v>
      </c>
      <c r="G4148" s="1">
        <v>924573</v>
      </c>
      <c r="H4148" s="1" t="s">
        <v>70</v>
      </c>
    </row>
    <row r="4149" spans="1:8" x14ac:dyDescent="0.3">
      <c r="A4149" s="1" t="s">
        <v>696</v>
      </c>
      <c r="B4149" s="1" t="s">
        <v>697</v>
      </c>
      <c r="C4149" s="1">
        <v>2023</v>
      </c>
      <c r="D4149" s="6">
        <v>33522</v>
      </c>
      <c r="E4149" s="1">
        <v>642</v>
      </c>
      <c r="F4149" s="1">
        <v>306</v>
      </c>
      <c r="G4149" s="1">
        <v>1830115</v>
      </c>
      <c r="H4149" s="1" t="s">
        <v>70</v>
      </c>
    </row>
    <row r="4150" spans="1:8" x14ac:dyDescent="0.3">
      <c r="A4150" s="1" t="s">
        <v>698</v>
      </c>
      <c r="B4150" s="1" t="s">
        <v>45</v>
      </c>
      <c r="C4150" s="1">
        <v>2023</v>
      </c>
      <c r="D4150" s="6">
        <v>22249</v>
      </c>
      <c r="E4150" s="1">
        <v>585</v>
      </c>
      <c r="F4150" s="1">
        <v>389</v>
      </c>
      <c r="G4150" s="1">
        <v>718505</v>
      </c>
      <c r="H4150" s="1" t="s">
        <v>70</v>
      </c>
    </row>
    <row r="4151" spans="1:8" x14ac:dyDescent="0.3">
      <c r="A4151" s="1" t="s">
        <v>699</v>
      </c>
      <c r="B4151" s="1" t="s">
        <v>700</v>
      </c>
      <c r="C4151" s="1">
        <v>2023</v>
      </c>
      <c r="D4151" s="6">
        <v>22576</v>
      </c>
      <c r="E4151" s="1">
        <v>505</v>
      </c>
      <c r="F4151" s="1">
        <v>212</v>
      </c>
      <c r="G4151" s="1">
        <v>2192017</v>
      </c>
      <c r="H4151" s="1" t="s">
        <v>70</v>
      </c>
    </row>
    <row r="4152" spans="1:8" x14ac:dyDescent="0.3">
      <c r="A4152" s="1" t="s">
        <v>701</v>
      </c>
      <c r="B4152" s="1" t="s">
        <v>702</v>
      </c>
      <c r="C4152" s="1">
        <v>2023</v>
      </c>
      <c r="D4152" s="6">
        <v>27978</v>
      </c>
      <c r="E4152" s="1">
        <v>155</v>
      </c>
      <c r="F4152" s="1">
        <v>128</v>
      </c>
      <c r="G4152" s="1">
        <v>1265814</v>
      </c>
      <c r="H4152" s="1" t="s">
        <v>70</v>
      </c>
    </row>
    <row r="4153" spans="1:8" x14ac:dyDescent="0.3">
      <c r="A4153" s="1" t="s">
        <v>703</v>
      </c>
      <c r="B4153" s="1" t="s">
        <v>704</v>
      </c>
      <c r="C4153" s="1">
        <v>2023</v>
      </c>
      <c r="D4153" s="6">
        <v>25013</v>
      </c>
      <c r="E4153" s="1">
        <v>246</v>
      </c>
      <c r="F4153" s="1">
        <v>320</v>
      </c>
      <c r="G4153" s="1">
        <v>2605174</v>
      </c>
      <c r="H4153" s="1" t="s">
        <v>70</v>
      </c>
    </row>
    <row r="4154" spans="1:8" x14ac:dyDescent="0.3">
      <c r="A4154" s="1" t="s">
        <v>705</v>
      </c>
      <c r="B4154" s="1" t="s">
        <v>706</v>
      </c>
      <c r="C4154" s="1">
        <v>2023</v>
      </c>
      <c r="D4154" s="6">
        <v>18174</v>
      </c>
      <c r="E4154" s="1">
        <v>217</v>
      </c>
      <c r="F4154" s="1">
        <v>71</v>
      </c>
      <c r="G4154" s="1">
        <v>836482</v>
      </c>
      <c r="H4154" s="1" t="s">
        <v>70</v>
      </c>
    </row>
    <row r="4155" spans="1:8" x14ac:dyDescent="0.3">
      <c r="A4155" s="1" t="s">
        <v>707</v>
      </c>
      <c r="B4155" s="1" t="s">
        <v>708</v>
      </c>
      <c r="C4155" s="1">
        <v>2023</v>
      </c>
      <c r="D4155" s="6">
        <v>30200</v>
      </c>
      <c r="E4155" s="1">
        <v>473</v>
      </c>
      <c r="F4155" s="1">
        <v>545</v>
      </c>
      <c r="G4155" s="1">
        <v>2163063</v>
      </c>
      <c r="H4155" s="1" t="s">
        <v>70</v>
      </c>
    </row>
    <row r="4156" spans="1:8" x14ac:dyDescent="0.3">
      <c r="A4156" s="1" t="s">
        <v>709</v>
      </c>
      <c r="B4156" s="1" t="s">
        <v>710</v>
      </c>
      <c r="C4156" s="1">
        <v>2023</v>
      </c>
      <c r="D4156" s="6">
        <v>23720</v>
      </c>
      <c r="E4156" s="1">
        <v>264</v>
      </c>
      <c r="F4156" s="1">
        <v>292</v>
      </c>
      <c r="G4156" s="1">
        <v>3737676</v>
      </c>
      <c r="H4156" s="1" t="s">
        <v>70</v>
      </c>
    </row>
    <row r="4157" spans="1:8" x14ac:dyDescent="0.3">
      <c r="A4157" s="1" t="s">
        <v>711</v>
      </c>
      <c r="B4157" s="1" t="s">
        <v>712</v>
      </c>
      <c r="C4157" s="1">
        <v>2023</v>
      </c>
      <c r="D4157" s="6">
        <v>46340</v>
      </c>
      <c r="E4157" s="1">
        <v>379</v>
      </c>
      <c r="F4157" s="1">
        <v>657</v>
      </c>
      <c r="G4157" s="1">
        <v>4866607</v>
      </c>
      <c r="H4157" s="1" t="s">
        <v>70</v>
      </c>
    </row>
    <row r="4158" spans="1:8" x14ac:dyDescent="0.3">
      <c r="A4158" s="1" t="s">
        <v>713</v>
      </c>
      <c r="B4158" s="1" t="s">
        <v>714</v>
      </c>
      <c r="C4158" s="1">
        <v>2023</v>
      </c>
      <c r="D4158" s="6">
        <v>30888</v>
      </c>
      <c r="E4158" s="1">
        <v>166</v>
      </c>
      <c r="F4158" s="1">
        <v>416</v>
      </c>
      <c r="G4158" s="1">
        <v>5400928</v>
      </c>
      <c r="H4158" s="1" t="s">
        <v>70</v>
      </c>
    </row>
    <row r="4159" spans="1:8" x14ac:dyDescent="0.3">
      <c r="A4159" s="1" t="s">
        <v>715</v>
      </c>
      <c r="B4159" s="1" t="s">
        <v>716</v>
      </c>
      <c r="C4159" s="1">
        <v>2023</v>
      </c>
      <c r="D4159" s="6">
        <v>26734</v>
      </c>
      <c r="E4159" s="1">
        <v>223</v>
      </c>
      <c r="F4159" s="1">
        <v>449</v>
      </c>
      <c r="G4159" s="1">
        <v>2112848</v>
      </c>
      <c r="H4159" s="1" t="s">
        <v>70</v>
      </c>
    </row>
    <row r="4160" spans="1:8" x14ac:dyDescent="0.3">
      <c r="A4160" s="1" t="s">
        <v>717</v>
      </c>
      <c r="B4160" s="1" t="s">
        <v>718</v>
      </c>
      <c r="C4160" s="1">
        <v>2023</v>
      </c>
      <c r="D4160" s="6">
        <v>301751</v>
      </c>
      <c r="E4160" s="1">
        <v>4619</v>
      </c>
      <c r="F4160" s="1">
        <v>8680</v>
      </c>
      <c r="G4160" s="1">
        <v>19154012</v>
      </c>
      <c r="H4160" s="1" t="s">
        <v>70</v>
      </c>
    </row>
    <row r="4161" spans="1:8" x14ac:dyDescent="0.3">
      <c r="A4161" s="1" t="s">
        <v>719</v>
      </c>
      <c r="B4161" s="1" t="s">
        <v>720</v>
      </c>
      <c r="C4161" s="1">
        <v>2023</v>
      </c>
      <c r="D4161" s="6">
        <v>17567</v>
      </c>
      <c r="E4161" s="1">
        <v>149</v>
      </c>
      <c r="F4161" s="1">
        <v>184</v>
      </c>
      <c r="G4161" s="1">
        <v>2398972</v>
      </c>
      <c r="H4161" s="1" t="s">
        <v>70</v>
      </c>
    </row>
    <row r="4162" spans="1:8" x14ac:dyDescent="0.3">
      <c r="A4162" s="1" t="s">
        <v>721</v>
      </c>
      <c r="B4162" s="1" t="s">
        <v>722</v>
      </c>
      <c r="C4162" s="1">
        <v>2023</v>
      </c>
      <c r="D4162" s="6">
        <v>17354</v>
      </c>
      <c r="E4162" s="1">
        <v>121</v>
      </c>
      <c r="F4162" s="1">
        <v>213</v>
      </c>
      <c r="G4162" s="1">
        <v>985970</v>
      </c>
      <c r="H4162" s="1" t="s">
        <v>70</v>
      </c>
    </row>
    <row r="4163" spans="1:8" x14ac:dyDescent="0.3">
      <c r="A4163" s="1" t="s">
        <v>723</v>
      </c>
      <c r="B4163" s="1" t="s">
        <v>724</v>
      </c>
      <c r="C4163" s="1">
        <v>2023</v>
      </c>
      <c r="D4163" s="6">
        <v>20835</v>
      </c>
      <c r="E4163" s="1">
        <v>152</v>
      </c>
      <c r="F4163" s="1">
        <v>191</v>
      </c>
      <c r="G4163" s="1">
        <v>3108059</v>
      </c>
      <c r="H4163" s="1" t="s">
        <v>70</v>
      </c>
    </row>
    <row r="4164" spans="1:8" x14ac:dyDescent="0.3">
      <c r="A4164" s="1" t="s">
        <v>725</v>
      </c>
      <c r="B4164" s="1" t="s">
        <v>726</v>
      </c>
      <c r="C4164" s="1">
        <v>2023</v>
      </c>
      <c r="D4164" s="6">
        <v>30874</v>
      </c>
      <c r="E4164" s="1">
        <v>551</v>
      </c>
      <c r="F4164" s="1">
        <v>384</v>
      </c>
      <c r="G4164" s="1">
        <v>1529624</v>
      </c>
      <c r="H4164" s="1" t="s">
        <v>70</v>
      </c>
    </row>
    <row r="4165" spans="1:8" x14ac:dyDescent="0.3">
      <c r="A4165" s="1" t="s">
        <v>727</v>
      </c>
      <c r="B4165" s="1" t="s">
        <v>728</v>
      </c>
      <c r="C4165" s="1">
        <v>2023</v>
      </c>
      <c r="D4165" s="6">
        <v>22007</v>
      </c>
      <c r="E4165" s="1">
        <v>101</v>
      </c>
      <c r="F4165" s="1">
        <v>315</v>
      </c>
      <c r="G4165" s="1">
        <v>1559496</v>
      </c>
      <c r="H4165" s="1" t="s">
        <v>70</v>
      </c>
    </row>
    <row r="4166" spans="1:8" x14ac:dyDescent="0.3">
      <c r="A4166" s="1" t="s">
        <v>729</v>
      </c>
      <c r="B4166" s="1" t="s">
        <v>730</v>
      </c>
      <c r="C4166" s="1">
        <v>2023</v>
      </c>
      <c r="D4166" s="6">
        <v>28978</v>
      </c>
      <c r="E4166" s="1">
        <v>276</v>
      </c>
      <c r="F4166" s="1">
        <v>440</v>
      </c>
      <c r="G4166" s="1">
        <v>1027759</v>
      </c>
      <c r="H4166" s="1" t="s">
        <v>70</v>
      </c>
    </row>
    <row r="4167" spans="1:8" x14ac:dyDescent="0.3">
      <c r="A4167" s="1" t="s">
        <v>731</v>
      </c>
      <c r="B4167" s="1" t="s">
        <v>732</v>
      </c>
      <c r="C4167" s="1">
        <v>2023</v>
      </c>
      <c r="D4167" s="6">
        <v>24845</v>
      </c>
      <c r="E4167" s="1">
        <v>741</v>
      </c>
      <c r="F4167" s="1">
        <v>375</v>
      </c>
      <c r="G4167" s="1">
        <v>662742</v>
      </c>
      <c r="H4167" s="1" t="s">
        <v>70</v>
      </c>
    </row>
    <row r="4168" spans="1:8" x14ac:dyDescent="0.3">
      <c r="A4168" s="1" t="s">
        <v>733</v>
      </c>
      <c r="B4168" s="1" t="s">
        <v>734</v>
      </c>
      <c r="C4168" s="1">
        <v>2023</v>
      </c>
      <c r="D4168" s="6">
        <v>41875</v>
      </c>
      <c r="E4168" s="1">
        <v>1172</v>
      </c>
      <c r="F4168" s="1">
        <v>1158</v>
      </c>
      <c r="G4168" s="1">
        <v>2148530</v>
      </c>
      <c r="H4168" s="1" t="s">
        <v>70</v>
      </c>
    </row>
    <row r="4169" spans="1:8" x14ac:dyDescent="0.3">
      <c r="A4169" s="1" t="s">
        <v>735</v>
      </c>
      <c r="B4169" s="1" t="s">
        <v>736</v>
      </c>
      <c r="C4169" s="1">
        <v>2023</v>
      </c>
      <c r="D4169" s="6">
        <v>25641</v>
      </c>
      <c r="E4169" s="1">
        <v>632</v>
      </c>
      <c r="F4169" s="1">
        <v>358</v>
      </c>
      <c r="G4169" s="1">
        <v>581652</v>
      </c>
      <c r="H4169" s="1" t="s">
        <v>70</v>
      </c>
    </row>
    <row r="4170" spans="1:8" x14ac:dyDescent="0.3">
      <c r="A4170" s="1" t="s">
        <v>737</v>
      </c>
      <c r="B4170" s="1" t="s">
        <v>738</v>
      </c>
      <c r="C4170" s="1">
        <v>2023</v>
      </c>
      <c r="D4170" s="6">
        <v>23683</v>
      </c>
      <c r="E4170" s="1">
        <v>205</v>
      </c>
      <c r="F4170" s="1">
        <v>202</v>
      </c>
      <c r="G4170" s="1">
        <v>1396023</v>
      </c>
      <c r="H4170" s="1" t="s">
        <v>70</v>
      </c>
    </row>
    <row r="4171" spans="1:8" x14ac:dyDescent="0.3">
      <c r="A4171" s="1" t="s">
        <v>739</v>
      </c>
      <c r="B4171" s="1" t="s">
        <v>740</v>
      </c>
      <c r="C4171" s="1">
        <v>2023</v>
      </c>
      <c r="D4171" s="6">
        <v>32851</v>
      </c>
      <c r="E4171" s="1">
        <v>914</v>
      </c>
      <c r="F4171" s="1">
        <v>654</v>
      </c>
      <c r="G4171" s="1">
        <v>1091759</v>
      </c>
      <c r="H4171" s="1" t="s">
        <v>70</v>
      </c>
    </row>
    <row r="4172" spans="1:8" x14ac:dyDescent="0.3">
      <c r="A4172" s="1" t="s">
        <v>741</v>
      </c>
      <c r="B4172" s="1" t="s">
        <v>742</v>
      </c>
      <c r="C4172" s="1">
        <v>2023</v>
      </c>
      <c r="D4172" s="6">
        <v>13418</v>
      </c>
      <c r="E4172" s="1">
        <v>94</v>
      </c>
      <c r="F4172" s="1">
        <v>111</v>
      </c>
      <c r="G4172" s="1">
        <v>897966</v>
      </c>
      <c r="H4172" s="1" t="s">
        <v>70</v>
      </c>
    </row>
    <row r="4173" spans="1:8" x14ac:dyDescent="0.3">
      <c r="A4173" s="1" t="s">
        <v>743</v>
      </c>
      <c r="B4173" s="1" t="s">
        <v>744</v>
      </c>
      <c r="C4173" s="1">
        <v>2023</v>
      </c>
      <c r="D4173" s="6">
        <v>20678</v>
      </c>
      <c r="E4173" s="1">
        <v>193</v>
      </c>
      <c r="F4173" s="1">
        <v>368</v>
      </c>
      <c r="G4173" s="1">
        <v>978309</v>
      </c>
      <c r="H4173" s="1" t="s">
        <v>70</v>
      </c>
    </row>
    <row r="4174" spans="1:8" x14ac:dyDescent="0.3">
      <c r="A4174" s="1" t="s">
        <v>745</v>
      </c>
      <c r="B4174" s="1" t="s">
        <v>746</v>
      </c>
      <c r="C4174" s="1">
        <v>2023</v>
      </c>
      <c r="D4174" s="6">
        <v>46872</v>
      </c>
      <c r="E4174" s="1">
        <v>644</v>
      </c>
      <c r="F4174" s="1">
        <v>1095</v>
      </c>
      <c r="G4174" s="1">
        <v>3786173</v>
      </c>
      <c r="H4174" s="1" t="s">
        <v>70</v>
      </c>
    </row>
    <row r="4175" spans="1:8" x14ac:dyDescent="0.3">
      <c r="A4175" s="1" t="s">
        <v>747</v>
      </c>
      <c r="B4175" s="1" t="s">
        <v>748</v>
      </c>
      <c r="C4175" s="1">
        <v>2023</v>
      </c>
      <c r="D4175" s="6">
        <v>30038</v>
      </c>
      <c r="E4175" s="1">
        <v>247</v>
      </c>
      <c r="F4175" s="1">
        <v>459</v>
      </c>
      <c r="G4175" s="1">
        <v>3354856</v>
      </c>
      <c r="H4175" s="1" t="s">
        <v>70</v>
      </c>
    </row>
    <row r="4176" spans="1:8" x14ac:dyDescent="0.3">
      <c r="A4176" s="1" t="s">
        <v>749</v>
      </c>
      <c r="B4176" s="1" t="s">
        <v>750</v>
      </c>
      <c r="C4176" s="1">
        <v>2023</v>
      </c>
      <c r="D4176" s="6">
        <v>16957</v>
      </c>
      <c r="E4176" s="1">
        <v>36</v>
      </c>
      <c r="F4176" s="1">
        <v>197</v>
      </c>
      <c r="G4176" s="1">
        <v>1432411</v>
      </c>
      <c r="H4176" s="1" t="s">
        <v>70</v>
      </c>
    </row>
    <row r="4177" spans="1:8" x14ac:dyDescent="0.3">
      <c r="A4177" s="1" t="s">
        <v>751</v>
      </c>
      <c r="B4177" s="1" t="s">
        <v>752</v>
      </c>
      <c r="C4177" s="1">
        <v>2023</v>
      </c>
      <c r="D4177" s="6">
        <v>19936</v>
      </c>
      <c r="E4177" s="1">
        <v>212</v>
      </c>
      <c r="F4177" s="1">
        <v>272</v>
      </c>
      <c r="G4177" s="1">
        <v>1317994</v>
      </c>
      <c r="H4177" s="1" t="s">
        <v>70</v>
      </c>
    </row>
    <row r="4178" spans="1:8" x14ac:dyDescent="0.3">
      <c r="A4178" s="1" t="s">
        <v>753</v>
      </c>
      <c r="B4178" s="1" t="s">
        <v>754</v>
      </c>
      <c r="C4178" s="1">
        <v>2023</v>
      </c>
      <c r="D4178" s="6">
        <v>13117</v>
      </c>
      <c r="E4178" s="1">
        <v>75</v>
      </c>
      <c r="F4178" s="1">
        <v>172</v>
      </c>
      <c r="G4178" s="1">
        <v>712588</v>
      </c>
      <c r="H4178" s="1" t="s">
        <v>70</v>
      </c>
    </row>
    <row r="4179" spans="1:8" x14ac:dyDescent="0.3">
      <c r="A4179" s="1" t="s">
        <v>755</v>
      </c>
      <c r="B4179" s="1" t="s">
        <v>756</v>
      </c>
      <c r="C4179" s="1">
        <v>2023</v>
      </c>
      <c r="D4179" s="6">
        <v>50405</v>
      </c>
      <c r="E4179" s="1">
        <v>646</v>
      </c>
      <c r="F4179" s="1">
        <v>993</v>
      </c>
      <c r="G4179" s="1">
        <v>6515825</v>
      </c>
      <c r="H4179" s="1" t="s">
        <v>70</v>
      </c>
    </row>
    <row r="4180" spans="1:8" x14ac:dyDescent="0.3">
      <c r="A4180" s="1" t="s">
        <v>757</v>
      </c>
      <c r="B4180" s="1" t="s">
        <v>758</v>
      </c>
      <c r="C4180" s="1">
        <v>2023</v>
      </c>
      <c r="D4180" s="6">
        <v>194935</v>
      </c>
      <c r="E4180" s="1">
        <v>2524</v>
      </c>
      <c r="F4180" s="1">
        <v>422</v>
      </c>
      <c r="G4180" s="1">
        <v>10823775</v>
      </c>
      <c r="H4180" s="1" t="s">
        <v>70</v>
      </c>
    </row>
    <row r="4181" spans="1:8" x14ac:dyDescent="0.3">
      <c r="A4181" s="1" t="s">
        <v>759</v>
      </c>
      <c r="B4181" s="1" t="s">
        <v>760</v>
      </c>
      <c r="C4181" s="1">
        <v>2023</v>
      </c>
      <c r="D4181" s="6">
        <v>23099</v>
      </c>
      <c r="E4181" s="1">
        <v>239</v>
      </c>
      <c r="F4181" s="1">
        <v>349</v>
      </c>
      <c r="G4181" s="1">
        <v>1335995</v>
      </c>
      <c r="H4181" s="1" t="s">
        <v>70</v>
      </c>
    </row>
  </sheetData>
  <pageMargins left="0.7" right="0.7" top="0.75" bottom="0.75" header="0.3" footer="0.3"/>
  <ignoredErrors>
    <ignoredError sqref="A2:A418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11F27-71E6-4B8E-996C-DFAC2EEA42C2}">
  <dimension ref="A1:G381"/>
  <sheetViews>
    <sheetView zoomScale="115" zoomScaleNormal="115" workbookViewId="0"/>
  </sheetViews>
  <sheetFormatPr defaultRowHeight="14.4" x14ac:dyDescent="0.3"/>
  <cols>
    <col min="2" max="2" width="27.44140625" bestFit="1" customWidth="1"/>
    <col min="3" max="3" width="20.33203125" customWidth="1"/>
    <col min="4" max="4" width="18" customWidth="1"/>
    <col min="5" max="5" width="19.88671875" customWidth="1"/>
    <col min="6" max="6" width="18.6640625" customWidth="1"/>
    <col min="7" max="7" width="12.44140625" customWidth="1"/>
  </cols>
  <sheetData>
    <row r="1" spans="1:7" ht="94.8" customHeight="1" thickBot="1" x14ac:dyDescent="0.35">
      <c r="A1" s="15" t="s">
        <v>8</v>
      </c>
      <c r="B1" s="16" t="s">
        <v>763</v>
      </c>
      <c r="C1" s="17" t="s">
        <v>768</v>
      </c>
      <c r="D1" s="17" t="s">
        <v>769</v>
      </c>
      <c r="E1" s="17" t="s">
        <v>770</v>
      </c>
      <c r="F1" s="17" t="s">
        <v>771</v>
      </c>
      <c r="G1" s="22" t="s">
        <v>776</v>
      </c>
    </row>
    <row r="2" spans="1:7" x14ac:dyDescent="0.3">
      <c r="A2" s="2" t="s">
        <v>10</v>
      </c>
      <c r="B2" s="2" t="s">
        <v>11</v>
      </c>
      <c r="C2" s="20">
        <f>(Dane!D3802-Dane!D2)/Dane!D2</f>
        <v>0.1566648094129986</v>
      </c>
      <c r="D2" s="20">
        <f>(Dane!E3802-Dane!E2)/Dane!E2</f>
        <v>6.7204301075268813E-2</v>
      </c>
      <c r="E2" s="20">
        <f>(Dane!F3802-Dane!F2)/Dane!F2</f>
        <v>1.1834061135371179</v>
      </c>
      <c r="F2" s="20">
        <f>(Dane!G3802-Dane!G2)/Dane!G2</f>
        <v>-0.26890333064133526</v>
      </c>
      <c r="G2" s="21">
        <f>AVERAGE(Dane!H2,Dane!H762,Dane!H1142,Dane!H1902,Dane!H2662,Dane!H3422)</f>
        <v>11.666666666666666</v>
      </c>
    </row>
    <row r="3" spans="1:7" x14ac:dyDescent="0.3">
      <c r="A3" s="1" t="s">
        <v>12</v>
      </c>
      <c r="B3" s="1" t="s">
        <v>13</v>
      </c>
      <c r="C3" s="18">
        <f>(Dane!D3803-Dane!D3)/Dane!D3</f>
        <v>4.693571736977116E-2</v>
      </c>
      <c r="D3" s="18">
        <f>(Dane!E3803-Dane!E3)/Dane!E3</f>
        <v>1.1907514450867052</v>
      </c>
      <c r="E3" s="18">
        <f>(Dane!F3803-Dane!F3)/Dane!F3</f>
        <v>0.90370370370370368</v>
      </c>
      <c r="F3" s="18">
        <f>(Dane!G3803-Dane!G3)/Dane!G3</f>
        <v>-6.1252664836452697E-2</v>
      </c>
      <c r="G3" s="19">
        <f>AVERAGE(Dane!H3,Dane!H763,Dane!H1143,Dane!H1903,Dane!H2663,Dane!H3423)</f>
        <v>69.166666666666671</v>
      </c>
    </row>
    <row r="4" spans="1:7" x14ac:dyDescent="0.3">
      <c r="A4" s="1" t="s">
        <v>14</v>
      </c>
      <c r="B4" s="1" t="s">
        <v>15</v>
      </c>
      <c r="C4" s="18">
        <f>(Dane!D3804-Dane!D4)/Dane!D4</f>
        <v>9.6423507168741138E-2</v>
      </c>
      <c r="D4" s="18">
        <f>(Dane!E3804-Dane!E4)/Dane!E4</f>
        <v>-0.49636803874092011</v>
      </c>
      <c r="E4" s="18">
        <f>(Dane!F3804-Dane!F4)/Dane!F4</f>
        <v>0.15131578947368421</v>
      </c>
      <c r="F4" s="18">
        <f>(Dane!G3804-Dane!G4)/Dane!G4</f>
        <v>0.12727141842660777</v>
      </c>
      <c r="G4" s="19">
        <f>AVERAGE(Dane!H4,Dane!H764,Dane!H1144,Dane!H1904,Dane!H2664,Dane!H3424)</f>
        <v>68.5</v>
      </c>
    </row>
    <row r="5" spans="1:7" x14ac:dyDescent="0.3">
      <c r="A5" s="1" t="s">
        <v>16</v>
      </c>
      <c r="B5" s="1" t="s">
        <v>17</v>
      </c>
      <c r="C5" s="18">
        <f>(Dane!D3805-Dane!D5)/Dane!D5</f>
        <v>5.3310551046561301E-2</v>
      </c>
      <c r="D5" s="18">
        <f>(Dane!E3805-Dane!E5)/Dane!E5</f>
        <v>0.125</v>
      </c>
      <c r="E5" s="18" t="s">
        <v>70</v>
      </c>
      <c r="F5" s="18">
        <f>(Dane!G3805-Dane!G5)/Dane!G5</f>
        <v>-0.37998655218499322</v>
      </c>
      <c r="G5" s="19">
        <f>AVERAGE(Dane!H5,Dane!H765,Dane!H1145,Dane!H1905,Dane!H2665,Dane!H3425)</f>
        <v>14.166666666666666</v>
      </c>
    </row>
    <row r="6" spans="1:7" x14ac:dyDescent="0.3">
      <c r="A6" s="1" t="s">
        <v>18</v>
      </c>
      <c r="B6" s="1" t="s">
        <v>19</v>
      </c>
      <c r="C6" s="18">
        <f>(Dane!D3806-Dane!D6)/Dane!D6</f>
        <v>5.8564160542679482E-2</v>
      </c>
      <c r="D6" s="18">
        <f>(Dane!E3806-Dane!E6)/Dane!E6</f>
        <v>0.25663716814159293</v>
      </c>
      <c r="E6" s="18">
        <f>(Dane!F3806-Dane!F6)/Dane!F6</f>
        <v>1.6470588235294117</v>
      </c>
      <c r="F6" s="18">
        <f>(Dane!G3806-Dane!G6)/Dane!G6</f>
        <v>-0.43494984309129281</v>
      </c>
      <c r="G6" s="19">
        <f>AVERAGE(Dane!H6,Dane!H766,Dane!H1146,Dane!H1906,Dane!H2666,Dane!H3426)</f>
        <v>14.666666666666666</v>
      </c>
    </row>
    <row r="7" spans="1:7" x14ac:dyDescent="0.3">
      <c r="A7" s="1" t="s">
        <v>20</v>
      </c>
      <c r="B7" s="1" t="s">
        <v>21</v>
      </c>
      <c r="C7" s="18">
        <f>(Dane!D3807-Dane!D7)/Dane!D7</f>
        <v>0.15291170945522856</v>
      </c>
      <c r="D7" s="18">
        <f>(Dane!E3807-Dane!E7)/Dane!E7</f>
        <v>0.56227758007117434</v>
      </c>
      <c r="E7" s="18">
        <f>(Dane!F3807-Dane!F7)/Dane!F7</f>
        <v>1.6944444444444444</v>
      </c>
      <c r="F7" s="18">
        <f>(Dane!G3807-Dane!G7)/Dane!G7</f>
        <v>-0.39824898133115455</v>
      </c>
      <c r="G7" s="19">
        <f>AVERAGE(Dane!H7,Dane!H767,Dane!H1147,Dane!H1907,Dane!H2667,Dane!H3427)</f>
        <v>32.833333333333336</v>
      </c>
    </row>
    <row r="8" spans="1:7" x14ac:dyDescent="0.3">
      <c r="A8" s="1" t="s">
        <v>22</v>
      </c>
      <c r="B8" s="1" t="s">
        <v>23</v>
      </c>
      <c r="C8" s="18">
        <f>(Dane!D3808-Dane!D8)/Dane!D8</f>
        <v>3.4459947077219145E-2</v>
      </c>
      <c r="D8" s="18">
        <f>(Dane!E3808-Dane!E8)/Dane!E8</f>
        <v>0.32911392405063289</v>
      </c>
      <c r="E8" s="18">
        <f>(Dane!F3808-Dane!F8)/Dane!F8</f>
        <v>1.1494252873563218</v>
      </c>
      <c r="F8" s="18">
        <f>(Dane!G3808-Dane!G8)/Dane!G8</f>
        <v>-0.17176536428242933</v>
      </c>
      <c r="G8" s="19">
        <f>AVERAGE(Dane!H8,Dane!H768,Dane!H1148,Dane!H1908,Dane!H2668,Dane!H3428)</f>
        <v>4.333333333333333</v>
      </c>
    </row>
    <row r="9" spans="1:7" x14ac:dyDescent="0.3">
      <c r="A9" s="1" t="s">
        <v>24</v>
      </c>
      <c r="B9" s="1" t="s">
        <v>25</v>
      </c>
      <c r="C9" s="18">
        <f>(Dane!D3809-Dane!D9)/Dane!D9</f>
        <v>5.6055549404488876E-2</v>
      </c>
      <c r="D9" s="18">
        <f>(Dane!E3809-Dane!E9)/Dane!E9</f>
        <v>1.7326732673267328E-2</v>
      </c>
      <c r="E9" s="18">
        <f>(Dane!F3809-Dane!F9)/Dane!F9</f>
        <v>0.41955193482688391</v>
      </c>
      <c r="F9" s="18">
        <f>(Dane!G3809-Dane!G9)/Dane!G9</f>
        <v>-0.19376727586903209</v>
      </c>
      <c r="G9" s="19">
        <f>AVERAGE(Dane!H9,Dane!H769,Dane!H1149,Dane!H1909,Dane!H2669,Dane!H3429)</f>
        <v>331.5</v>
      </c>
    </row>
    <row r="10" spans="1:7" x14ac:dyDescent="0.3">
      <c r="A10" s="1" t="s">
        <v>26</v>
      </c>
      <c r="B10" s="1" t="s">
        <v>27</v>
      </c>
      <c r="C10" s="18">
        <f>(Dane!D3810-Dane!D10)/Dane!D10</f>
        <v>0.1507688815752142</v>
      </c>
      <c r="D10" s="18">
        <f>(Dane!E3810-Dane!E10)/Dane!E10</f>
        <v>0.65740740740740744</v>
      </c>
      <c r="E10" s="18">
        <f>(Dane!F3810-Dane!F10)/Dane!F10</f>
        <v>2.4264705882352939</v>
      </c>
      <c r="F10" s="18">
        <f>(Dane!G3810-Dane!G10)/Dane!G10</f>
        <v>-0.35296169733681132</v>
      </c>
      <c r="G10" s="19">
        <f>AVERAGE(Dane!H10,Dane!H770,Dane!H1150,Dane!H1910,Dane!H2670,Dane!H3430)</f>
        <v>26.166666666666668</v>
      </c>
    </row>
    <row r="11" spans="1:7" x14ac:dyDescent="0.3">
      <c r="A11" s="1" t="s">
        <v>28</v>
      </c>
      <c r="B11" s="1" t="s">
        <v>29</v>
      </c>
      <c r="C11" s="18">
        <f>(Dane!D3811-Dane!D11)/Dane!D11</f>
        <v>7.2724531336382375E-2</v>
      </c>
      <c r="D11" s="18">
        <f>(Dane!E3811-Dane!E11)/Dane!E11</f>
        <v>7.03125E-2</v>
      </c>
      <c r="E11" s="18">
        <f>(Dane!F3811-Dane!F11)/Dane!F11</f>
        <v>1.1968503937007875</v>
      </c>
      <c r="F11" s="18">
        <f>(Dane!G3811-Dane!G11)/Dane!G11</f>
        <v>-0.47064981785947679</v>
      </c>
      <c r="G11" s="19">
        <f>AVERAGE(Dane!H11,Dane!H771,Dane!H1151,Dane!H1911,Dane!H2671,Dane!H3431)</f>
        <v>14.833333333333334</v>
      </c>
    </row>
    <row r="12" spans="1:7" x14ac:dyDescent="0.3">
      <c r="A12" s="1" t="s">
        <v>30</v>
      </c>
      <c r="B12" s="1" t="s">
        <v>31</v>
      </c>
      <c r="C12" s="18">
        <f>(Dane!D3812-Dane!D12)/Dane!D12</f>
        <v>0.12254801798120148</v>
      </c>
      <c r="D12" s="18">
        <f>(Dane!E3812-Dane!E12)/Dane!E12</f>
        <v>0.13302752293577982</v>
      </c>
      <c r="E12" s="18">
        <f>(Dane!F3812-Dane!F12)/Dane!F12</f>
        <v>0.75797373358348963</v>
      </c>
      <c r="F12" s="18">
        <f>(Dane!G3812-Dane!G12)/Dane!G12</f>
        <v>9.9380972682105009E-2</v>
      </c>
      <c r="G12" s="19">
        <f>AVERAGE(Dane!H12,Dane!H772,Dane!H1152,Dane!H1912,Dane!H2672,Dane!H3432)</f>
        <v>13.333333333333334</v>
      </c>
    </row>
    <row r="13" spans="1:7" x14ac:dyDescent="0.3">
      <c r="A13" s="1" t="s">
        <v>32</v>
      </c>
      <c r="B13" s="1" t="s">
        <v>33</v>
      </c>
      <c r="C13" s="18">
        <f>(Dane!D3813-Dane!D13)/Dane!D13</f>
        <v>4.6389575918441214E-2</v>
      </c>
      <c r="D13" s="18">
        <f>(Dane!E3813-Dane!E13)/Dane!E13</f>
        <v>-0.33333333333333331</v>
      </c>
      <c r="E13" s="18">
        <f>(Dane!F3813-Dane!F13)/Dane!F13</f>
        <v>0.52173913043478259</v>
      </c>
      <c r="F13" s="18">
        <f>(Dane!G3813-Dane!G13)/Dane!G13</f>
        <v>-0.36975674872399267</v>
      </c>
      <c r="G13" s="19">
        <f>AVERAGE(Dane!H13,Dane!H773,Dane!H1153,Dane!H1913,Dane!H2673,Dane!H3433)</f>
        <v>4.5</v>
      </c>
    </row>
    <row r="14" spans="1:7" x14ac:dyDescent="0.3">
      <c r="A14" s="1" t="s">
        <v>34</v>
      </c>
      <c r="B14" s="1" t="s">
        <v>35</v>
      </c>
      <c r="C14" s="18">
        <f>(Dane!D3814-Dane!D14)/Dane!D14</f>
        <v>0.13166088426296593</v>
      </c>
      <c r="D14" s="18">
        <f>(Dane!E3814-Dane!E14)/Dane!E14</f>
        <v>1.43</v>
      </c>
      <c r="E14" s="18">
        <f>(Dane!F3814-Dane!F14)/Dane!F14</f>
        <v>2.1285714285714286</v>
      </c>
      <c r="F14" s="18">
        <f>(Dane!G3814-Dane!G14)/Dane!G14</f>
        <v>-0.42494262127038257</v>
      </c>
      <c r="G14" s="19">
        <f>AVERAGE(Dane!H14,Dane!H774,Dane!H1154,Dane!H1914,Dane!H2674,Dane!H3434)</f>
        <v>15.166666666666666</v>
      </c>
    </row>
    <row r="15" spans="1:7" x14ac:dyDescent="0.3">
      <c r="A15" s="1" t="s">
        <v>36</v>
      </c>
      <c r="B15" s="1" t="s">
        <v>37</v>
      </c>
      <c r="C15" s="18">
        <f>(Dane!D3815-Dane!D15)/Dane!D15</f>
        <v>0.18578281726995202</v>
      </c>
      <c r="D15" s="18">
        <f>(Dane!E3815-Dane!E15)/Dane!E15</f>
        <v>1.163972286374134</v>
      </c>
      <c r="E15" s="18">
        <f>(Dane!F3815-Dane!F15)/Dane!F15</f>
        <v>1.3556338028169015</v>
      </c>
      <c r="F15" s="18">
        <f>(Dane!G3815-Dane!G15)/Dane!G15</f>
        <v>-3.1088996945014064E-2</v>
      </c>
      <c r="G15" s="19">
        <f>AVERAGE(Dane!H15,Dane!H775,Dane!H1155,Dane!H1915,Dane!H2675,Dane!H3435)</f>
        <v>189.66666666666666</v>
      </c>
    </row>
    <row r="16" spans="1:7" x14ac:dyDescent="0.3">
      <c r="A16" s="1" t="s">
        <v>38</v>
      </c>
      <c r="B16" s="1" t="s">
        <v>39</v>
      </c>
      <c r="C16" s="18">
        <f>(Dane!D3816-Dane!D16)/Dane!D16</f>
        <v>0.21342230695900857</v>
      </c>
      <c r="D16" s="18">
        <f>(Dane!E3816-Dane!E16)/Dane!E16</f>
        <v>-0.1388888888888889</v>
      </c>
      <c r="E16" s="18">
        <f>(Dane!F3816-Dane!F16)/Dane!F16</f>
        <v>0.4847560975609756</v>
      </c>
      <c r="F16" s="18">
        <f>(Dane!G3816-Dane!G16)/Dane!G16</f>
        <v>-7.3348382516247659E-2</v>
      </c>
      <c r="G16" s="19">
        <f>AVERAGE(Dane!H16,Dane!H776,Dane!H1156,Dane!H1916,Dane!H2676,Dane!H3436)</f>
        <v>10.5</v>
      </c>
    </row>
    <row r="17" spans="1:7" x14ac:dyDescent="0.3">
      <c r="A17" s="1" t="s">
        <v>40</v>
      </c>
      <c r="B17" s="1" t="s">
        <v>41</v>
      </c>
      <c r="C17" s="18">
        <f>(Dane!D3817-Dane!D17)/Dane!D17</f>
        <v>0.12336852207293666</v>
      </c>
      <c r="D17" s="18">
        <f>(Dane!E3817-Dane!E17)/Dane!E17</f>
        <v>-0.23875432525951557</v>
      </c>
      <c r="E17" s="18">
        <f>(Dane!F3817-Dane!F17)/Dane!F17</f>
        <v>0.71895424836601307</v>
      </c>
      <c r="F17" s="18">
        <f>(Dane!G3817-Dane!G17)/Dane!G17</f>
        <v>9.8214392196726232E-5</v>
      </c>
      <c r="G17" s="19">
        <f>AVERAGE(Dane!H17,Dane!H777,Dane!H1157,Dane!H1917,Dane!H2677,Dane!H3437)</f>
        <v>1.3333333333333333</v>
      </c>
    </row>
    <row r="18" spans="1:7" x14ac:dyDescent="0.3">
      <c r="A18" s="1" t="s">
        <v>42</v>
      </c>
      <c r="B18" s="1" t="s">
        <v>43</v>
      </c>
      <c r="C18" s="18">
        <f>(Dane!D3818-Dane!D18)/Dane!D18</f>
        <v>8.605421483133914E-2</v>
      </c>
      <c r="D18" s="18">
        <f>(Dane!E3818-Dane!E18)/Dane!E18</f>
        <v>0.65034965034965031</v>
      </c>
      <c r="E18" s="18">
        <f>(Dane!F3818-Dane!F18)/Dane!F18</f>
        <v>0.58163265306122447</v>
      </c>
      <c r="F18" s="18">
        <f>(Dane!G3818-Dane!G18)/Dane!G18</f>
        <v>0.21409874792223749</v>
      </c>
      <c r="G18" s="19">
        <f>AVERAGE(Dane!H18,Dane!H778,Dane!H1158,Dane!H1918,Dane!H2678,Dane!H3438)</f>
        <v>7.833333333333333</v>
      </c>
    </row>
    <row r="19" spans="1:7" x14ac:dyDescent="0.3">
      <c r="A19" s="1" t="s">
        <v>44</v>
      </c>
      <c r="B19" s="1" t="s">
        <v>45</v>
      </c>
      <c r="C19" s="18">
        <f>(Dane!D3819-Dane!D19)/Dane!D19</f>
        <v>0.33451338053522139</v>
      </c>
      <c r="D19" s="18">
        <f>(Dane!E3819-Dane!E19)/Dane!E19</f>
        <v>1.6440677966101696</v>
      </c>
      <c r="E19" s="18">
        <f>(Dane!F3819-Dane!F19)/Dane!F19</f>
        <v>2.4561403508771931</v>
      </c>
      <c r="F19" s="18">
        <f>(Dane!G3819-Dane!G19)/Dane!G19</f>
        <v>-0.56309508165386413</v>
      </c>
      <c r="G19" s="19">
        <f>AVERAGE(Dane!H19,Dane!H779,Dane!H1159,Dane!H1919,Dane!H2679,Dane!H3439)</f>
        <v>13</v>
      </c>
    </row>
    <row r="20" spans="1:7" x14ac:dyDescent="0.3">
      <c r="A20" s="1" t="s">
        <v>46</v>
      </c>
      <c r="B20" s="1" t="s">
        <v>47</v>
      </c>
      <c r="C20" s="18">
        <f>(Dane!D3820-Dane!D20)/Dane!D20</f>
        <v>0.10004923515729784</v>
      </c>
      <c r="D20" s="18">
        <f>(Dane!E3820-Dane!E20)/Dane!E20</f>
        <v>0.90839694656488545</v>
      </c>
      <c r="E20" s="18">
        <f>(Dane!F3820-Dane!F20)/Dane!F20</f>
        <v>1.2191528545119705</v>
      </c>
      <c r="F20" s="18">
        <f>(Dane!G3820-Dane!G20)/Dane!G20</f>
        <v>-7.888120100111487E-2</v>
      </c>
      <c r="G20" s="19">
        <f>AVERAGE(Dane!H20,Dane!H780,Dane!H1160,Dane!H1920,Dane!H2680,Dane!H3440)</f>
        <v>152</v>
      </c>
    </row>
    <row r="21" spans="1:7" x14ac:dyDescent="0.3">
      <c r="A21" s="1" t="s">
        <v>48</v>
      </c>
      <c r="B21" s="1" t="s">
        <v>49</v>
      </c>
      <c r="C21" s="18">
        <f>(Dane!D3821-Dane!D21)/Dane!D21</f>
        <v>0.22249209653789806</v>
      </c>
      <c r="D21" s="18">
        <f>(Dane!E3821-Dane!E21)/Dane!E21</f>
        <v>0.10968921389396709</v>
      </c>
      <c r="E21" s="18">
        <f>(Dane!F3821-Dane!F21)/Dane!F21</f>
        <v>0.46382978723404256</v>
      </c>
      <c r="F21" s="18">
        <f>(Dane!G3821-Dane!G21)/Dane!G21</f>
        <v>8.846398992423106E-2</v>
      </c>
      <c r="G21" s="19">
        <f>AVERAGE(Dane!H21,Dane!H781,Dane!H1161,Dane!H1921,Dane!H2681,Dane!H3441)</f>
        <v>6</v>
      </c>
    </row>
    <row r="22" spans="1:7" x14ac:dyDescent="0.3">
      <c r="A22" s="1" t="s">
        <v>50</v>
      </c>
      <c r="B22" s="1" t="s">
        <v>51</v>
      </c>
      <c r="C22" s="18">
        <f>(Dane!D3822-Dane!D22)/Dane!D22</f>
        <v>4.6046955179147177E-2</v>
      </c>
      <c r="D22" s="18">
        <f>(Dane!E3822-Dane!E22)/Dane!E22</f>
        <v>-4.7058823529411764E-2</v>
      </c>
      <c r="E22" s="18">
        <f>(Dane!F3822-Dane!F22)/Dane!F22</f>
        <v>0.91666666666666663</v>
      </c>
      <c r="F22" s="18">
        <f>(Dane!G3822-Dane!G22)/Dane!G22</f>
        <v>-0.41917809374775922</v>
      </c>
      <c r="G22" s="19">
        <f>AVERAGE(Dane!H22,Dane!H782,Dane!H1162,Dane!H1922,Dane!H2682,Dane!H3442)</f>
        <v>53</v>
      </c>
    </row>
    <row r="23" spans="1:7" x14ac:dyDescent="0.3">
      <c r="A23" s="1" t="s">
        <v>52</v>
      </c>
      <c r="B23" s="1" t="s">
        <v>53</v>
      </c>
      <c r="C23" s="18">
        <f>(Dane!D3823-Dane!D23)/Dane!D23</f>
        <v>9.8656591099916036E-2</v>
      </c>
      <c r="D23" s="18">
        <f>(Dane!E3823-Dane!E23)/Dane!E23</f>
        <v>0.44318181818181818</v>
      </c>
      <c r="E23" s="18">
        <f>(Dane!F3823-Dane!F23)/Dane!F23</f>
        <v>0.30742049469964666</v>
      </c>
      <c r="F23" s="18">
        <f>(Dane!G3823-Dane!G23)/Dane!G23</f>
        <v>-0.61093124487781758</v>
      </c>
      <c r="G23" s="19">
        <f>AVERAGE(Dane!H23,Dane!H783,Dane!H1163,Dane!H1923,Dane!H2683,Dane!H3443)</f>
        <v>12</v>
      </c>
    </row>
    <row r="24" spans="1:7" x14ac:dyDescent="0.3">
      <c r="A24" s="1" t="s">
        <v>54</v>
      </c>
      <c r="B24" s="1" t="s">
        <v>55</v>
      </c>
      <c r="C24" s="18">
        <f>(Dane!D3824-Dane!D24)/Dane!D24</f>
        <v>0.62087374321558852</v>
      </c>
      <c r="D24" s="18">
        <f>(Dane!E3824-Dane!E24)/Dane!E24</f>
        <v>0.3146067415730337</v>
      </c>
      <c r="E24" s="18">
        <f>(Dane!F3824-Dane!F24)/Dane!F24</f>
        <v>1.4947613504074506</v>
      </c>
      <c r="F24" s="18">
        <f>(Dane!G3824-Dane!G24)/Dane!G24</f>
        <v>5.0780016301953022E-2</v>
      </c>
      <c r="G24" s="19">
        <f>AVERAGE(Dane!H24,Dane!H784,Dane!H1164,Dane!H1924,Dane!H2684,Dane!H3444)</f>
        <v>32.5</v>
      </c>
    </row>
    <row r="25" spans="1:7" x14ac:dyDescent="0.3">
      <c r="A25" s="1" t="s">
        <v>56</v>
      </c>
      <c r="B25" s="1" t="s">
        <v>57</v>
      </c>
      <c r="C25" s="18">
        <f>(Dane!D3825-Dane!D25)/Dane!D25</f>
        <v>5.8380891989008664E-2</v>
      </c>
      <c r="D25" s="18">
        <f>(Dane!E3825-Dane!E25)/Dane!E25</f>
        <v>-0.39583333333333331</v>
      </c>
      <c r="E25" s="18">
        <f>(Dane!F3825-Dane!F25)/Dane!F25</f>
        <v>0.77049180327868849</v>
      </c>
      <c r="F25" s="18">
        <f>(Dane!G3825-Dane!G25)/Dane!G25</f>
        <v>-0.38080403634143711</v>
      </c>
      <c r="G25" s="19">
        <f>AVERAGE(Dane!H25,Dane!H785,Dane!H1165,Dane!H1925,Dane!H2685,Dane!H3445)</f>
        <v>16.166666666666668</v>
      </c>
    </row>
    <row r="26" spans="1:7" x14ac:dyDescent="0.3">
      <c r="A26" s="1" t="s">
        <v>58</v>
      </c>
      <c r="B26" s="1" t="s">
        <v>59</v>
      </c>
      <c r="C26" s="18">
        <f>(Dane!D3826-Dane!D26)/Dane!D26</f>
        <v>7.2538552787663108E-2</v>
      </c>
      <c r="D26" s="18">
        <f>(Dane!E3826-Dane!E26)/Dane!E26</f>
        <v>0.31603773584905659</v>
      </c>
      <c r="E26" s="18">
        <f>(Dane!F3826-Dane!F26)/Dane!F26</f>
        <v>14.6</v>
      </c>
      <c r="F26" s="18">
        <f>(Dane!G3826-Dane!G26)/Dane!G26</f>
        <v>-0.39768335576881325</v>
      </c>
      <c r="G26" s="19">
        <f>AVERAGE(Dane!H26,Dane!H786,Dane!H1166,Dane!H1926,Dane!H2686,Dane!H3446)</f>
        <v>40.833333333333336</v>
      </c>
    </row>
    <row r="27" spans="1:7" x14ac:dyDescent="0.3">
      <c r="A27" s="1" t="s">
        <v>60</v>
      </c>
      <c r="B27" s="1" t="s">
        <v>61</v>
      </c>
      <c r="C27" s="18">
        <f>(Dane!D3827-Dane!D27)/Dane!D27</f>
        <v>4.5542635658914726E-2</v>
      </c>
      <c r="D27" s="18">
        <f>(Dane!E3827-Dane!E27)/Dane!E27</f>
        <v>-5.4794520547945202E-2</v>
      </c>
      <c r="E27" s="18">
        <f>(Dane!F3827-Dane!F27)/Dane!F27</f>
        <v>0.88888888888888884</v>
      </c>
      <c r="F27" s="18">
        <f>(Dane!G3827-Dane!G27)/Dane!G27</f>
        <v>-0.29950072259084026</v>
      </c>
      <c r="G27" s="19">
        <f>AVERAGE(Dane!H27,Dane!H787,Dane!H1167,Dane!H1927,Dane!H2687,Dane!H3447)</f>
        <v>50.166666666666664</v>
      </c>
    </row>
    <row r="28" spans="1:7" x14ac:dyDescent="0.3">
      <c r="A28" s="1" t="s">
        <v>62</v>
      </c>
      <c r="B28" s="1" t="s">
        <v>63</v>
      </c>
      <c r="C28" s="18">
        <f>(Dane!D3828-Dane!D28)/Dane!D28</f>
        <v>8.1264885649516491E-2</v>
      </c>
      <c r="D28" s="18">
        <f>(Dane!E3828-Dane!E28)/Dane!E28</f>
        <v>0.78823529411764703</v>
      </c>
      <c r="E28" s="18">
        <f>(Dane!F3828-Dane!F28)/Dane!F28</f>
        <v>0.41666666666666669</v>
      </c>
      <c r="F28" s="18">
        <f>(Dane!G3828-Dane!G28)/Dane!G28</f>
        <v>-0.51274763340185892</v>
      </c>
      <c r="G28" s="19">
        <f>AVERAGE(Dane!H28,Dane!H788,Dane!H1168,Dane!H1928,Dane!H2688,Dane!H3448)</f>
        <v>50.166666666666664</v>
      </c>
    </row>
    <row r="29" spans="1:7" x14ac:dyDescent="0.3">
      <c r="A29" s="1" t="s">
        <v>64</v>
      </c>
      <c r="B29" s="1" t="s">
        <v>65</v>
      </c>
      <c r="C29" s="18">
        <f>(Dane!D3829-Dane!D29)/Dane!D29</f>
        <v>8.9640183530548173E-2</v>
      </c>
      <c r="D29" s="18">
        <f>(Dane!E3829-Dane!E29)/Dane!E29</f>
        <v>0.43071161048689138</v>
      </c>
      <c r="E29" s="18">
        <f>(Dane!F3829-Dane!F29)/Dane!F29</f>
        <v>1.0248565965583174</v>
      </c>
      <c r="F29" s="18">
        <f>(Dane!G3829-Dane!G29)/Dane!G29</f>
        <v>-0.29071328992271989</v>
      </c>
      <c r="G29" s="19">
        <f>AVERAGE(Dane!H29,Dane!H789,Dane!H1169,Dane!H1929,Dane!H2689,Dane!H3449)</f>
        <v>25.166666666666668</v>
      </c>
    </row>
    <row r="30" spans="1:7" x14ac:dyDescent="0.3">
      <c r="A30" s="1" t="s">
        <v>66</v>
      </c>
      <c r="B30" s="1" t="s">
        <v>67</v>
      </c>
      <c r="C30" s="18">
        <f>(Dane!D3830-Dane!D30)/Dane!D30</f>
        <v>0.33285560730920816</v>
      </c>
      <c r="D30" s="18">
        <f>(Dane!E3830-Dane!E30)/Dane!E30</f>
        <v>4.40107156525067E-2</v>
      </c>
      <c r="E30" s="18">
        <f>(Dane!F3830-Dane!F30)/Dane!F30</f>
        <v>0.27831431079894642</v>
      </c>
      <c r="F30" s="18">
        <f>(Dane!G3830-Dane!G30)/Dane!G30</f>
        <v>-0.17482248062015504</v>
      </c>
      <c r="G30" s="19">
        <f>AVERAGE(Dane!H30,Dane!H790,Dane!H1170,Dane!H1930,Dane!H2690,Dane!H3450)</f>
        <v>620.33333333333337</v>
      </c>
    </row>
    <row r="31" spans="1:7" x14ac:dyDescent="0.3">
      <c r="A31" s="1" t="s">
        <v>68</v>
      </c>
      <c r="B31" s="1" t="s">
        <v>69</v>
      </c>
      <c r="C31" s="18">
        <f>(Dane!D3831-Dane!D31)/Dane!D31</f>
        <v>1.277151852365206E-2</v>
      </c>
      <c r="D31" s="18">
        <f>(Dane!E3831-Dane!E31)/Dane!E31</f>
        <v>6.208333333333333</v>
      </c>
      <c r="E31" s="18">
        <f>(Dane!F3831-Dane!F31)/Dane!F31</f>
        <v>0.78163265306122454</v>
      </c>
      <c r="F31" s="18">
        <f>(Dane!G3831-Dane!G31)/Dane!G31</f>
        <v>-3.7088094501573257E-2</v>
      </c>
      <c r="G31" s="19">
        <f>AVERAGE(Dane!H31,Dane!H791,Dane!H1171,Dane!H1931,Dane!H2691,Dane!H3451)</f>
        <v>291</v>
      </c>
    </row>
    <row r="32" spans="1:7" x14ac:dyDescent="0.3">
      <c r="A32" s="1" t="s">
        <v>71</v>
      </c>
      <c r="B32" s="1" t="s">
        <v>72</v>
      </c>
      <c r="C32" s="18">
        <f>(Dane!D3832-Dane!D32)/Dane!D32</f>
        <v>9.1111802530595309E-2</v>
      </c>
      <c r="D32" s="18">
        <f>(Dane!E3832-Dane!E32)/Dane!E32</f>
        <v>0.51648351648351654</v>
      </c>
      <c r="E32" s="18">
        <f>(Dane!F3832-Dane!F32)/Dane!F32</f>
        <v>0.42276422764227645</v>
      </c>
      <c r="F32" s="18">
        <f>(Dane!G3832-Dane!G32)/Dane!G32</f>
        <v>-0.17999358679437311</v>
      </c>
      <c r="G32" s="19">
        <f>AVERAGE(Dane!H32,Dane!H792,Dane!H1172,Dane!H1932,Dane!H2692,Dane!H3452)</f>
        <v>0.33333333333333331</v>
      </c>
    </row>
    <row r="33" spans="1:7" x14ac:dyDescent="0.3">
      <c r="A33" s="1" t="s">
        <v>73</v>
      </c>
      <c r="B33" s="1" t="s">
        <v>74</v>
      </c>
      <c r="C33" s="18">
        <f>(Dane!D3833-Dane!D33)/Dane!D33</f>
        <v>0.15574637799120949</v>
      </c>
      <c r="D33" s="18">
        <f>(Dane!E3833-Dane!E33)/Dane!E33</f>
        <v>-0.20334261838440112</v>
      </c>
      <c r="E33" s="18">
        <f>(Dane!F3833-Dane!F33)/Dane!F33</f>
        <v>0.85906040268456374</v>
      </c>
      <c r="F33" s="18">
        <f>(Dane!G3833-Dane!G33)/Dane!G33</f>
        <v>1.4168406282137497E-2</v>
      </c>
      <c r="G33" s="19">
        <f>AVERAGE(Dane!H33,Dane!H793,Dane!H1173,Dane!H1933,Dane!H2693,Dane!H3453)</f>
        <v>5.833333333333333</v>
      </c>
    </row>
    <row r="34" spans="1:7" x14ac:dyDescent="0.3">
      <c r="A34" s="1" t="s">
        <v>75</v>
      </c>
      <c r="B34" s="1" t="s">
        <v>76</v>
      </c>
      <c r="C34" s="18">
        <f>(Dane!D3834-Dane!D34)/Dane!D34</f>
        <v>0.28443498045621607</v>
      </c>
      <c r="D34" s="18">
        <f>(Dane!E3834-Dane!E34)/Dane!E34</f>
        <v>0.4656019656019656</v>
      </c>
      <c r="E34" s="18">
        <f>(Dane!F3834-Dane!F34)/Dane!F34</f>
        <v>2.3025210084033612</v>
      </c>
      <c r="F34" s="18">
        <f>(Dane!G3834-Dane!G34)/Dane!G34</f>
        <v>-6.2243368441994497E-2</v>
      </c>
      <c r="G34" s="19">
        <f>AVERAGE(Dane!H34,Dane!H794,Dane!H1174,Dane!H1934,Dane!H2694,Dane!H3454)</f>
        <v>44</v>
      </c>
    </row>
    <row r="35" spans="1:7" x14ac:dyDescent="0.3">
      <c r="A35" s="1" t="s">
        <v>77</v>
      </c>
      <c r="B35" s="1" t="s">
        <v>78</v>
      </c>
      <c r="C35" s="18">
        <f>(Dane!D3835-Dane!D35)/Dane!D35</f>
        <v>5.360799156170503E-2</v>
      </c>
      <c r="D35" s="18">
        <f>(Dane!E3835-Dane!E35)/Dane!E35</f>
        <v>9.8214285714285712E-2</v>
      </c>
      <c r="E35" s="18">
        <f>(Dane!F3835-Dane!F35)/Dane!F35</f>
        <v>1.0655737704918034</v>
      </c>
      <c r="F35" s="18">
        <f>(Dane!G3835-Dane!G35)/Dane!G35</f>
        <v>-0.26035743298131603</v>
      </c>
      <c r="G35" s="19">
        <f>AVERAGE(Dane!H35,Dane!H795,Dane!H1175,Dane!H1935,Dane!H2695,Dane!H3455)</f>
        <v>3.5</v>
      </c>
    </row>
    <row r="36" spans="1:7" x14ac:dyDescent="0.3">
      <c r="A36" s="1" t="s">
        <v>79</v>
      </c>
      <c r="B36" s="1" t="s">
        <v>80</v>
      </c>
      <c r="C36" s="18">
        <f>(Dane!D3836-Dane!D36)/Dane!D36</f>
        <v>8.8116817724068486E-2</v>
      </c>
      <c r="D36" s="18">
        <f>(Dane!E3836-Dane!E36)/Dane!E36</f>
        <v>2.2844036697247705</v>
      </c>
      <c r="E36" s="18">
        <f>(Dane!F3836-Dane!F36)/Dane!F36</f>
        <v>3.6296296296296298</v>
      </c>
      <c r="F36" s="18">
        <f>(Dane!G3836-Dane!G36)/Dane!G36</f>
        <v>0.10981744454380576</v>
      </c>
      <c r="G36" s="19">
        <f>AVERAGE(Dane!H36,Dane!H796,Dane!H1176,Dane!H1936,Dane!H2696,Dane!H3456)</f>
        <v>1.3333333333333333</v>
      </c>
    </row>
    <row r="37" spans="1:7" x14ac:dyDescent="0.3">
      <c r="A37" s="1" t="s">
        <v>81</v>
      </c>
      <c r="B37" s="1" t="s">
        <v>82</v>
      </c>
      <c r="C37" s="18">
        <f>(Dane!D3837-Dane!D37)/Dane!D37</f>
        <v>0.12139812446717818</v>
      </c>
      <c r="D37" s="18">
        <f>(Dane!E3837-Dane!E37)/Dane!E37</f>
        <v>0.52845528455284552</v>
      </c>
      <c r="E37" s="18">
        <f>(Dane!F3837-Dane!F37)/Dane!F37</f>
        <v>6.1</v>
      </c>
      <c r="F37" s="18">
        <f>(Dane!G3837-Dane!G37)/Dane!G37</f>
        <v>0.2005071104248696</v>
      </c>
      <c r="G37" s="19">
        <f>AVERAGE(Dane!H37,Dane!H797,Dane!H1177,Dane!H1937,Dane!H2697,Dane!H3457)</f>
        <v>17.166666666666668</v>
      </c>
    </row>
    <row r="38" spans="1:7" x14ac:dyDescent="0.3">
      <c r="A38" s="1" t="s">
        <v>83</v>
      </c>
      <c r="B38" s="1" t="s">
        <v>84</v>
      </c>
      <c r="C38" s="18">
        <f>(Dane!D3838-Dane!D38)/Dane!D38</f>
        <v>6.2235319028797288E-2</v>
      </c>
      <c r="D38" s="18">
        <f>(Dane!E3838-Dane!E38)/Dane!E38</f>
        <v>-0.47085201793721976</v>
      </c>
      <c r="E38" s="18">
        <f>(Dane!F3838-Dane!F38)/Dane!F38</f>
        <v>0.43594646271510518</v>
      </c>
      <c r="F38" s="18">
        <f>(Dane!G3838-Dane!G38)/Dane!G38</f>
        <v>6.6159933686102776E-2</v>
      </c>
      <c r="G38" s="19">
        <f>AVERAGE(Dane!H38,Dane!H798,Dane!H1178,Dane!H1938,Dane!H2698,Dane!H3458)</f>
        <v>157.33333333333334</v>
      </c>
    </row>
    <row r="39" spans="1:7" x14ac:dyDescent="0.3">
      <c r="A39" s="1" t="s">
        <v>85</v>
      </c>
      <c r="B39" s="1" t="s">
        <v>86</v>
      </c>
      <c r="C39" s="18">
        <f>(Dane!D3839-Dane!D39)/Dane!D39</f>
        <v>8.1911438733955358E-2</v>
      </c>
      <c r="D39" s="18">
        <f>(Dane!E3839-Dane!E39)/Dane!E39</f>
        <v>0.64</v>
      </c>
      <c r="E39" s="18">
        <f>(Dane!F3839-Dane!F39)/Dane!F39</f>
        <v>1.4878048780487805</v>
      </c>
      <c r="F39" s="18">
        <f>(Dane!G3839-Dane!G39)/Dane!G39</f>
        <v>-0.29551954728139418</v>
      </c>
      <c r="G39" s="19">
        <f>AVERAGE(Dane!H39,Dane!H799,Dane!H1179,Dane!H1939,Dane!H2699,Dane!H3459)</f>
        <v>8.8333333333333339</v>
      </c>
    </row>
    <row r="40" spans="1:7" x14ac:dyDescent="0.3">
      <c r="A40" s="1" t="s">
        <v>87</v>
      </c>
      <c r="B40" s="1" t="s">
        <v>88</v>
      </c>
      <c r="C40" s="18">
        <f>(Dane!D3840-Dane!D40)/Dane!D40</f>
        <v>9.3264248704663211E-2</v>
      </c>
      <c r="D40" s="18">
        <f>(Dane!E3840-Dane!E40)/Dane!E40</f>
        <v>0.91666666666666663</v>
      </c>
      <c r="E40" s="18">
        <f>(Dane!F3840-Dane!F40)/Dane!F40</f>
        <v>1.7037037037037037</v>
      </c>
      <c r="F40" s="18">
        <f>(Dane!G3840-Dane!G40)/Dane!G40</f>
        <v>0.28518645189532082</v>
      </c>
      <c r="G40" s="19">
        <f>AVERAGE(Dane!H40,Dane!H800,Dane!H1180,Dane!H1940,Dane!H2700,Dane!H3460)</f>
        <v>10.166666666666666</v>
      </c>
    </row>
    <row r="41" spans="1:7" x14ac:dyDescent="0.3">
      <c r="A41" s="1" t="s">
        <v>89</v>
      </c>
      <c r="B41" s="1" t="s">
        <v>90</v>
      </c>
      <c r="C41" s="18">
        <f>(Dane!D3841-Dane!D41)/Dane!D41</f>
        <v>0.13186682990403223</v>
      </c>
      <c r="D41" s="18">
        <f>(Dane!E3841-Dane!E41)/Dane!E41</f>
        <v>1.6517412935323383</v>
      </c>
      <c r="E41" s="18">
        <f>(Dane!F3841-Dane!F41)/Dane!F41</f>
        <v>1.1031746031746033</v>
      </c>
      <c r="F41" s="18">
        <f>(Dane!G3841-Dane!G41)/Dane!G41</f>
        <v>-3.9302336789908854E-2</v>
      </c>
      <c r="G41" s="19">
        <f>AVERAGE(Dane!H41,Dane!H801,Dane!H1181,Dane!H1941,Dane!H2701,Dane!H3461)</f>
        <v>36.666666666666664</v>
      </c>
    </row>
    <row r="42" spans="1:7" x14ac:dyDescent="0.3">
      <c r="A42" s="1" t="s">
        <v>91</v>
      </c>
      <c r="B42" s="1" t="s">
        <v>92</v>
      </c>
      <c r="C42" s="18">
        <f>(Dane!D3842-Dane!D42)/Dane!D42</f>
        <v>4.7225208833016293E-2</v>
      </c>
      <c r="D42" s="18">
        <f>(Dane!E3842-Dane!E42)/Dane!E42</f>
        <v>1.9824561403508771</v>
      </c>
      <c r="E42" s="18">
        <f>(Dane!F3842-Dane!F42)/Dane!F42</f>
        <v>8.8888888888888892E-2</v>
      </c>
      <c r="F42" s="18">
        <f>(Dane!G3842-Dane!G42)/Dane!G42</f>
        <v>-0.28679676002319049</v>
      </c>
      <c r="G42" s="19">
        <f>AVERAGE(Dane!H42,Dane!H802,Dane!H1182,Dane!H1942,Dane!H2702,Dane!H3462)</f>
        <v>1.5</v>
      </c>
    </row>
    <row r="43" spans="1:7" x14ac:dyDescent="0.3">
      <c r="A43" s="1" t="s">
        <v>93</v>
      </c>
      <c r="B43" s="1" t="s">
        <v>94</v>
      </c>
      <c r="C43" s="18">
        <f>(Dane!D3843-Dane!D43)/Dane!D43</f>
        <v>9.0875670906550993E-2</v>
      </c>
      <c r="D43" s="18">
        <f>(Dane!E3843-Dane!E43)/Dane!E43</f>
        <v>0.68817204301075274</v>
      </c>
      <c r="E43" s="18">
        <f>(Dane!F3843-Dane!F43)/Dane!F43</f>
        <v>0.59615384615384615</v>
      </c>
      <c r="F43" s="18">
        <f>(Dane!G3843-Dane!G43)/Dane!G43</f>
        <v>0.22324370211895861</v>
      </c>
      <c r="G43" s="19">
        <f>AVERAGE(Dane!H43,Dane!H803,Dane!H1183,Dane!H1943,Dane!H2703,Dane!H3463)</f>
        <v>11.166666666666666</v>
      </c>
    </row>
    <row r="44" spans="1:7" x14ac:dyDescent="0.3">
      <c r="A44" s="1" t="s">
        <v>95</v>
      </c>
      <c r="B44" s="1" t="s">
        <v>96</v>
      </c>
      <c r="C44" s="18">
        <f>(Dane!D3844-Dane!D44)/Dane!D44</f>
        <v>6.7581130812980936E-2</v>
      </c>
      <c r="D44" s="18">
        <f>(Dane!E3844-Dane!E44)/Dane!E44</f>
        <v>0.41891891891891891</v>
      </c>
      <c r="E44" s="18">
        <f>(Dane!F3844-Dane!F44)/Dane!F44</f>
        <v>0.84313725490196079</v>
      </c>
      <c r="F44" s="18">
        <f>(Dane!G3844-Dane!G44)/Dane!G44</f>
        <v>-0.24792560849153161</v>
      </c>
      <c r="G44" s="19">
        <f>AVERAGE(Dane!H44,Dane!H804,Dane!H1184,Dane!H1944,Dane!H2704,Dane!H3464)</f>
        <v>10.5</v>
      </c>
    </row>
    <row r="45" spans="1:7" x14ac:dyDescent="0.3">
      <c r="A45" s="1" t="s">
        <v>97</v>
      </c>
      <c r="B45" s="1" t="s">
        <v>98</v>
      </c>
      <c r="C45" s="18">
        <f>(Dane!D3845-Dane!D45)/Dane!D45</f>
        <v>0.10351002865329513</v>
      </c>
      <c r="D45" s="18">
        <f>(Dane!E3845-Dane!E45)/Dane!E45</f>
        <v>0.91943127962085303</v>
      </c>
      <c r="E45" s="18">
        <f>(Dane!F3845-Dane!F45)/Dane!F45</f>
        <v>1.8353658536585367</v>
      </c>
      <c r="F45" s="18">
        <f>(Dane!G3845-Dane!G45)/Dane!G45</f>
        <v>-0.11924400509345899</v>
      </c>
      <c r="G45" s="19">
        <f>AVERAGE(Dane!H45,Dane!H805,Dane!H1185,Dane!H1945,Dane!H2705,Dane!H3465)</f>
        <v>70.166666666666671</v>
      </c>
    </row>
    <row r="46" spans="1:7" x14ac:dyDescent="0.3">
      <c r="A46" s="1" t="s">
        <v>99</v>
      </c>
      <c r="B46" s="1" t="s">
        <v>100</v>
      </c>
      <c r="C46" s="18">
        <f>(Dane!D3846-Dane!D46)/Dane!D46</f>
        <v>0.28089117395029989</v>
      </c>
      <c r="D46" s="18">
        <f>(Dane!E3846-Dane!E46)/Dane!E46</f>
        <v>0.16426512968299711</v>
      </c>
      <c r="E46" s="18">
        <f>(Dane!F3846-Dane!F46)/Dane!F46</f>
        <v>1.1150442477876106</v>
      </c>
      <c r="F46" s="18">
        <f>(Dane!G3846-Dane!G46)/Dane!G46</f>
        <v>0.13702553137906465</v>
      </c>
      <c r="G46" s="19">
        <f>AVERAGE(Dane!H46,Dane!H806,Dane!H1186,Dane!H1946,Dane!H2706,Dane!H3466)</f>
        <v>14.666666666666666</v>
      </c>
    </row>
    <row r="47" spans="1:7" x14ac:dyDescent="0.3">
      <c r="A47" s="1" t="s">
        <v>101</v>
      </c>
      <c r="B47" s="1" t="s">
        <v>102</v>
      </c>
      <c r="C47" s="18">
        <f>(Dane!D3847-Dane!D47)/Dane!D47</f>
        <v>0.12479625823825384</v>
      </c>
      <c r="D47" s="18">
        <f>(Dane!E3847-Dane!E47)/Dane!E47</f>
        <v>0.43382352941176472</v>
      </c>
      <c r="E47" s="18">
        <f>(Dane!F3847-Dane!F47)/Dane!F47</f>
        <v>0.33333333333333331</v>
      </c>
      <c r="F47" s="18">
        <f>(Dane!G3847-Dane!G47)/Dane!G47</f>
        <v>0.26397636303586008</v>
      </c>
      <c r="G47" s="19">
        <f>AVERAGE(Dane!H47,Dane!H807,Dane!H1187,Dane!H1947,Dane!H2707,Dane!H3467)</f>
        <v>0</v>
      </c>
    </row>
    <row r="48" spans="1:7" x14ac:dyDescent="0.3">
      <c r="A48" s="1" t="s">
        <v>103</v>
      </c>
      <c r="B48" s="1" t="s">
        <v>104</v>
      </c>
      <c r="C48" s="18">
        <f>(Dane!D3848-Dane!D48)/Dane!D48</f>
        <v>5.3860606602845126E-2</v>
      </c>
      <c r="D48" s="18">
        <f>(Dane!E3848-Dane!E48)/Dane!E48</f>
        <v>0.68253968253968256</v>
      </c>
      <c r="E48" s="18">
        <f>(Dane!F3848-Dane!F48)/Dane!F48</f>
        <v>0.79661016949152541</v>
      </c>
      <c r="F48" s="18">
        <f>(Dane!G3848-Dane!G48)/Dane!G48</f>
        <v>0.17863385059195683</v>
      </c>
      <c r="G48" s="19">
        <f>AVERAGE(Dane!H48,Dane!H808,Dane!H1188,Dane!H1948,Dane!H2708,Dane!H3468)</f>
        <v>14</v>
      </c>
    </row>
    <row r="49" spans="1:7" x14ac:dyDescent="0.3">
      <c r="A49" s="1" t="s">
        <v>105</v>
      </c>
      <c r="B49" s="1" t="s">
        <v>106</v>
      </c>
      <c r="C49" s="18">
        <f>(Dane!D3849-Dane!D49)/Dane!D49</f>
        <v>6.225503253548461E-2</v>
      </c>
      <c r="D49" s="18">
        <f>(Dane!E3849-Dane!E49)/Dane!E49</f>
        <v>0.48660714285714285</v>
      </c>
      <c r="E49" s="18">
        <f>(Dane!F3849-Dane!F49)/Dane!F49</f>
        <v>1.6666666666666667</v>
      </c>
      <c r="F49" s="18">
        <f>(Dane!G3849-Dane!G49)/Dane!G49</f>
        <v>-0.21366179747462244</v>
      </c>
      <c r="G49" s="19">
        <f>AVERAGE(Dane!H49,Dane!H809,Dane!H1189,Dane!H1949,Dane!H2709,Dane!H3469)</f>
        <v>1.8333333333333333</v>
      </c>
    </row>
    <row r="50" spans="1:7" x14ac:dyDescent="0.3">
      <c r="A50" s="1" t="s">
        <v>107</v>
      </c>
      <c r="B50" s="1" t="s">
        <v>108</v>
      </c>
      <c r="C50" s="18">
        <f>(Dane!D3850-Dane!D50)/Dane!D50</f>
        <v>0.13607219187841368</v>
      </c>
      <c r="D50" s="18">
        <f>(Dane!E3850-Dane!E50)/Dane!E50</f>
        <v>0.81699346405228757</v>
      </c>
      <c r="E50" s="18">
        <f>(Dane!F3850-Dane!F50)/Dane!F50</f>
        <v>0.37179487179487181</v>
      </c>
      <c r="F50" s="18">
        <f>(Dane!G3850-Dane!G50)/Dane!G50</f>
        <v>-0.13964263881912728</v>
      </c>
      <c r="G50" s="19">
        <f>AVERAGE(Dane!H50,Dane!H810,Dane!H1190,Dane!H1950,Dane!H2710,Dane!H3470)</f>
        <v>12.5</v>
      </c>
    </row>
    <row r="51" spans="1:7" x14ac:dyDescent="0.3">
      <c r="A51" s="1" t="s">
        <v>109</v>
      </c>
      <c r="B51" s="1" t="s">
        <v>110</v>
      </c>
      <c r="C51" s="18">
        <f>(Dane!D3851-Dane!D51)/Dane!D51</f>
        <v>9.5982571044915185E-2</v>
      </c>
      <c r="D51" s="18">
        <f>(Dane!E3851-Dane!E51)/Dane!E51</f>
        <v>1.274904214559387</v>
      </c>
      <c r="E51" s="18">
        <f>(Dane!F3851-Dane!F51)/Dane!F51</f>
        <v>0.42010309278350516</v>
      </c>
      <c r="F51" s="18">
        <f>(Dane!G3851-Dane!G51)/Dane!G51</f>
        <v>-2.4956906692722415E-2</v>
      </c>
      <c r="G51" s="19">
        <f>AVERAGE(Dane!H51,Dane!H811,Dane!H1191,Dane!H1951,Dane!H2711,Dane!H3471)</f>
        <v>355</v>
      </c>
    </row>
    <row r="52" spans="1:7" x14ac:dyDescent="0.3">
      <c r="A52" s="1" t="s">
        <v>111</v>
      </c>
      <c r="B52" s="1" t="s">
        <v>112</v>
      </c>
      <c r="C52" s="18">
        <f>(Dane!D3852-Dane!D52)/Dane!D52</f>
        <v>8.1683362540213952E-2</v>
      </c>
      <c r="D52" s="18">
        <f>(Dane!E3852-Dane!E52)/Dane!E52</f>
        <v>0.92270531400966183</v>
      </c>
      <c r="E52" s="18">
        <f>(Dane!F3852-Dane!F52)/Dane!F52</f>
        <v>1.3461538461538463</v>
      </c>
      <c r="F52" s="18">
        <f>(Dane!G3852-Dane!G52)/Dane!G52</f>
        <v>-0.14226541258158173</v>
      </c>
      <c r="G52" s="19">
        <f>AVERAGE(Dane!H52,Dane!H812,Dane!H1192,Dane!H1952,Dane!H2712,Dane!H3472)</f>
        <v>0.33333333333333331</v>
      </c>
    </row>
    <row r="53" spans="1:7" x14ac:dyDescent="0.3">
      <c r="A53" s="1" t="s">
        <v>113</v>
      </c>
      <c r="B53" s="1" t="s">
        <v>114</v>
      </c>
      <c r="C53" s="18">
        <f>(Dane!D3853-Dane!D53)/Dane!D53</f>
        <v>0.16803340837775729</v>
      </c>
      <c r="D53" s="18">
        <f>(Dane!E3853-Dane!E53)/Dane!E53</f>
        <v>1.243073047858942</v>
      </c>
      <c r="E53" s="18">
        <f>(Dane!F3853-Dane!F53)/Dane!F53</f>
        <v>1.1993865030674846</v>
      </c>
      <c r="F53" s="18">
        <f>(Dane!G3853-Dane!G53)/Dane!G53</f>
        <v>-0.2599559222370168</v>
      </c>
      <c r="G53" s="19">
        <f>AVERAGE(Dane!H53,Dane!H813,Dane!H1193,Dane!H1953,Dane!H2713,Dane!H3473)</f>
        <v>119.5</v>
      </c>
    </row>
    <row r="54" spans="1:7" x14ac:dyDescent="0.3">
      <c r="A54" s="1" t="s">
        <v>115</v>
      </c>
      <c r="B54" s="1" t="s">
        <v>116</v>
      </c>
      <c r="C54" s="18">
        <f>(Dane!D3854-Dane!D54)/Dane!D54</f>
        <v>4.2485732403297401E-2</v>
      </c>
      <c r="D54" s="18">
        <f>(Dane!E3854-Dane!E54)/Dane!E54</f>
        <v>-0.3411764705882353</v>
      </c>
      <c r="E54" s="18">
        <f>(Dane!F3854-Dane!F54)/Dane!F54</f>
        <v>0.10805084745762712</v>
      </c>
      <c r="F54" s="18">
        <f>(Dane!G3854-Dane!G54)/Dane!G54</f>
        <v>4.8539468642740974E-2</v>
      </c>
      <c r="G54" s="19">
        <f>AVERAGE(Dane!H54,Dane!H814,Dane!H1194,Dane!H1954,Dane!H2714,Dane!H3474)</f>
        <v>89.166666666666671</v>
      </c>
    </row>
    <row r="55" spans="1:7" x14ac:dyDescent="0.3">
      <c r="A55" s="1" t="s">
        <v>117</v>
      </c>
      <c r="B55" s="1" t="s">
        <v>118</v>
      </c>
      <c r="C55" s="18">
        <f>(Dane!D3855-Dane!D55)/Dane!D55</f>
        <v>4.3252955575230456E-2</v>
      </c>
      <c r="D55" s="18">
        <f>(Dane!E3855-Dane!E55)/Dane!E55</f>
        <v>0.19191919191919191</v>
      </c>
      <c r="E55" s="18" t="s">
        <v>70</v>
      </c>
      <c r="F55" s="18">
        <f>(Dane!G3855-Dane!G55)/Dane!G55</f>
        <v>-0.26742037327141194</v>
      </c>
      <c r="G55" s="19">
        <f>AVERAGE(Dane!H55,Dane!H815,Dane!H1195,Dane!H1955,Dane!H2715,Dane!H3475)</f>
        <v>23.833333333333332</v>
      </c>
    </row>
    <row r="56" spans="1:7" x14ac:dyDescent="0.3">
      <c r="A56" s="1" t="s">
        <v>119</v>
      </c>
      <c r="B56" s="1" t="s">
        <v>120</v>
      </c>
      <c r="C56" s="18">
        <f>(Dane!D3856-Dane!D56)/Dane!D56</f>
        <v>6.6560447421473629E-2</v>
      </c>
      <c r="D56" s="18">
        <f>(Dane!E3856-Dane!E56)/Dane!E56</f>
        <v>0.58937198067632846</v>
      </c>
      <c r="E56" s="18">
        <f>(Dane!F3856-Dane!F56)/Dane!F56</f>
        <v>3.1428571428571428</v>
      </c>
      <c r="F56" s="18">
        <f>(Dane!G3856-Dane!G56)/Dane!G56</f>
        <v>-0.52349410590600043</v>
      </c>
      <c r="G56" s="19">
        <f>AVERAGE(Dane!H56,Dane!H816,Dane!H1196,Dane!H1956,Dane!H2716,Dane!H3476)</f>
        <v>6.333333333333333</v>
      </c>
    </row>
    <row r="57" spans="1:7" x14ac:dyDescent="0.3">
      <c r="A57" s="1" t="s">
        <v>121</v>
      </c>
      <c r="B57" s="1" t="s">
        <v>122</v>
      </c>
      <c r="C57" s="18">
        <f>(Dane!D3857-Dane!D57)/Dane!D57</f>
        <v>2.1369804466289135E-4</v>
      </c>
      <c r="D57" s="18">
        <f>(Dane!E3857-Dane!E57)/Dane!E57</f>
        <v>-2.0408163265306121E-2</v>
      </c>
      <c r="E57" s="18">
        <f>(Dane!F3857-Dane!F57)/Dane!F57</f>
        <v>1.1333333333333333</v>
      </c>
      <c r="F57" s="18">
        <f>(Dane!G3857-Dane!G57)/Dane!G57</f>
        <v>-0.68488136420139145</v>
      </c>
      <c r="G57" s="19">
        <f>AVERAGE(Dane!H57,Dane!H817,Dane!H1197,Dane!H1957,Dane!H2717,Dane!H3477)</f>
        <v>1.6666666666666667</v>
      </c>
    </row>
    <row r="58" spans="1:7" x14ac:dyDescent="0.3">
      <c r="A58" s="1" t="s">
        <v>123</v>
      </c>
      <c r="B58" s="1" t="s">
        <v>124</v>
      </c>
      <c r="C58" s="18">
        <f>(Dane!D3858-Dane!D58)/Dane!D58</f>
        <v>-8.4436430801706312E-3</v>
      </c>
      <c r="D58" s="18">
        <f>(Dane!E3858-Dane!E58)/Dane!E58</f>
        <v>-0.68</v>
      </c>
      <c r="E58" s="18">
        <f>(Dane!F3858-Dane!F58)/Dane!F58</f>
        <v>0.11864406779661017</v>
      </c>
      <c r="F58" s="18">
        <f>(Dane!G3858-Dane!G58)/Dane!G58</f>
        <v>-0.21886081430594403</v>
      </c>
      <c r="G58" s="19">
        <f>AVERAGE(Dane!H58,Dane!H818,Dane!H1198,Dane!H1958,Dane!H2718,Dane!H3478)</f>
        <v>37</v>
      </c>
    </row>
    <row r="59" spans="1:7" x14ac:dyDescent="0.3">
      <c r="A59" s="1" t="s">
        <v>125</v>
      </c>
      <c r="B59" s="1" t="s">
        <v>126</v>
      </c>
      <c r="C59" s="18">
        <f>(Dane!D3859-Dane!D59)/Dane!D59</f>
        <v>1.4155182744158178E-2</v>
      </c>
      <c r="D59" s="18">
        <f>(Dane!E3859-Dane!E59)/Dane!E59</f>
        <v>-0.12307692307692308</v>
      </c>
      <c r="E59" s="18">
        <f>(Dane!F3859-Dane!F59)/Dane!F59</f>
        <v>0.47058823529411764</v>
      </c>
      <c r="F59" s="18">
        <f>(Dane!G3859-Dane!G59)/Dane!G59</f>
        <v>-0.50214853315218255</v>
      </c>
      <c r="G59" s="19">
        <f>AVERAGE(Dane!H59,Dane!H819,Dane!H1199,Dane!H1959,Dane!H2719,Dane!H3479)</f>
        <v>1.8333333333333333</v>
      </c>
    </row>
    <row r="60" spans="1:7" x14ac:dyDescent="0.3">
      <c r="A60" s="1" t="s">
        <v>127</v>
      </c>
      <c r="B60" s="1" t="s">
        <v>128</v>
      </c>
      <c r="C60" s="18">
        <f>(Dane!D3860-Dane!D60)/Dane!D60</f>
        <v>-2.1298340282887743E-2</v>
      </c>
      <c r="D60" s="18">
        <f>(Dane!E3860-Dane!E60)/Dane!E60</f>
        <v>-4.9382716049382713E-2</v>
      </c>
      <c r="E60" s="18">
        <f>(Dane!F3860-Dane!F60)/Dane!F60</f>
        <v>-0.42222222222222222</v>
      </c>
      <c r="F60" s="18">
        <f>(Dane!G3860-Dane!G60)/Dane!G60</f>
        <v>-0.66622382279753278</v>
      </c>
      <c r="G60" s="19">
        <f>AVERAGE(Dane!H60,Dane!H820,Dane!H1200,Dane!H1960,Dane!H2720,Dane!H3480)</f>
        <v>10.333333333333334</v>
      </c>
    </row>
    <row r="61" spans="1:7" x14ac:dyDescent="0.3">
      <c r="A61" s="1" t="s">
        <v>129</v>
      </c>
      <c r="B61" s="1" t="s">
        <v>130</v>
      </c>
      <c r="C61" s="18">
        <f>(Dane!D3861-Dane!D61)/Dane!D61</f>
        <v>2.0922098569157391E-2</v>
      </c>
      <c r="D61" s="18">
        <f>(Dane!E3861-Dane!E61)/Dane!E61</f>
        <v>0.39130434782608697</v>
      </c>
      <c r="E61" s="18">
        <f>(Dane!F3861-Dane!F61)/Dane!F61</f>
        <v>0.61176470588235299</v>
      </c>
      <c r="F61" s="18">
        <f>(Dane!G3861-Dane!G61)/Dane!G61</f>
        <v>-0.60282066116773425</v>
      </c>
      <c r="G61" s="19">
        <f>AVERAGE(Dane!H61,Dane!H821,Dane!H1201,Dane!H1961,Dane!H2721,Dane!H3481)</f>
        <v>15.5</v>
      </c>
    </row>
    <row r="62" spans="1:7" x14ac:dyDescent="0.3">
      <c r="A62" s="1" t="s">
        <v>131</v>
      </c>
      <c r="B62" s="1" t="s">
        <v>132</v>
      </c>
      <c r="C62" s="18">
        <f>(Dane!D3862-Dane!D62)/Dane!D62</f>
        <v>6.0544057961292051E-2</v>
      </c>
      <c r="D62" s="18">
        <f>(Dane!E3862-Dane!E62)/Dane!E62</f>
        <v>0.40277777777777779</v>
      </c>
      <c r="E62" s="18">
        <f>(Dane!F3862-Dane!F62)/Dane!F62</f>
        <v>0.93103448275862066</v>
      </c>
      <c r="F62" s="18">
        <f>(Dane!G3862-Dane!G62)/Dane!G62</f>
        <v>-0.34904532444476649</v>
      </c>
      <c r="G62" s="19">
        <f>AVERAGE(Dane!H62,Dane!H822,Dane!H1202,Dane!H1962,Dane!H2722,Dane!H3482)</f>
        <v>2.3333333333333335</v>
      </c>
    </row>
    <row r="63" spans="1:7" x14ac:dyDescent="0.3">
      <c r="A63" s="1" t="s">
        <v>133</v>
      </c>
      <c r="B63" s="1" t="s">
        <v>134</v>
      </c>
      <c r="C63" s="18">
        <f>(Dane!D3863-Dane!D63)/Dane!D63</f>
        <v>0.18227842783017878</v>
      </c>
      <c r="D63" s="18">
        <f>(Dane!E3863-Dane!E63)/Dane!E63</f>
        <v>0.39855072463768115</v>
      </c>
      <c r="E63" s="18">
        <f>(Dane!F3863-Dane!F63)/Dane!F63</f>
        <v>1.3551401869158879</v>
      </c>
      <c r="F63" s="18">
        <f>(Dane!G3863-Dane!G63)/Dane!G63</f>
        <v>-0.51124556971482737</v>
      </c>
      <c r="G63" s="19">
        <f>AVERAGE(Dane!H63,Dane!H823,Dane!H1203,Dane!H1963,Dane!H2723,Dane!H3483)</f>
        <v>10.166666666666666</v>
      </c>
    </row>
    <row r="64" spans="1:7" x14ac:dyDescent="0.3">
      <c r="A64" s="1" t="s">
        <v>135</v>
      </c>
      <c r="B64" s="1" t="s">
        <v>136</v>
      </c>
      <c r="C64" s="18">
        <f>(Dane!D3864-Dane!D64)/Dane!D64</f>
        <v>0.10066780727413213</v>
      </c>
      <c r="D64" s="18">
        <f>(Dane!E3864-Dane!E64)/Dane!E64</f>
        <v>0.13488372093023257</v>
      </c>
      <c r="E64" s="18">
        <f>(Dane!F3864-Dane!F64)/Dane!F64</f>
        <v>0.37037037037037035</v>
      </c>
      <c r="F64" s="18">
        <f>(Dane!G3864-Dane!G64)/Dane!G64</f>
        <v>-0.32203186486227087</v>
      </c>
      <c r="G64" s="19">
        <f>AVERAGE(Dane!H64,Dane!H824,Dane!H1204,Dane!H1964,Dane!H2724,Dane!H3484)</f>
        <v>2.8333333333333335</v>
      </c>
    </row>
    <row r="65" spans="1:7" x14ac:dyDescent="0.3">
      <c r="A65" s="1" t="s">
        <v>137</v>
      </c>
      <c r="B65" s="1" t="s">
        <v>138</v>
      </c>
      <c r="C65" s="18">
        <f>(Dane!D3865-Dane!D65)/Dane!D65</f>
        <v>9.1859253356218973E-2</v>
      </c>
      <c r="D65" s="18">
        <f>(Dane!E3865-Dane!E65)/Dane!E65</f>
        <v>1.6763285024154588</v>
      </c>
      <c r="E65" s="18">
        <f>(Dane!F3865-Dane!F65)/Dane!F65</f>
        <v>4.1063829787234045</v>
      </c>
      <c r="F65" s="18">
        <f>(Dane!G3865-Dane!G65)/Dane!G65</f>
        <v>-0.21995767767917071</v>
      </c>
      <c r="G65" s="19">
        <f>AVERAGE(Dane!H65,Dane!H825,Dane!H1205,Dane!H1965,Dane!H2725,Dane!H3485)</f>
        <v>16.333333333333332</v>
      </c>
    </row>
    <row r="66" spans="1:7" x14ac:dyDescent="0.3">
      <c r="A66" s="1" t="s">
        <v>139</v>
      </c>
      <c r="B66" s="1" t="s">
        <v>140</v>
      </c>
      <c r="C66" s="18">
        <f>(Dane!D3866-Dane!D66)/Dane!D66</f>
        <v>1.096555070354197E-2</v>
      </c>
      <c r="D66" s="18">
        <f>(Dane!E3866-Dane!E66)/Dane!E66</f>
        <v>0.42666666666666669</v>
      </c>
      <c r="E66" s="18">
        <f>(Dane!F3866-Dane!F66)/Dane!F66</f>
        <v>9.5238095238095233E-2</v>
      </c>
      <c r="F66" s="18">
        <f>(Dane!G3866-Dane!G66)/Dane!G66</f>
        <v>-0.14748010268147238</v>
      </c>
      <c r="G66" s="19">
        <f>AVERAGE(Dane!H66,Dane!H826,Dane!H1206,Dane!H1966,Dane!H2726,Dane!H3486)</f>
        <v>3.1666666666666665</v>
      </c>
    </row>
    <row r="67" spans="1:7" x14ac:dyDescent="0.3">
      <c r="A67" s="1" t="s">
        <v>141</v>
      </c>
      <c r="B67" s="1" t="s">
        <v>142</v>
      </c>
      <c r="C67" s="18">
        <f>(Dane!D3867-Dane!D67)/Dane!D67</f>
        <v>1.5103152977812378E-2</v>
      </c>
      <c r="D67" s="18">
        <f>(Dane!E3867-Dane!E67)/Dane!E67</f>
        <v>-0.19767441860465115</v>
      </c>
      <c r="E67" s="18">
        <f>(Dane!F3867-Dane!F67)/Dane!F67</f>
        <v>2.8461538461538463</v>
      </c>
      <c r="F67" s="18">
        <f>(Dane!G3867-Dane!G67)/Dane!G67</f>
        <v>-0.60527784760524639</v>
      </c>
      <c r="G67" s="19">
        <f>AVERAGE(Dane!H67,Dane!H827,Dane!H1207,Dane!H1967,Dane!H2727,Dane!H3487)</f>
        <v>14.333333333333334</v>
      </c>
    </row>
    <row r="68" spans="1:7" x14ac:dyDescent="0.3">
      <c r="A68" s="1" t="s">
        <v>143</v>
      </c>
      <c r="B68" s="1" t="s">
        <v>144</v>
      </c>
      <c r="C68" s="18">
        <f>(Dane!D3868-Dane!D68)/Dane!D68</f>
        <v>6.2770097652985704E-2</v>
      </c>
      <c r="D68" s="18">
        <f>(Dane!E3868-Dane!E68)/Dane!E68</f>
        <v>-0.33732057416267941</v>
      </c>
      <c r="E68" s="18">
        <f>(Dane!F3868-Dane!F68)/Dane!F68</f>
        <v>0.22705314009661837</v>
      </c>
      <c r="F68" s="18">
        <f>(Dane!G3868-Dane!G68)/Dane!G68</f>
        <v>-0.24940103857734813</v>
      </c>
      <c r="G68" s="19">
        <f>AVERAGE(Dane!H68,Dane!H828,Dane!H1208,Dane!H1968,Dane!H2728,Dane!H3488)</f>
        <v>12.833333333333334</v>
      </c>
    </row>
    <row r="69" spans="1:7" x14ac:dyDescent="0.3">
      <c r="A69" s="1" t="s">
        <v>145</v>
      </c>
      <c r="B69" s="1" t="s">
        <v>146</v>
      </c>
      <c r="C69" s="18">
        <f>(Dane!D3869-Dane!D69)/Dane!D69</f>
        <v>3.590007725985063E-2</v>
      </c>
      <c r="D69" s="18">
        <f>(Dane!E3869-Dane!E69)/Dane!E69</f>
        <v>-0.23943661971830985</v>
      </c>
      <c r="E69" s="18">
        <f>(Dane!F3869-Dane!F69)/Dane!F69</f>
        <v>0.33333333333333331</v>
      </c>
      <c r="F69" s="18">
        <f>(Dane!G3869-Dane!G69)/Dane!G69</f>
        <v>9.7698417080926456E-2</v>
      </c>
      <c r="G69" s="19">
        <f>AVERAGE(Dane!H69,Dane!H829,Dane!H1209,Dane!H1969,Dane!H2729,Dane!H3489)</f>
        <v>18.166666666666668</v>
      </c>
    </row>
    <row r="70" spans="1:7" x14ac:dyDescent="0.3">
      <c r="A70" s="1" t="s">
        <v>147</v>
      </c>
      <c r="B70" s="1" t="s">
        <v>148</v>
      </c>
      <c r="C70" s="18">
        <f>(Dane!D3870-Dane!D70)/Dane!D70</f>
        <v>1.100385134797179E-3</v>
      </c>
      <c r="D70" s="18">
        <f>(Dane!E3870-Dane!E70)/Dane!E70</f>
        <v>0.11458333333333333</v>
      </c>
      <c r="E70" s="18">
        <f>(Dane!F3870-Dane!F70)/Dane!F70</f>
        <v>0.16949152542372881</v>
      </c>
      <c r="F70" s="18">
        <f>(Dane!G3870-Dane!G70)/Dane!G70</f>
        <v>-0.15785402837156723</v>
      </c>
      <c r="G70" s="19">
        <f>AVERAGE(Dane!H70,Dane!H830,Dane!H1210,Dane!H1970,Dane!H2730,Dane!H3490)</f>
        <v>1.1666666666666667</v>
      </c>
    </row>
    <row r="71" spans="1:7" x14ac:dyDescent="0.3">
      <c r="A71" s="1" t="s">
        <v>149</v>
      </c>
      <c r="B71" s="1" t="s">
        <v>47</v>
      </c>
      <c r="C71" s="18">
        <f>(Dane!D3871-Dane!D71)/Dane!D71</f>
        <v>8.4170854271356788E-2</v>
      </c>
      <c r="D71" s="18">
        <f>(Dane!E3871-Dane!E71)/Dane!E71</f>
        <v>2.0769230769230771</v>
      </c>
      <c r="E71" s="18">
        <f>(Dane!F3871-Dane!F71)/Dane!F71</f>
        <v>15.37037037037037</v>
      </c>
      <c r="F71" s="18">
        <f>(Dane!G3871-Dane!G71)/Dane!G71</f>
        <v>-4.4790594902761147E-2</v>
      </c>
      <c r="G71" s="19">
        <f>AVERAGE(Dane!H71,Dane!H831,Dane!H1211,Dane!H1971,Dane!H2731,Dane!H3491)</f>
        <v>0.66666666666666663</v>
      </c>
    </row>
    <row r="72" spans="1:7" x14ac:dyDescent="0.3">
      <c r="A72" s="1" t="s">
        <v>150</v>
      </c>
      <c r="B72" s="1" t="s">
        <v>151</v>
      </c>
      <c r="C72" s="18">
        <f>(Dane!D3872-Dane!D72)/Dane!D72</f>
        <v>7.0624507062450707E-3</v>
      </c>
      <c r="D72" s="18">
        <f>(Dane!E3872-Dane!E72)/Dane!E72</f>
        <v>0.52857142857142858</v>
      </c>
      <c r="E72" s="18">
        <f>(Dane!F3872-Dane!F72)/Dane!F72</f>
        <v>0.53191489361702127</v>
      </c>
      <c r="F72" s="18">
        <f>(Dane!G3872-Dane!G72)/Dane!G72</f>
        <v>-0.63119349223030696</v>
      </c>
      <c r="G72" s="19">
        <f>AVERAGE(Dane!H72,Dane!H832,Dane!H1212,Dane!H1972,Dane!H2732,Dane!H3492)</f>
        <v>8.3333333333333339</v>
      </c>
    </row>
    <row r="73" spans="1:7" x14ac:dyDescent="0.3">
      <c r="A73" s="1" t="s">
        <v>152</v>
      </c>
      <c r="B73" s="1" t="s">
        <v>153</v>
      </c>
      <c r="C73" s="18">
        <f>(Dane!D3873-Dane!D73)/Dane!D73</f>
        <v>2.5651988029072252E-2</v>
      </c>
      <c r="D73" s="18">
        <f>(Dane!E3873-Dane!E73)/Dane!E73</f>
        <v>0.15789473684210525</v>
      </c>
      <c r="E73" s="18">
        <f>(Dane!F3873-Dane!F73)/Dane!F73</f>
        <v>0.45833333333333331</v>
      </c>
      <c r="F73" s="18">
        <f>(Dane!G3873-Dane!G73)/Dane!G73</f>
        <v>0.24649828570582269</v>
      </c>
      <c r="G73" s="19">
        <f>AVERAGE(Dane!H73,Dane!H833,Dane!H1213,Dane!H1973,Dane!H2733,Dane!H3493)</f>
        <v>11.333333333333334</v>
      </c>
    </row>
    <row r="74" spans="1:7" x14ac:dyDescent="0.3">
      <c r="A74" s="1" t="s">
        <v>154</v>
      </c>
      <c r="B74" s="1" t="s">
        <v>155</v>
      </c>
      <c r="C74" s="18">
        <f>(Dane!D3874-Dane!D74)/Dane!D74</f>
        <v>1.5715077605321509E-2</v>
      </c>
      <c r="D74" s="18">
        <f>(Dane!E3874-Dane!E74)/Dane!E74</f>
        <v>0.19067796610169491</v>
      </c>
      <c r="E74" s="18">
        <f>(Dane!F3874-Dane!F74)/Dane!F74</f>
        <v>0.26666666666666666</v>
      </c>
      <c r="F74" s="18">
        <f>(Dane!G3874-Dane!G74)/Dane!G74</f>
        <v>-0.52930709038739121</v>
      </c>
      <c r="G74" s="19">
        <f>AVERAGE(Dane!H74,Dane!H834,Dane!H1214,Dane!H1974,Dane!H2734,Dane!H3494)</f>
        <v>3.6666666666666665</v>
      </c>
    </row>
    <row r="75" spans="1:7" x14ac:dyDescent="0.3">
      <c r="A75" s="1" t="s">
        <v>156</v>
      </c>
      <c r="B75" s="1" t="s">
        <v>157</v>
      </c>
      <c r="C75" s="18">
        <f>(Dane!D3875-Dane!D75)/Dane!D75</f>
        <v>0.16648648648648648</v>
      </c>
      <c r="D75" s="18">
        <f>(Dane!E3875-Dane!E75)/Dane!E75</f>
        <v>-0.20689655172413793</v>
      </c>
      <c r="E75" s="18">
        <f>(Dane!F3875-Dane!F75)/Dane!F75</f>
        <v>2.7157894736842105</v>
      </c>
      <c r="F75" s="18">
        <f>(Dane!G3875-Dane!G75)/Dane!G75</f>
        <v>-4.4130412685048005E-2</v>
      </c>
      <c r="G75" s="19">
        <f>AVERAGE(Dane!H75,Dane!H835,Dane!H1215,Dane!H1975,Dane!H2735,Dane!H3495)</f>
        <v>4</v>
      </c>
    </row>
    <row r="76" spans="1:7" x14ac:dyDescent="0.3">
      <c r="A76" s="1" t="s">
        <v>158</v>
      </c>
      <c r="B76" s="1" t="s">
        <v>159</v>
      </c>
      <c r="C76" s="18">
        <f>(Dane!D3876-Dane!D76)/Dane!D76</f>
        <v>2.6449204165847909E-2</v>
      </c>
      <c r="D76" s="18">
        <f>(Dane!E3876-Dane!E76)/Dane!E76</f>
        <v>1.3333333333333333</v>
      </c>
      <c r="E76" s="18">
        <f>(Dane!F3876-Dane!F76)/Dane!F76</f>
        <v>0.96571428571428575</v>
      </c>
      <c r="F76" s="18">
        <f>(Dane!G3876-Dane!G76)/Dane!G76</f>
        <v>-0.15814545979168337</v>
      </c>
      <c r="G76" s="19">
        <f>AVERAGE(Dane!H76,Dane!H836,Dane!H1216,Dane!H1976,Dane!H2736,Dane!H3496)</f>
        <v>71.5</v>
      </c>
    </row>
    <row r="77" spans="1:7" x14ac:dyDescent="0.3">
      <c r="A77" s="1" t="s">
        <v>160</v>
      </c>
      <c r="B77" s="1" t="s">
        <v>161</v>
      </c>
      <c r="C77" s="18">
        <f>(Dane!D3877-Dane!D77)/Dane!D77</f>
        <v>0.17486694755516133</v>
      </c>
      <c r="D77" s="18">
        <f>(Dane!E3877-Dane!E77)/Dane!E77</f>
        <v>0.40257582052347318</v>
      </c>
      <c r="E77" s="18">
        <f>(Dane!F3877-Dane!F77)/Dane!F77</f>
        <v>2.0437636761487963</v>
      </c>
      <c r="F77" s="18">
        <f>(Dane!G3877-Dane!G77)/Dane!G77</f>
        <v>-0.34161582641041305</v>
      </c>
      <c r="G77" s="19">
        <f>AVERAGE(Dane!H77,Dane!H837,Dane!H1217,Dane!H1977,Dane!H2737,Dane!H3497)</f>
        <v>68.5</v>
      </c>
    </row>
    <row r="78" spans="1:7" x14ac:dyDescent="0.3">
      <c r="A78" s="1" t="s">
        <v>162</v>
      </c>
      <c r="B78" s="1" t="s">
        <v>163</v>
      </c>
      <c r="C78" s="18">
        <f>(Dane!D3878-Dane!D78)/Dane!D78</f>
        <v>8.1229650302338363E-2</v>
      </c>
      <c r="D78" s="18">
        <f>(Dane!E3878-Dane!E78)/Dane!E78</f>
        <v>-0.2168141592920354</v>
      </c>
      <c r="E78" s="18">
        <f>(Dane!F3878-Dane!F78)/Dane!F78</f>
        <v>0.60150375939849621</v>
      </c>
      <c r="F78" s="18">
        <f>(Dane!G3878-Dane!G78)/Dane!G78</f>
        <v>-0.42386226217071643</v>
      </c>
      <c r="G78" s="19">
        <f>AVERAGE(Dane!H78,Dane!H838,Dane!H1218,Dane!H1978,Dane!H2738,Dane!H3498)</f>
        <v>48.833333333333336</v>
      </c>
    </row>
    <row r="79" spans="1:7" x14ac:dyDescent="0.3">
      <c r="A79" s="1" t="s">
        <v>164</v>
      </c>
      <c r="B79" s="1" t="s">
        <v>165</v>
      </c>
      <c r="C79" s="18">
        <f>(Dane!D3879-Dane!D79)/Dane!D79</f>
        <v>0.20065637422575575</v>
      </c>
      <c r="D79" s="18">
        <f>(Dane!E3879-Dane!E79)/Dane!E79</f>
        <v>1.125</v>
      </c>
      <c r="E79" s="18">
        <f>(Dane!F3879-Dane!F79)/Dane!F79</f>
        <v>0.24747474747474749</v>
      </c>
      <c r="F79" s="18">
        <f>(Dane!G3879-Dane!G79)/Dane!G79</f>
        <v>-0.46805654530087337</v>
      </c>
      <c r="G79" s="19">
        <f>AVERAGE(Dane!H79,Dane!H839,Dane!H1219,Dane!H1979,Dane!H2739,Dane!H3499)</f>
        <v>12.333333333333334</v>
      </c>
    </row>
    <row r="80" spans="1:7" x14ac:dyDescent="0.3">
      <c r="A80" s="1" t="s">
        <v>166</v>
      </c>
      <c r="B80" s="1" t="s">
        <v>167</v>
      </c>
      <c r="C80" s="18">
        <f>(Dane!D3880-Dane!D80)/Dane!D80</f>
        <v>7.7985763248088591E-2</v>
      </c>
      <c r="D80" s="18">
        <f>(Dane!E3880-Dane!E80)/Dane!E80</f>
        <v>0.25</v>
      </c>
      <c r="E80" s="18">
        <f>(Dane!F3880-Dane!F80)/Dane!F80</f>
        <v>-9.202453987730061E-2</v>
      </c>
      <c r="F80" s="18">
        <f>(Dane!G3880-Dane!G80)/Dane!G80</f>
        <v>-0.49223379347943863</v>
      </c>
      <c r="G80" s="19">
        <f>AVERAGE(Dane!H80,Dane!H840,Dane!H1220,Dane!H1980,Dane!H2740,Dane!H3500)</f>
        <v>11.333333333333334</v>
      </c>
    </row>
    <row r="81" spans="1:7" x14ac:dyDescent="0.3">
      <c r="A81" s="1" t="s">
        <v>168</v>
      </c>
      <c r="B81" s="1" t="s">
        <v>169</v>
      </c>
      <c r="C81" s="18">
        <f>(Dane!D3881-Dane!D81)/Dane!D81</f>
        <v>8.1944375342056813E-2</v>
      </c>
      <c r="D81" s="18">
        <f>(Dane!E3881-Dane!E81)/Dane!E81</f>
        <v>0.67741935483870963</v>
      </c>
      <c r="E81" s="18">
        <f>(Dane!F3881-Dane!F81)/Dane!F81</f>
        <v>0.16477272727272727</v>
      </c>
      <c r="F81" s="18">
        <f>(Dane!G3881-Dane!G81)/Dane!G81</f>
        <v>-0.4615131949039582</v>
      </c>
      <c r="G81" s="19">
        <f>AVERAGE(Dane!H81,Dane!H841,Dane!H1221,Dane!H1981,Dane!H2741,Dane!H3501)</f>
        <v>8.8333333333333339</v>
      </c>
    </row>
    <row r="82" spans="1:7" x14ac:dyDescent="0.3">
      <c r="A82" s="1" t="s">
        <v>170</v>
      </c>
      <c r="B82" s="1" t="s">
        <v>171</v>
      </c>
      <c r="C82" s="18">
        <f>(Dane!D3882-Dane!D82)/Dane!D82</f>
        <v>0.12259188528160284</v>
      </c>
      <c r="D82" s="18">
        <f>(Dane!E3882-Dane!E82)/Dane!E82</f>
        <v>1.892156862745098</v>
      </c>
      <c r="E82" s="18">
        <f>(Dane!F3882-Dane!F82)/Dane!F82</f>
        <v>1.203883495145631</v>
      </c>
      <c r="F82" s="18">
        <f>(Dane!G3882-Dane!G82)/Dane!G82</f>
        <v>-0.29415805738652173</v>
      </c>
      <c r="G82" s="19">
        <f>AVERAGE(Dane!H82,Dane!H842,Dane!H1222,Dane!H1982,Dane!H2742,Dane!H3502)</f>
        <v>15.833333333333334</v>
      </c>
    </row>
    <row r="83" spans="1:7" x14ac:dyDescent="0.3">
      <c r="A83" s="1" t="s">
        <v>172</v>
      </c>
      <c r="B83" s="1" t="s">
        <v>173</v>
      </c>
      <c r="C83" s="18">
        <f>(Dane!D3883-Dane!D83)/Dane!D83</f>
        <v>0.17195221117157691</v>
      </c>
      <c r="D83" s="18">
        <f>(Dane!E3883-Dane!E83)/Dane!E83</f>
        <v>0.96129032258064517</v>
      </c>
      <c r="E83" s="18">
        <f>(Dane!F3883-Dane!F83)/Dane!F83</f>
        <v>0.31382978723404253</v>
      </c>
      <c r="F83" s="18">
        <f>(Dane!G3883-Dane!G83)/Dane!G83</f>
        <v>-0.56694681795963853</v>
      </c>
      <c r="G83" s="19">
        <f>AVERAGE(Dane!H83,Dane!H843,Dane!H1223,Dane!H1983,Dane!H2743,Dane!H3503)</f>
        <v>6.333333333333333</v>
      </c>
    </row>
    <row r="84" spans="1:7" x14ac:dyDescent="0.3">
      <c r="A84" s="1" t="s">
        <v>174</v>
      </c>
      <c r="B84" s="1" t="s">
        <v>175</v>
      </c>
      <c r="C84" s="18">
        <f>(Dane!D3884-Dane!D84)/Dane!D84</f>
        <v>8.4994817389183588E-2</v>
      </c>
      <c r="D84" s="18">
        <f>(Dane!E3884-Dane!E84)/Dane!E84</f>
        <v>-9.3457943925233638E-3</v>
      </c>
      <c r="E84" s="18">
        <f>(Dane!F3884-Dane!F84)/Dane!F84</f>
        <v>-0.12</v>
      </c>
      <c r="F84" s="18">
        <f>(Dane!G3884-Dane!G84)/Dane!G84</f>
        <v>-0.19298245614035087</v>
      </c>
      <c r="G84" s="19">
        <f>AVERAGE(Dane!H84,Dane!H844,Dane!H1224,Dane!H1984,Dane!H2744,Dane!H3504)</f>
        <v>11.166666666666666</v>
      </c>
    </row>
    <row r="85" spans="1:7" x14ac:dyDescent="0.3">
      <c r="A85" s="1" t="s">
        <v>176</v>
      </c>
      <c r="B85" s="1" t="s">
        <v>177</v>
      </c>
      <c r="C85" s="18">
        <f>(Dane!D3885-Dane!D85)/Dane!D85</f>
        <v>0.11173277661795407</v>
      </c>
      <c r="D85" s="18">
        <f>(Dane!E3885-Dane!E85)/Dane!E85</f>
        <v>1.3148148148148149</v>
      </c>
      <c r="E85" s="18">
        <f>(Dane!F3885-Dane!F85)/Dane!F85</f>
        <v>1.5789473684210527</v>
      </c>
      <c r="F85" s="18">
        <f>(Dane!G3885-Dane!G85)/Dane!G85</f>
        <v>7.4769257665273217E-2</v>
      </c>
      <c r="G85" s="19">
        <f>AVERAGE(Dane!H85,Dane!H845,Dane!H1225,Dane!H1985,Dane!H2745,Dane!H3505)</f>
        <v>9.8333333333333339</v>
      </c>
    </row>
    <row r="86" spans="1:7" x14ac:dyDescent="0.3">
      <c r="A86" s="1" t="s">
        <v>178</v>
      </c>
      <c r="B86" s="1" t="s">
        <v>179</v>
      </c>
      <c r="C86" s="18">
        <f>(Dane!D3886-Dane!D86)/Dane!D86</f>
        <v>0.11150553351430362</v>
      </c>
      <c r="D86" s="18">
        <f>(Dane!E3886-Dane!E86)/Dane!E86</f>
        <v>1.9238095238095239</v>
      </c>
      <c r="E86" s="18">
        <f>(Dane!F3886-Dane!F86)/Dane!F86</f>
        <v>0.42079207920792078</v>
      </c>
      <c r="F86" s="18">
        <f>(Dane!G3886-Dane!G86)/Dane!G86</f>
        <v>-0.62684902406406517</v>
      </c>
      <c r="G86" s="19">
        <f>AVERAGE(Dane!H86,Dane!H846,Dane!H1226,Dane!H1986,Dane!H2746,Dane!H3506)</f>
        <v>1.8333333333333333</v>
      </c>
    </row>
    <row r="87" spans="1:7" x14ac:dyDescent="0.3">
      <c r="A87" s="1" t="s">
        <v>180</v>
      </c>
      <c r="B87" s="1" t="s">
        <v>181</v>
      </c>
      <c r="C87" s="18">
        <f>(Dane!D3887-Dane!D87)/Dane!D87</f>
        <v>-9.2951251646903821E-2</v>
      </c>
      <c r="D87" s="18">
        <f>(Dane!E3887-Dane!E87)/Dane!E87</f>
        <v>0.12</v>
      </c>
      <c r="E87" s="18">
        <f>(Dane!F3887-Dane!F87)/Dane!F87</f>
        <v>0.24875621890547264</v>
      </c>
      <c r="F87" s="18">
        <f>(Dane!G3887-Dane!G87)/Dane!G87</f>
        <v>-0.4711281874046846</v>
      </c>
      <c r="G87" s="19">
        <f>AVERAGE(Dane!H87,Dane!H847,Dane!H1227,Dane!H1987,Dane!H2747,Dane!H3507)</f>
        <v>20.833333333333332</v>
      </c>
    </row>
    <row r="88" spans="1:7" x14ac:dyDescent="0.3">
      <c r="A88" s="1" t="s">
        <v>182</v>
      </c>
      <c r="B88" s="1" t="s">
        <v>183</v>
      </c>
      <c r="C88" s="18">
        <f>(Dane!D3888-Dane!D88)/Dane!D88</f>
        <v>3.9736688723557442E-2</v>
      </c>
      <c r="D88" s="18">
        <f>(Dane!E3888-Dane!E88)/Dane!E88</f>
        <v>0.93243243243243246</v>
      </c>
      <c r="E88" s="18">
        <f>(Dane!F3888-Dane!F88)/Dane!F88</f>
        <v>0.63720930232558137</v>
      </c>
      <c r="F88" s="18">
        <f>(Dane!G3888-Dane!G88)/Dane!G88</f>
        <v>-0.19172523549295226</v>
      </c>
      <c r="G88" s="19">
        <f>AVERAGE(Dane!H88,Dane!H848,Dane!H1228,Dane!H1988,Dane!H2748,Dane!H3508)</f>
        <v>13</v>
      </c>
    </row>
    <row r="89" spans="1:7" x14ac:dyDescent="0.3">
      <c r="A89" s="1" t="s">
        <v>184</v>
      </c>
      <c r="B89" s="1" t="s">
        <v>185</v>
      </c>
      <c r="C89" s="18">
        <f>(Dane!D3889-Dane!D89)/Dane!D89</f>
        <v>6.8500044403658866E-2</v>
      </c>
      <c r="D89" s="18">
        <f>(Dane!E3889-Dane!E89)/Dane!E89</f>
        <v>0.66257668711656437</v>
      </c>
      <c r="E89" s="18">
        <f>(Dane!F3889-Dane!F89)/Dane!F89</f>
        <v>0.20707070707070707</v>
      </c>
      <c r="F89" s="18">
        <f>(Dane!G3889-Dane!G89)/Dane!G89</f>
        <v>-0.41858251303230448</v>
      </c>
      <c r="G89" s="19">
        <f>AVERAGE(Dane!H89,Dane!H849,Dane!H1229,Dane!H1989,Dane!H2749,Dane!H3509)</f>
        <v>18.666666666666668</v>
      </c>
    </row>
    <row r="90" spans="1:7" x14ac:dyDescent="0.3">
      <c r="A90" s="1" t="s">
        <v>186</v>
      </c>
      <c r="B90" s="1" t="s">
        <v>187</v>
      </c>
      <c r="C90" s="18">
        <f>(Dane!D3890-Dane!D90)/Dane!D90</f>
        <v>0.105297580117724</v>
      </c>
      <c r="D90" s="18">
        <f>(Dane!E3890-Dane!E90)/Dane!E90</f>
        <v>0.22</v>
      </c>
      <c r="E90" s="18">
        <f>(Dane!F3890-Dane!F90)/Dane!F90</f>
        <v>1.625</v>
      </c>
      <c r="F90" s="18">
        <f>(Dane!G3890-Dane!G90)/Dane!G90</f>
        <v>-0.74546679856782727</v>
      </c>
      <c r="G90" s="19">
        <f>AVERAGE(Dane!H90,Dane!H850,Dane!H1230,Dane!H1990,Dane!H2750,Dane!H3510)</f>
        <v>3.5</v>
      </c>
    </row>
    <row r="91" spans="1:7" x14ac:dyDescent="0.3">
      <c r="A91" s="1" t="s">
        <v>188</v>
      </c>
      <c r="B91" s="1" t="s">
        <v>189</v>
      </c>
      <c r="C91" s="18">
        <f>(Dane!D3891-Dane!D91)/Dane!D91</f>
        <v>0.13346949297059349</v>
      </c>
      <c r="D91" s="18">
        <f>(Dane!E3891-Dane!E91)/Dane!E91</f>
        <v>0.33727810650887574</v>
      </c>
      <c r="E91" s="18">
        <f>(Dane!F3891-Dane!F91)/Dane!F91</f>
        <v>0.10727611940298508</v>
      </c>
      <c r="F91" s="18">
        <f>(Dane!G3891-Dane!G91)/Dane!G91</f>
        <v>0.92807737352129216</v>
      </c>
      <c r="G91" s="19">
        <f>AVERAGE(Dane!H91,Dane!H851,Dane!H1231,Dane!H1991,Dane!H2751,Dane!H3511)</f>
        <v>558.83333333333337</v>
      </c>
    </row>
    <row r="92" spans="1:7" x14ac:dyDescent="0.3">
      <c r="A92" s="1" t="s">
        <v>190</v>
      </c>
      <c r="B92" s="1" t="s">
        <v>191</v>
      </c>
      <c r="C92" s="18">
        <f>(Dane!D3892-Dane!D92)/Dane!D92</f>
        <v>0.37026398300799029</v>
      </c>
      <c r="D92" s="18">
        <f>(Dane!E3892-Dane!E92)/Dane!E92</f>
        <v>0.10760401721664276</v>
      </c>
      <c r="E92" s="18">
        <f>(Dane!F3892-Dane!F92)/Dane!F92</f>
        <v>1.3302013422818793</v>
      </c>
      <c r="F92" s="18">
        <f>(Dane!G3892-Dane!G92)/Dane!G92</f>
        <v>0.39107991060065272</v>
      </c>
      <c r="G92" s="19">
        <f>AVERAGE(Dane!H92,Dane!H852,Dane!H1232,Dane!H1992,Dane!H2752,Dane!H3512)</f>
        <v>72.166666666666671</v>
      </c>
    </row>
    <row r="93" spans="1:7" x14ac:dyDescent="0.3">
      <c r="A93" s="1" t="s">
        <v>192</v>
      </c>
      <c r="B93" s="1" t="s">
        <v>193</v>
      </c>
      <c r="C93" s="18">
        <f>(Dane!D3893-Dane!D93)/Dane!D93</f>
        <v>7.3728535767417239E-2</v>
      </c>
      <c r="D93" s="18">
        <f>(Dane!E3893-Dane!E93)/Dane!E93</f>
        <v>-2.2801302931596091E-2</v>
      </c>
      <c r="E93" s="18">
        <f>(Dane!F3893-Dane!F93)/Dane!F93</f>
        <v>0.62254901960784315</v>
      </c>
      <c r="F93" s="18">
        <f>(Dane!G3893-Dane!G93)/Dane!G93</f>
        <v>-0.23340577089976972</v>
      </c>
      <c r="G93" s="19">
        <f>AVERAGE(Dane!H93,Dane!H853,Dane!H1233,Dane!H1993,Dane!H2753,Dane!H3513)</f>
        <v>53.333333333333336</v>
      </c>
    </row>
    <row r="94" spans="1:7" x14ac:dyDescent="0.3">
      <c r="A94" s="1" t="s">
        <v>194</v>
      </c>
      <c r="B94" s="1" t="s">
        <v>195</v>
      </c>
      <c r="C94" s="18">
        <f>(Dane!D3894-Dane!D94)/Dane!D94</f>
        <v>6.0427492366207744E-2</v>
      </c>
      <c r="D94" s="18">
        <f>(Dane!E3894-Dane!E94)/Dane!E94</f>
        <v>0.97142857142857142</v>
      </c>
      <c r="E94" s="18">
        <f>(Dane!F3894-Dane!F94)/Dane!F94</f>
        <v>2.0431654676258995</v>
      </c>
      <c r="F94" s="18">
        <f>(Dane!G3894-Dane!G94)/Dane!G94</f>
        <v>-1.3633401319127124E-2</v>
      </c>
      <c r="G94" s="19">
        <f>AVERAGE(Dane!H94,Dane!H854,Dane!H1234,Dane!H1994,Dane!H2754,Dane!H3514)</f>
        <v>65.666666666666671</v>
      </c>
    </row>
    <row r="95" spans="1:7" x14ac:dyDescent="0.3">
      <c r="A95" s="1" t="s">
        <v>196</v>
      </c>
      <c r="B95" s="1" t="s">
        <v>197</v>
      </c>
      <c r="C95" s="18">
        <f>(Dane!D3895-Dane!D95)/Dane!D95</f>
        <v>6.7218909935102628E-2</v>
      </c>
      <c r="D95" s="18">
        <f>(Dane!E3895-Dane!E95)/Dane!E95</f>
        <v>-0.1437908496732026</v>
      </c>
      <c r="E95" s="18">
        <f>(Dane!F3895-Dane!F95)/Dane!F95</f>
        <v>0.24074074074074073</v>
      </c>
      <c r="F95" s="18">
        <f>(Dane!G3895-Dane!G95)/Dane!G95</f>
        <v>-0.15121233017710814</v>
      </c>
      <c r="G95" s="19">
        <f>AVERAGE(Dane!H95,Dane!H855,Dane!H1235,Dane!H1995,Dane!H2755,Dane!H3515)</f>
        <v>37.333333333333336</v>
      </c>
    </row>
    <row r="96" spans="1:7" x14ac:dyDescent="0.3">
      <c r="A96" s="1" t="s">
        <v>198</v>
      </c>
      <c r="B96" s="1" t="s">
        <v>199</v>
      </c>
      <c r="C96" s="18">
        <f>(Dane!D3896-Dane!D96)/Dane!D96</f>
        <v>-6.8102444703143188E-3</v>
      </c>
      <c r="D96" s="18">
        <f>(Dane!E3896-Dane!E96)/Dane!E96</f>
        <v>-0.16438356164383561</v>
      </c>
      <c r="E96" s="18">
        <f>(Dane!F3896-Dane!F96)/Dane!F96</f>
        <v>0.78947368421052633</v>
      </c>
      <c r="F96" s="18">
        <f>(Dane!G3896-Dane!G96)/Dane!G96</f>
        <v>-0.40732749819637099</v>
      </c>
      <c r="G96" s="19">
        <f>AVERAGE(Dane!H96,Dane!H856,Dane!H1236,Dane!H1996,Dane!H2756,Dane!H3516)</f>
        <v>46.166666666666664</v>
      </c>
    </row>
    <row r="97" spans="1:7" x14ac:dyDescent="0.3">
      <c r="A97" s="1" t="s">
        <v>200</v>
      </c>
      <c r="B97" s="1" t="s">
        <v>201</v>
      </c>
      <c r="C97" s="18">
        <f>(Dane!D3897-Dane!D97)/Dane!D97</f>
        <v>2.5061371047521343E-2</v>
      </c>
      <c r="D97" s="18">
        <f>(Dane!E3897-Dane!E97)/Dane!E97</f>
        <v>0.51818181818181819</v>
      </c>
      <c r="E97" s="18">
        <f>(Dane!F3897-Dane!F97)/Dane!F97</f>
        <v>0.55223880597014929</v>
      </c>
      <c r="F97" s="18">
        <f>(Dane!G3897-Dane!G97)/Dane!G97</f>
        <v>4.6507910373083154E-2</v>
      </c>
      <c r="G97" s="19">
        <f>AVERAGE(Dane!H97,Dane!H857,Dane!H1237,Dane!H1997,Dane!H2757,Dane!H3517)</f>
        <v>24.833333333333332</v>
      </c>
    </row>
    <row r="98" spans="1:7" x14ac:dyDescent="0.3">
      <c r="A98" s="1" t="s">
        <v>202</v>
      </c>
      <c r="B98" s="1" t="s">
        <v>203</v>
      </c>
      <c r="C98" s="18">
        <f>(Dane!D3898-Dane!D98)/Dane!D98</f>
        <v>0.16561078277137634</v>
      </c>
      <c r="D98" s="18">
        <f>(Dane!E3898-Dane!E98)/Dane!E98</f>
        <v>0.9151943462897526</v>
      </c>
      <c r="E98" s="18">
        <f>(Dane!F3898-Dane!F98)/Dane!F98</f>
        <v>1.34375</v>
      </c>
      <c r="F98" s="18">
        <f>(Dane!G3898-Dane!G98)/Dane!G98</f>
        <v>-0.23746917494539563</v>
      </c>
      <c r="G98" s="19">
        <f>AVERAGE(Dane!H98,Dane!H858,Dane!H1238,Dane!H1998,Dane!H2758,Dane!H3518)</f>
        <v>129.66666666666666</v>
      </c>
    </row>
    <row r="99" spans="1:7" x14ac:dyDescent="0.3">
      <c r="A99" s="1" t="s">
        <v>204</v>
      </c>
      <c r="B99" s="1" t="s">
        <v>205</v>
      </c>
      <c r="C99" s="18">
        <f>(Dane!D3899-Dane!D99)/Dane!D99</f>
        <v>3.7143411604890354E-2</v>
      </c>
      <c r="D99" s="18">
        <f>(Dane!E3899-Dane!E99)/Dane!E99</f>
        <v>-1.1299435028248588E-2</v>
      </c>
      <c r="E99" s="18">
        <f>(Dane!F3899-Dane!F99)/Dane!F99</f>
        <v>0.37096774193548387</v>
      </c>
      <c r="F99" s="18">
        <f>(Dane!G3899-Dane!G99)/Dane!G99</f>
        <v>-2.7374292176101486E-2</v>
      </c>
      <c r="G99" s="19">
        <f>AVERAGE(Dane!H99,Dane!H859,Dane!H1239,Dane!H1999,Dane!H2759,Dane!H3519)</f>
        <v>33.166666666666664</v>
      </c>
    </row>
    <row r="100" spans="1:7" x14ac:dyDescent="0.3">
      <c r="A100" s="1" t="s">
        <v>206</v>
      </c>
      <c r="B100" s="1" t="s">
        <v>207</v>
      </c>
      <c r="C100" s="18">
        <f>(Dane!D3900-Dane!D100)/Dane!D100</f>
        <v>9.3655649531121904E-2</v>
      </c>
      <c r="D100" s="18">
        <f>(Dane!E3900-Dane!E100)/Dane!E100</f>
        <v>0.8455056179775281</v>
      </c>
      <c r="E100" s="18">
        <f>(Dane!F3900-Dane!F100)/Dane!F100</f>
        <v>1.9846938775510203</v>
      </c>
      <c r="F100" s="18">
        <f>(Dane!G3900-Dane!G100)/Dane!G100</f>
        <v>-0.48479740671902938</v>
      </c>
      <c r="G100" s="19">
        <f>AVERAGE(Dane!H100,Dane!H860,Dane!H1240,Dane!H2000,Dane!H2760,Dane!H3520)</f>
        <v>46.166666666666664</v>
      </c>
    </row>
    <row r="101" spans="1:7" x14ac:dyDescent="0.3">
      <c r="A101" s="1" t="s">
        <v>208</v>
      </c>
      <c r="B101" s="1" t="s">
        <v>209</v>
      </c>
      <c r="C101" s="18">
        <f>(Dane!D3901-Dane!D101)/Dane!D101</f>
        <v>4.2881032011466792E-2</v>
      </c>
      <c r="D101" s="18">
        <f>(Dane!E3901-Dane!E101)/Dane!E101</f>
        <v>0.43902439024390244</v>
      </c>
      <c r="E101" s="18">
        <f>(Dane!F3901-Dane!F101)/Dane!F101</f>
        <v>-0.45</v>
      </c>
      <c r="F101" s="18">
        <f>(Dane!G3901-Dane!G101)/Dane!G101</f>
        <v>0.37751111214269967</v>
      </c>
      <c r="G101" s="19">
        <f>AVERAGE(Dane!H101,Dane!H861,Dane!H1241,Dane!H2001,Dane!H2761,Dane!H3521)</f>
        <v>22</v>
      </c>
    </row>
    <row r="102" spans="1:7" x14ac:dyDescent="0.3">
      <c r="A102" s="1" t="s">
        <v>210</v>
      </c>
      <c r="B102" s="1" t="s">
        <v>211</v>
      </c>
      <c r="C102" s="18">
        <f>(Dane!D3902-Dane!D102)/Dane!D102</f>
        <v>8.8927312177922435E-2</v>
      </c>
      <c r="D102" s="18">
        <f>(Dane!E3902-Dane!E102)/Dane!E102</f>
        <v>1.3422818791946308E-2</v>
      </c>
      <c r="E102" s="18">
        <f>(Dane!F3902-Dane!F102)/Dane!F102</f>
        <v>2.5</v>
      </c>
      <c r="F102" s="18">
        <f>(Dane!G3902-Dane!G102)/Dane!G102</f>
        <v>-0.25474727760326671</v>
      </c>
      <c r="G102" s="19">
        <f>AVERAGE(Dane!H102,Dane!H862,Dane!H1242,Dane!H2002,Dane!H2762,Dane!H3522)</f>
        <v>3.3333333333333335</v>
      </c>
    </row>
    <row r="103" spans="1:7" x14ac:dyDescent="0.3">
      <c r="A103" s="1" t="s">
        <v>212</v>
      </c>
      <c r="B103" s="1" t="s">
        <v>213</v>
      </c>
      <c r="C103" s="18">
        <f>(Dane!D3903-Dane!D103)/Dane!D103</f>
        <v>8.0987070945724229E-2</v>
      </c>
      <c r="D103" s="18">
        <f>(Dane!E3903-Dane!E103)/Dane!E103</f>
        <v>0.96923076923076923</v>
      </c>
      <c r="E103" s="18">
        <f>(Dane!F3903-Dane!F103)/Dane!F103</f>
        <v>-6.1538461538461542E-2</v>
      </c>
      <c r="F103" s="18">
        <f>(Dane!G3903-Dane!G103)/Dane!G103</f>
        <v>-0.60690549126496252</v>
      </c>
      <c r="G103" s="19">
        <f>AVERAGE(Dane!H103,Dane!H863,Dane!H1243,Dane!H2003,Dane!H2763,Dane!H3523)</f>
        <v>1</v>
      </c>
    </row>
    <row r="104" spans="1:7" x14ac:dyDescent="0.3">
      <c r="A104" s="1" t="s">
        <v>214</v>
      </c>
      <c r="B104" s="1" t="s">
        <v>215</v>
      </c>
      <c r="C104" s="18">
        <f>(Dane!D3904-Dane!D104)/Dane!D104</f>
        <v>5.4752673011397017E-2</v>
      </c>
      <c r="D104" s="18">
        <f>(Dane!E3904-Dane!E104)/Dane!E104</f>
        <v>0.39015151515151514</v>
      </c>
      <c r="E104" s="18">
        <f>(Dane!F3904-Dane!F104)/Dane!F104</f>
        <v>2.5294117647058822</v>
      </c>
      <c r="F104" s="18">
        <f>(Dane!G3904-Dane!G104)/Dane!G104</f>
        <v>0.59034434909622058</v>
      </c>
      <c r="G104" s="19">
        <f>AVERAGE(Dane!H104,Dane!H864,Dane!H1244,Dane!H2004,Dane!H2764,Dane!H3524)</f>
        <v>36.833333333333336</v>
      </c>
    </row>
    <row r="105" spans="1:7" x14ac:dyDescent="0.3">
      <c r="A105" s="1" t="s">
        <v>216</v>
      </c>
      <c r="B105" s="1" t="s">
        <v>217</v>
      </c>
      <c r="C105" s="18">
        <f>(Dane!D3905-Dane!D105)/Dane!D105</f>
        <v>5.775750477716822E-2</v>
      </c>
      <c r="D105" s="18">
        <f>(Dane!E3905-Dane!E105)/Dane!E105</f>
        <v>-0.05</v>
      </c>
      <c r="E105" s="18">
        <f>(Dane!F3905-Dane!F105)/Dane!F105</f>
        <v>0.73333333333333328</v>
      </c>
      <c r="F105" s="18">
        <f>(Dane!G3905-Dane!G105)/Dane!G105</f>
        <v>-0.18593076666794109</v>
      </c>
      <c r="G105" s="19">
        <f>AVERAGE(Dane!H105,Dane!H865,Dane!H1245,Dane!H2005,Dane!H2765,Dane!H3525)</f>
        <v>23.166666666666668</v>
      </c>
    </row>
    <row r="106" spans="1:7" x14ac:dyDescent="0.3">
      <c r="A106" s="1" t="s">
        <v>218</v>
      </c>
      <c r="B106" s="1" t="s">
        <v>219</v>
      </c>
      <c r="C106" s="18">
        <f>(Dane!D3906-Dane!D106)/Dane!D106</f>
        <v>5.4754157165184864E-2</v>
      </c>
      <c r="D106" s="18">
        <f>(Dane!E3906-Dane!E106)/Dane!E106</f>
        <v>1.1947368421052631</v>
      </c>
      <c r="E106" s="18">
        <f>(Dane!F3906-Dane!F106)/Dane!F106</f>
        <v>0.46405228758169936</v>
      </c>
      <c r="F106" s="18">
        <f>(Dane!G3906-Dane!G106)/Dane!G106</f>
        <v>-0.39267515452389556</v>
      </c>
      <c r="G106" s="19">
        <f>AVERAGE(Dane!H106,Dane!H866,Dane!H1246,Dane!H2006,Dane!H2766,Dane!H3526)</f>
        <v>13.833333333333334</v>
      </c>
    </row>
    <row r="107" spans="1:7" x14ac:dyDescent="0.3">
      <c r="A107" s="1" t="s">
        <v>220</v>
      </c>
      <c r="B107" s="1" t="s">
        <v>221</v>
      </c>
      <c r="C107" s="18">
        <f>(Dane!D3907-Dane!D107)/Dane!D107</f>
        <v>7.1860754247824288E-2</v>
      </c>
      <c r="D107" s="18">
        <f>(Dane!E3907-Dane!E107)/Dane!E107</f>
        <v>-1.4388489208633094E-2</v>
      </c>
      <c r="E107" s="18" t="s">
        <v>70</v>
      </c>
      <c r="F107" s="18">
        <f>(Dane!G3907-Dane!G107)/Dane!G107</f>
        <v>0.49075797047512715</v>
      </c>
      <c r="G107" s="19">
        <f>AVERAGE(Dane!H107,Dane!H867,Dane!H1247,Dane!H2007,Dane!H2767,Dane!H3527)</f>
        <v>2.8333333333333335</v>
      </c>
    </row>
    <row r="108" spans="1:7" x14ac:dyDescent="0.3">
      <c r="A108" s="1" t="s">
        <v>222</v>
      </c>
      <c r="B108" s="1" t="s">
        <v>151</v>
      </c>
      <c r="C108" s="18">
        <f>(Dane!D3908-Dane!D108)/Dane!D108</f>
        <v>4.7713187765165817E-2</v>
      </c>
      <c r="D108" s="18">
        <f>(Dane!E3908-Dane!E108)/Dane!E108</f>
        <v>0.52961672473867594</v>
      </c>
      <c r="E108" s="18">
        <f>(Dane!F3908-Dane!F108)/Dane!F108</f>
        <v>1.2686567164179106</v>
      </c>
      <c r="F108" s="18">
        <f>(Dane!G3908-Dane!G108)/Dane!G108</f>
        <v>0.2521058278035529</v>
      </c>
      <c r="G108" s="19">
        <f>AVERAGE(Dane!H108,Dane!H868,Dane!H1248,Dane!H2008,Dane!H2768,Dane!H3528)</f>
        <v>40</v>
      </c>
    </row>
    <row r="109" spans="1:7" x14ac:dyDescent="0.3">
      <c r="A109" s="1" t="s">
        <v>223</v>
      </c>
      <c r="B109" s="1" t="s">
        <v>224</v>
      </c>
      <c r="C109" s="18">
        <f>(Dane!D3909-Dane!D109)/Dane!D109</f>
        <v>7.4003113399592868E-2</v>
      </c>
      <c r="D109" s="18">
        <f>(Dane!E3909-Dane!E109)/Dane!E109</f>
        <v>0.65540540540540537</v>
      </c>
      <c r="E109" s="18">
        <f>(Dane!F3909-Dane!F109)/Dane!F109</f>
        <v>1.3863636363636365</v>
      </c>
      <c r="F109" s="18">
        <f>(Dane!G3909-Dane!G109)/Dane!G109</f>
        <v>-1.5282988374296621E-2</v>
      </c>
      <c r="G109" s="19">
        <f>AVERAGE(Dane!H109,Dane!H869,Dane!H1249,Dane!H2009,Dane!H2769,Dane!H3529)</f>
        <v>14.5</v>
      </c>
    </row>
    <row r="110" spans="1:7" x14ac:dyDescent="0.3">
      <c r="A110" s="1" t="s">
        <v>225</v>
      </c>
      <c r="B110" s="1" t="s">
        <v>226</v>
      </c>
      <c r="C110" s="18">
        <f>(Dane!D3910-Dane!D110)/Dane!D110</f>
        <v>9.6325039945217988E-2</v>
      </c>
      <c r="D110" s="18">
        <f>(Dane!E3910-Dane!E110)/Dane!E110</f>
        <v>0.83529411764705885</v>
      </c>
      <c r="E110" s="18">
        <f>(Dane!F3910-Dane!F110)/Dane!F110</f>
        <v>3.9411764705882355</v>
      </c>
      <c r="F110" s="18">
        <f>(Dane!G3910-Dane!G110)/Dane!G110</f>
        <v>-0.19033378236069509</v>
      </c>
      <c r="G110" s="19">
        <f>AVERAGE(Dane!H110,Dane!H870,Dane!H1250,Dane!H2010,Dane!H2770,Dane!H3530)</f>
        <v>0.16666666666666666</v>
      </c>
    </row>
    <row r="111" spans="1:7" x14ac:dyDescent="0.3">
      <c r="A111" s="1" t="s">
        <v>227</v>
      </c>
      <c r="B111" s="1" t="s">
        <v>228</v>
      </c>
      <c r="C111" s="18">
        <f>(Dane!D3911-Dane!D111)/Dane!D111</f>
        <v>7.2187978322922272E-2</v>
      </c>
      <c r="D111" s="18">
        <f>(Dane!E3911-Dane!E111)/Dane!E111</f>
        <v>1.2222222222222223</v>
      </c>
      <c r="E111" s="18">
        <f>(Dane!F3911-Dane!F111)/Dane!F111</f>
        <v>1.2747252747252746</v>
      </c>
      <c r="F111" s="18">
        <f>(Dane!G3911-Dane!G111)/Dane!G111</f>
        <v>-0.1580729349215165</v>
      </c>
      <c r="G111" s="19">
        <f>AVERAGE(Dane!H111,Dane!H871,Dane!H1251,Dane!H2011,Dane!H2771,Dane!H3531)</f>
        <v>115.83333333333333</v>
      </c>
    </row>
    <row r="112" spans="1:7" x14ac:dyDescent="0.3">
      <c r="A112" s="1" t="s">
        <v>229</v>
      </c>
      <c r="B112" s="1" t="s">
        <v>230</v>
      </c>
      <c r="C112" s="18">
        <f>(Dane!D3912-Dane!D112)/Dane!D112</f>
        <v>0.11173776212881313</v>
      </c>
      <c r="D112" s="18">
        <f>(Dane!E3912-Dane!E112)/Dane!E112</f>
        <v>-8.6538461538461536E-2</v>
      </c>
      <c r="E112" s="18">
        <f>(Dane!F3912-Dane!F112)/Dane!F112</f>
        <v>0.2</v>
      </c>
      <c r="F112" s="18">
        <f>(Dane!G3912-Dane!G112)/Dane!G112</f>
        <v>-0.29035632637361269</v>
      </c>
      <c r="G112" s="19">
        <f>AVERAGE(Dane!H112,Dane!H872,Dane!H1252,Dane!H2012,Dane!H2772,Dane!H3532)</f>
        <v>374</v>
      </c>
    </row>
    <row r="113" spans="1:7" x14ac:dyDescent="0.3">
      <c r="A113" s="1" t="s">
        <v>231</v>
      </c>
      <c r="B113" s="1" t="s">
        <v>232</v>
      </c>
      <c r="C113" s="18">
        <f>(Dane!D3913-Dane!D113)/Dane!D113</f>
        <v>8.6254819331121668E-2</v>
      </c>
      <c r="D113" s="18">
        <f>(Dane!E3913-Dane!E113)/Dane!E113</f>
        <v>0.28440366972477066</v>
      </c>
      <c r="E113" s="18">
        <f>(Dane!F3913-Dane!F113)/Dane!F113</f>
        <v>1.2173913043478262</v>
      </c>
      <c r="F113" s="18">
        <f>(Dane!G3913-Dane!G113)/Dane!G113</f>
        <v>-0.20974071410047512</v>
      </c>
      <c r="G113" s="19">
        <f>AVERAGE(Dane!H113,Dane!H873,Dane!H1253,Dane!H2013,Dane!H2773,Dane!H3533)</f>
        <v>0.66666666666666663</v>
      </c>
    </row>
    <row r="114" spans="1:7" x14ac:dyDescent="0.3">
      <c r="A114" s="1" t="s">
        <v>233</v>
      </c>
      <c r="B114" s="1" t="s">
        <v>234</v>
      </c>
      <c r="C114" s="18">
        <f>(Dane!D3914-Dane!D114)/Dane!D114</f>
        <v>9.5128263311034578E-2</v>
      </c>
      <c r="D114" s="18">
        <f>(Dane!E3914-Dane!E114)/Dane!E114</f>
        <v>2.6264808362369338</v>
      </c>
      <c r="E114" s="18">
        <f>(Dane!F3914-Dane!F114)/Dane!F114</f>
        <v>0.82547070023270575</v>
      </c>
      <c r="F114" s="18">
        <f>(Dane!G3914-Dane!G114)/Dane!G114</f>
        <v>-2.5716094027766874E-2</v>
      </c>
      <c r="G114" s="19">
        <f>AVERAGE(Dane!H114,Dane!H874,Dane!H1254,Dane!H2014,Dane!H2774,Dane!H3534)</f>
        <v>478.66666666666669</v>
      </c>
    </row>
    <row r="115" spans="1:7" x14ac:dyDescent="0.3">
      <c r="A115" s="1" t="s">
        <v>235</v>
      </c>
      <c r="B115" s="1" t="s">
        <v>236</v>
      </c>
      <c r="C115" s="18">
        <f>(Dane!D3915-Dane!D115)/Dane!D115</f>
        <v>5.473358475969442E-2</v>
      </c>
      <c r="D115" s="18">
        <f>(Dane!E3915-Dane!E115)/Dane!E115</f>
        <v>1.9910714285714286</v>
      </c>
      <c r="E115" s="18">
        <f>(Dane!F3915-Dane!F115)/Dane!F115</f>
        <v>2.3333333333333335</v>
      </c>
      <c r="F115" s="18">
        <f>(Dane!G3915-Dane!G115)/Dane!G115</f>
        <v>0.26332011306917075</v>
      </c>
      <c r="G115" s="19">
        <f>AVERAGE(Dane!H115,Dane!H875,Dane!H1255,Dane!H2015,Dane!H2775,Dane!H3535)</f>
        <v>34.333333333333336</v>
      </c>
    </row>
    <row r="116" spans="1:7" x14ac:dyDescent="0.3">
      <c r="A116" s="1" t="s">
        <v>237</v>
      </c>
      <c r="B116" s="1" t="s">
        <v>238</v>
      </c>
      <c r="C116" s="18">
        <f>(Dane!D3916-Dane!D116)/Dane!D116</f>
        <v>7.3474214612576486E-2</v>
      </c>
      <c r="D116" s="18">
        <f>(Dane!E3916-Dane!E116)/Dane!E116</f>
        <v>-7.0422535211267609E-2</v>
      </c>
      <c r="E116" s="18">
        <f>(Dane!F3916-Dane!F116)/Dane!F116</f>
        <v>0.26630434782608697</v>
      </c>
      <c r="F116" s="18">
        <f>(Dane!G3916-Dane!G116)/Dane!G116</f>
        <v>0.29100940141679615</v>
      </c>
      <c r="G116" s="19">
        <f>AVERAGE(Dane!H116,Dane!H876,Dane!H1256,Dane!H2016,Dane!H2776,Dane!H3536)</f>
        <v>36.333333333333336</v>
      </c>
    </row>
    <row r="117" spans="1:7" x14ac:dyDescent="0.3">
      <c r="A117" s="1" t="s">
        <v>239</v>
      </c>
      <c r="B117" s="1" t="s">
        <v>240</v>
      </c>
      <c r="C117" s="18">
        <f>(Dane!D3917-Dane!D117)/Dane!D117</f>
        <v>0.13954931417374264</v>
      </c>
      <c r="D117" s="18">
        <f>(Dane!E3917-Dane!E117)/Dane!E117</f>
        <v>0.24537037037037038</v>
      </c>
      <c r="E117" s="18">
        <f>(Dane!F3917-Dane!F117)/Dane!F117</f>
        <v>1.0865384615384615</v>
      </c>
      <c r="F117" s="18">
        <f>(Dane!G3917-Dane!G117)/Dane!G117</f>
        <v>4.4500482088555959E-3</v>
      </c>
      <c r="G117" s="19">
        <f>AVERAGE(Dane!H117,Dane!H877,Dane!H1257,Dane!H2017,Dane!H2777,Dane!H3537)</f>
        <v>2.3333333333333335</v>
      </c>
    </row>
    <row r="118" spans="1:7" x14ac:dyDescent="0.3">
      <c r="A118" s="1" t="s">
        <v>241</v>
      </c>
      <c r="B118" s="1" t="s">
        <v>242</v>
      </c>
      <c r="C118" s="18">
        <f>(Dane!D3918-Dane!D118)/Dane!D118</f>
        <v>0.10928306412322453</v>
      </c>
      <c r="D118" s="18">
        <f>(Dane!E3918-Dane!E118)/Dane!E118</f>
        <v>0.59836065573770492</v>
      </c>
      <c r="E118" s="18">
        <f>(Dane!F3918-Dane!F118)/Dane!F118</f>
        <v>9</v>
      </c>
      <c r="F118" s="18">
        <f>(Dane!G3918-Dane!G118)/Dane!G118</f>
        <v>0.20153145319333948</v>
      </c>
      <c r="G118" s="19">
        <f>AVERAGE(Dane!H118,Dane!H878,Dane!H1258,Dane!H2018,Dane!H2778,Dane!H3538)</f>
        <v>6.833333333333333</v>
      </c>
    </row>
    <row r="119" spans="1:7" x14ac:dyDescent="0.3">
      <c r="A119" s="1" t="s">
        <v>243</v>
      </c>
      <c r="B119" s="1" t="s">
        <v>244</v>
      </c>
      <c r="C119" s="18">
        <f>(Dane!D3919-Dane!D119)/Dane!D119</f>
        <v>8.346930802288971E-2</v>
      </c>
      <c r="D119" s="18">
        <f>(Dane!E3919-Dane!E119)/Dane!E119</f>
        <v>0.16058394160583941</v>
      </c>
      <c r="E119" s="18">
        <f>(Dane!F3919-Dane!F119)/Dane!F119</f>
        <v>1.0584415584415585</v>
      </c>
      <c r="F119" s="18">
        <f>(Dane!G3919-Dane!G119)/Dane!G119</f>
        <v>5.7592893217275724E-2</v>
      </c>
      <c r="G119" s="19">
        <f>AVERAGE(Dane!H119,Dane!H879,Dane!H1259,Dane!H2019,Dane!H2779,Dane!H3539)</f>
        <v>103.16666666666667</v>
      </c>
    </row>
    <row r="120" spans="1:7" x14ac:dyDescent="0.3">
      <c r="A120" s="1" t="s">
        <v>245</v>
      </c>
      <c r="B120" s="1" t="s">
        <v>246</v>
      </c>
      <c r="C120" s="18">
        <f>(Dane!D3920-Dane!D120)/Dane!D120</f>
        <v>8.2583507950203375E-2</v>
      </c>
      <c r="D120" s="18">
        <f>(Dane!E3920-Dane!E120)/Dane!E120</f>
        <v>1.2422360248447204E-2</v>
      </c>
      <c r="E120" s="18">
        <f>(Dane!F3920-Dane!F120)/Dane!F120</f>
        <v>5</v>
      </c>
      <c r="F120" s="18">
        <f>(Dane!G3920-Dane!G120)/Dane!G120</f>
        <v>-0.3709651626964855</v>
      </c>
      <c r="G120" s="19">
        <f>AVERAGE(Dane!H120,Dane!H880,Dane!H1260,Dane!H2020,Dane!H2780,Dane!H3540)</f>
        <v>0.83333333333333337</v>
      </c>
    </row>
    <row r="121" spans="1:7" x14ac:dyDescent="0.3">
      <c r="A121" s="1" t="s">
        <v>247</v>
      </c>
      <c r="B121" s="1" t="s">
        <v>248</v>
      </c>
      <c r="C121" s="18">
        <f>(Dane!D3921-Dane!D121)/Dane!D121</f>
        <v>9.3537250346852521E-2</v>
      </c>
      <c r="D121" s="18">
        <f>(Dane!E3921-Dane!E121)/Dane!E121</f>
        <v>0.15120274914089346</v>
      </c>
      <c r="E121" s="18">
        <f>(Dane!F3921-Dane!F121)/Dane!F121</f>
        <v>0.33333333333333331</v>
      </c>
      <c r="F121" s="18">
        <f>(Dane!G3921-Dane!G121)/Dane!G121</f>
        <v>-0.12760345461750577</v>
      </c>
      <c r="G121" s="19">
        <f>AVERAGE(Dane!H121,Dane!H881,Dane!H1261,Dane!H2021,Dane!H2781,Dane!H3541)</f>
        <v>4</v>
      </c>
    </row>
    <row r="122" spans="1:7" x14ac:dyDescent="0.3">
      <c r="A122" s="1" t="s">
        <v>249</v>
      </c>
      <c r="B122" s="1" t="s">
        <v>250</v>
      </c>
      <c r="C122" s="18">
        <f>(Dane!D3922-Dane!D122)/Dane!D122</f>
        <v>0.27568018449007631</v>
      </c>
      <c r="D122" s="18">
        <f>(Dane!E3922-Dane!E122)/Dane!E122</f>
        <v>3.7692307692307692E-2</v>
      </c>
      <c r="E122" s="18">
        <f>(Dane!F3922-Dane!F122)/Dane!F122</f>
        <v>3.1717791411042944</v>
      </c>
      <c r="F122" s="18">
        <f>(Dane!G3922-Dane!G122)/Dane!G122</f>
        <v>0.38184127395798667</v>
      </c>
      <c r="G122" s="19">
        <f>AVERAGE(Dane!H122,Dane!H882,Dane!H1262,Dane!H2022,Dane!H2782,Dane!H3542)</f>
        <v>71.666666666666671</v>
      </c>
    </row>
    <row r="123" spans="1:7" x14ac:dyDescent="0.3">
      <c r="A123" s="1" t="s">
        <v>251</v>
      </c>
      <c r="B123" s="1" t="s">
        <v>252</v>
      </c>
      <c r="C123" s="18">
        <f>(Dane!D3923-Dane!D123)/Dane!D123</f>
        <v>0.1146112600536193</v>
      </c>
      <c r="D123" s="18">
        <f>(Dane!E3923-Dane!E123)/Dane!E123</f>
        <v>0.22916666666666666</v>
      </c>
      <c r="E123" s="18">
        <f>(Dane!F3923-Dane!F123)/Dane!F123</f>
        <v>1.2424242424242424</v>
      </c>
      <c r="F123" s="18">
        <f>(Dane!G3923-Dane!G123)/Dane!G123</f>
        <v>-7.0778986011068773E-2</v>
      </c>
      <c r="G123" s="19">
        <f>AVERAGE(Dane!H123,Dane!H883,Dane!H1263,Dane!H2023,Dane!H2783,Dane!H3543)</f>
        <v>7.166666666666667</v>
      </c>
    </row>
    <row r="124" spans="1:7" x14ac:dyDescent="0.3">
      <c r="A124" s="1" t="s">
        <v>253</v>
      </c>
      <c r="B124" s="1" t="s">
        <v>254</v>
      </c>
      <c r="C124" s="18">
        <f>(Dane!D3924-Dane!D124)/Dane!D124</f>
        <v>6.7468033704554828E-2</v>
      </c>
      <c r="D124" s="18">
        <f>(Dane!E3924-Dane!E124)/Dane!E124</f>
        <v>0.33</v>
      </c>
      <c r="E124" s="18">
        <f>(Dane!F3924-Dane!F124)/Dane!F124</f>
        <v>0.65</v>
      </c>
      <c r="F124" s="18">
        <f>(Dane!G3924-Dane!G124)/Dane!G124</f>
        <v>-0.27343276275457695</v>
      </c>
      <c r="G124" s="19">
        <f>AVERAGE(Dane!H124,Dane!H884,Dane!H1264,Dane!H2024,Dane!H2784,Dane!H3544)</f>
        <v>9.8333333333333339</v>
      </c>
    </row>
    <row r="125" spans="1:7" x14ac:dyDescent="0.3">
      <c r="A125" s="1" t="s">
        <v>255</v>
      </c>
      <c r="B125" s="1" t="s">
        <v>256</v>
      </c>
      <c r="C125" s="18">
        <f>(Dane!D3925-Dane!D125)/Dane!D125</f>
        <v>0.18739249826488427</v>
      </c>
      <c r="D125" s="18">
        <f>(Dane!E3925-Dane!E125)/Dane!E125</f>
        <v>0.60731707317073169</v>
      </c>
      <c r="E125" s="18">
        <f>(Dane!F3925-Dane!F125)/Dane!F125</f>
        <v>1.8148148148148149</v>
      </c>
      <c r="F125" s="18">
        <f>(Dane!G3925-Dane!G125)/Dane!G125</f>
        <v>-0.46057122703823922</v>
      </c>
      <c r="G125" s="19">
        <f>AVERAGE(Dane!H125,Dane!H885,Dane!H1265,Dane!H2025,Dane!H2785,Dane!H3545)</f>
        <v>2</v>
      </c>
    </row>
    <row r="126" spans="1:7" x14ac:dyDescent="0.3">
      <c r="A126" s="1" t="s">
        <v>257</v>
      </c>
      <c r="B126" s="1" t="s">
        <v>258</v>
      </c>
      <c r="C126" s="18">
        <f>(Dane!D3926-Dane!D126)/Dane!D126</f>
        <v>0.17444604316546763</v>
      </c>
      <c r="D126" s="18">
        <f>(Dane!E3926-Dane!E126)/Dane!E126</f>
        <v>0.51839999999999997</v>
      </c>
      <c r="E126" s="18">
        <f>(Dane!F3926-Dane!F126)/Dane!F126</f>
        <v>1.2608695652173914</v>
      </c>
      <c r="F126" s="18">
        <f>(Dane!G3926-Dane!G126)/Dane!G126</f>
        <v>-0.34363580061436227</v>
      </c>
      <c r="G126" s="19">
        <f>AVERAGE(Dane!H126,Dane!H886,Dane!H1266,Dane!H2026,Dane!H2786,Dane!H3546)</f>
        <v>12.833333333333334</v>
      </c>
    </row>
    <row r="127" spans="1:7" x14ac:dyDescent="0.3">
      <c r="A127" s="1" t="s">
        <v>259</v>
      </c>
      <c r="B127" s="1" t="s">
        <v>260</v>
      </c>
      <c r="C127" s="18">
        <f>(Dane!D3927-Dane!D127)/Dane!D127</f>
        <v>0.12845266306670292</v>
      </c>
      <c r="D127" s="18">
        <f>(Dane!E3927-Dane!E127)/Dane!E127</f>
        <v>0.70291262135922328</v>
      </c>
      <c r="E127" s="18">
        <f>(Dane!F3927-Dane!F127)/Dane!F127</f>
        <v>1.7818181818181817</v>
      </c>
      <c r="F127" s="18">
        <f>(Dane!G3927-Dane!G127)/Dane!G127</f>
        <v>-0.3467898965141612</v>
      </c>
      <c r="G127" s="19">
        <f>AVERAGE(Dane!H127,Dane!H887,Dane!H1267,Dane!H2027,Dane!H2787,Dane!H3547)</f>
        <v>3.3333333333333335</v>
      </c>
    </row>
    <row r="128" spans="1:7" x14ac:dyDescent="0.3">
      <c r="A128" s="1" t="s">
        <v>261</v>
      </c>
      <c r="B128" s="1" t="s">
        <v>262</v>
      </c>
      <c r="C128" s="18">
        <f>(Dane!D3928-Dane!D128)/Dane!D128</f>
        <v>7.1953010279001473E-2</v>
      </c>
      <c r="D128" s="18">
        <f>(Dane!E3928-Dane!E128)/Dane!E128</f>
        <v>0.78873239436619713</v>
      </c>
      <c r="E128" s="18">
        <f>(Dane!F3928-Dane!F128)/Dane!F128</f>
        <v>1.1258278145695364</v>
      </c>
      <c r="F128" s="18">
        <f>(Dane!G3928-Dane!G128)/Dane!G128</f>
        <v>-0.20891696105366067</v>
      </c>
      <c r="G128" s="19">
        <f>AVERAGE(Dane!H128,Dane!H888,Dane!H1268,Dane!H2028,Dane!H2788,Dane!H3548)</f>
        <v>44.333333333333336</v>
      </c>
    </row>
    <row r="129" spans="1:7" x14ac:dyDescent="0.3">
      <c r="A129" s="1" t="s">
        <v>263</v>
      </c>
      <c r="B129" s="1" t="s">
        <v>264</v>
      </c>
      <c r="C129" s="18">
        <f>(Dane!D3929-Dane!D129)/Dane!D129</f>
        <v>0.10713145502434353</v>
      </c>
      <c r="D129" s="18">
        <f>(Dane!E3929-Dane!E129)/Dane!E129</f>
        <v>0.34105263157894739</v>
      </c>
      <c r="E129" s="18">
        <f>(Dane!F3929-Dane!F129)/Dane!F129</f>
        <v>1.7128205128205127</v>
      </c>
      <c r="F129" s="18">
        <f>(Dane!G3929-Dane!G129)/Dane!G129</f>
        <v>-0.12600223058668231</v>
      </c>
      <c r="G129" s="19">
        <f>AVERAGE(Dane!H129,Dane!H889,Dane!H1269,Dane!H2029,Dane!H2789,Dane!H3549)</f>
        <v>29.166666666666668</v>
      </c>
    </row>
    <row r="130" spans="1:7" x14ac:dyDescent="0.3">
      <c r="A130" s="1" t="s">
        <v>265</v>
      </c>
      <c r="B130" s="1" t="s">
        <v>266</v>
      </c>
      <c r="C130" s="18">
        <f>(Dane!D3930-Dane!D130)/Dane!D130</f>
        <v>7.3491429913125142E-2</v>
      </c>
      <c r="D130" s="18">
        <f>(Dane!E3930-Dane!E130)/Dane!E130</f>
        <v>0.19047619047619047</v>
      </c>
      <c r="E130" s="18">
        <f>(Dane!F3930-Dane!F130)/Dane!F130</f>
        <v>1</v>
      </c>
      <c r="F130" s="18">
        <f>(Dane!G3930-Dane!G130)/Dane!G130</f>
        <v>0.11477648996991323</v>
      </c>
      <c r="G130" s="19">
        <f>AVERAGE(Dane!H130,Dane!H890,Dane!H1270,Dane!H2030,Dane!H2790,Dane!H3550)</f>
        <v>2.3333333333333335</v>
      </c>
    </row>
    <row r="131" spans="1:7" x14ac:dyDescent="0.3">
      <c r="A131" s="1" t="s">
        <v>267</v>
      </c>
      <c r="B131" s="1" t="s">
        <v>268</v>
      </c>
      <c r="C131" s="18">
        <f>(Dane!D3931-Dane!D131)/Dane!D131</f>
        <v>0.11505186764524991</v>
      </c>
      <c r="D131" s="18">
        <f>(Dane!E3931-Dane!E131)/Dane!E131</f>
        <v>0</v>
      </c>
      <c r="E131" s="18">
        <f>(Dane!F3931-Dane!F131)/Dane!F131</f>
        <v>-0.61764705882352944</v>
      </c>
      <c r="F131" s="18">
        <f>(Dane!G3931-Dane!G131)/Dane!G131</f>
        <v>0.41964750986376831</v>
      </c>
      <c r="G131" s="19">
        <f>AVERAGE(Dane!H131,Dane!H891,Dane!H1271,Dane!H2031,Dane!H2791,Dane!H3551)</f>
        <v>15.166666666666666</v>
      </c>
    </row>
    <row r="132" spans="1:7" x14ac:dyDescent="0.3">
      <c r="A132" s="1" t="s">
        <v>269</v>
      </c>
      <c r="B132" s="1" t="s">
        <v>270</v>
      </c>
      <c r="C132" s="18">
        <f>(Dane!D3932-Dane!D132)/Dane!D132</f>
        <v>0.12030750989654052</v>
      </c>
      <c r="D132" s="18">
        <f>(Dane!E3932-Dane!E132)/Dane!E132</f>
        <v>0.15816993464052287</v>
      </c>
      <c r="E132" s="18" t="s">
        <v>70</v>
      </c>
      <c r="F132" s="18">
        <f>(Dane!G3932-Dane!G132)/Dane!G132</f>
        <v>-0.14355277651011042</v>
      </c>
      <c r="G132" s="19">
        <f>AVERAGE(Dane!H132,Dane!H892,Dane!H1272,Dane!H2032,Dane!H2792,Dane!H3552)</f>
        <v>65.166666666666671</v>
      </c>
    </row>
    <row r="133" spans="1:7" x14ac:dyDescent="0.3">
      <c r="A133" s="1" t="s">
        <v>271</v>
      </c>
      <c r="B133" s="1" t="s">
        <v>272</v>
      </c>
      <c r="C133" s="18">
        <f>(Dane!D3933-Dane!D133)/Dane!D133</f>
        <v>0.11363066900526184</v>
      </c>
      <c r="D133" s="18">
        <f>(Dane!E3933-Dane!E133)/Dane!E133</f>
        <v>1.5572139303482586</v>
      </c>
      <c r="E133" s="18">
        <f>(Dane!F3933-Dane!F133)/Dane!F133</f>
        <v>10.210526315789474</v>
      </c>
      <c r="F133" s="18">
        <f>(Dane!G3933-Dane!G133)/Dane!G133</f>
        <v>-0.2068134643292677</v>
      </c>
      <c r="G133" s="19">
        <f>AVERAGE(Dane!H133,Dane!H893,Dane!H1273,Dane!H2033,Dane!H2793,Dane!H3553)</f>
        <v>12.5</v>
      </c>
    </row>
    <row r="134" spans="1:7" x14ac:dyDescent="0.3">
      <c r="A134" s="1" t="s">
        <v>273</v>
      </c>
      <c r="B134" s="1" t="s">
        <v>274</v>
      </c>
      <c r="C134" s="18">
        <f>(Dane!D3934-Dane!D134)/Dane!D134</f>
        <v>0.12696911027017513</v>
      </c>
      <c r="D134" s="18">
        <f>(Dane!E3934-Dane!E134)/Dane!E134</f>
        <v>0.54603854389721629</v>
      </c>
      <c r="E134" s="18">
        <f>(Dane!F3934-Dane!F134)/Dane!F134</f>
        <v>0.94444444444444442</v>
      </c>
      <c r="F134" s="18">
        <f>(Dane!G3934-Dane!G134)/Dane!G134</f>
        <v>0.24362202004473396</v>
      </c>
      <c r="G134" s="19">
        <f>AVERAGE(Dane!H134,Dane!H894,Dane!H1274,Dane!H2034,Dane!H2794,Dane!H3554)</f>
        <v>5</v>
      </c>
    </row>
    <row r="135" spans="1:7" x14ac:dyDescent="0.3">
      <c r="A135" s="1" t="s">
        <v>275</v>
      </c>
      <c r="B135" s="1" t="s">
        <v>276</v>
      </c>
      <c r="C135" s="18">
        <f>(Dane!D3935-Dane!D135)/Dane!D135</f>
        <v>0.39886347886347884</v>
      </c>
      <c r="D135" s="18">
        <f>(Dane!E3935-Dane!E135)/Dane!E135</f>
        <v>1.2033383915022762</v>
      </c>
      <c r="E135" s="18">
        <f>(Dane!F3935-Dane!F135)/Dane!F135</f>
        <v>3.5035714285714286</v>
      </c>
      <c r="F135" s="18">
        <f>(Dane!G3935-Dane!G135)/Dane!G135</f>
        <v>0.17483554507775961</v>
      </c>
      <c r="G135" s="19">
        <f>AVERAGE(Dane!H135,Dane!H895,Dane!H1275,Dane!H2035,Dane!H2795,Dane!H3555)</f>
        <v>0</v>
      </c>
    </row>
    <row r="136" spans="1:7" x14ac:dyDescent="0.3">
      <c r="A136" s="1" t="s">
        <v>277</v>
      </c>
      <c r="B136" s="1" t="s">
        <v>278</v>
      </c>
      <c r="C136" s="18">
        <f>(Dane!D3936-Dane!D136)/Dane!D136</f>
        <v>0.32282759934644673</v>
      </c>
      <c r="D136" s="18">
        <f>(Dane!E3936-Dane!E136)/Dane!E136</f>
        <v>0.37270266419717907</v>
      </c>
      <c r="E136" s="18">
        <f>(Dane!F3936-Dane!F136)/Dane!F136</f>
        <v>0.69447587696739022</v>
      </c>
      <c r="F136" s="18">
        <f>(Dane!G3936-Dane!G136)/Dane!G136</f>
        <v>3.1744491200741833E-2</v>
      </c>
      <c r="G136" s="19">
        <f>AVERAGE(Dane!H136,Dane!H896,Dane!H1276,Dane!H2036,Dane!H2796,Dane!H3556)</f>
        <v>223.16666666666666</v>
      </c>
    </row>
    <row r="137" spans="1:7" x14ac:dyDescent="0.3">
      <c r="A137" s="1" t="s">
        <v>279</v>
      </c>
      <c r="B137" s="1" t="s">
        <v>280</v>
      </c>
      <c r="C137" s="18">
        <f>(Dane!D3937-Dane!D137)/Dane!D137</f>
        <v>8.8179283139495343E-2</v>
      </c>
      <c r="D137" s="18">
        <f>(Dane!E3937-Dane!E137)/Dane!E137</f>
        <v>0.23255813953488372</v>
      </c>
      <c r="E137" s="18">
        <f>(Dane!F3937-Dane!F137)/Dane!F137</f>
        <v>0.91555555555555557</v>
      </c>
      <c r="F137" s="18">
        <f>(Dane!G3937-Dane!G137)/Dane!G137</f>
        <v>-0.29599598473507038</v>
      </c>
      <c r="G137" s="19">
        <f>AVERAGE(Dane!H137,Dane!H897,Dane!H1277,Dane!H2037,Dane!H2797,Dane!H3557)</f>
        <v>17.333333333333332</v>
      </c>
    </row>
    <row r="138" spans="1:7" x14ac:dyDescent="0.3">
      <c r="A138" s="1" t="s">
        <v>281</v>
      </c>
      <c r="B138" s="1" t="s">
        <v>282</v>
      </c>
      <c r="C138" s="18">
        <f>(Dane!D3938-Dane!D138)/Dane!D138</f>
        <v>7.4109608274441893E-2</v>
      </c>
      <c r="D138" s="18">
        <f>(Dane!E3938-Dane!E138)/Dane!E138</f>
        <v>0.29615384615384616</v>
      </c>
      <c r="E138" s="18">
        <f>(Dane!F3938-Dane!F138)/Dane!F138</f>
        <v>0.95205479452054798</v>
      </c>
      <c r="F138" s="18">
        <f>(Dane!G3938-Dane!G138)/Dane!G138</f>
        <v>0.51110085623037993</v>
      </c>
      <c r="G138" s="19">
        <f>AVERAGE(Dane!H138,Dane!H898,Dane!H1278,Dane!H2038,Dane!H2798,Dane!H3558)</f>
        <v>149.5</v>
      </c>
    </row>
    <row r="139" spans="1:7" x14ac:dyDescent="0.3">
      <c r="A139" s="1" t="s">
        <v>283</v>
      </c>
      <c r="B139" s="1" t="s">
        <v>284</v>
      </c>
      <c r="C139" s="18">
        <f>(Dane!D3939-Dane!D139)/Dane!D139</f>
        <v>3.3062845303867404E-2</v>
      </c>
      <c r="D139" s="18">
        <f>(Dane!E3939-Dane!E139)/Dane!E139</f>
        <v>0.91111111111111109</v>
      </c>
      <c r="E139" s="18">
        <f>(Dane!F3939-Dane!F139)/Dane!F139</f>
        <v>-0.25</v>
      </c>
      <c r="F139" s="18">
        <f>(Dane!G3939-Dane!G139)/Dane!G139</f>
        <v>-8.7174013996724857E-3</v>
      </c>
      <c r="G139" s="19">
        <f>AVERAGE(Dane!H139,Dane!H899,Dane!H1279,Dane!H2039,Dane!H2799,Dane!H3559)</f>
        <v>5.833333333333333</v>
      </c>
    </row>
    <row r="140" spans="1:7" x14ac:dyDescent="0.3">
      <c r="A140" s="1" t="s">
        <v>285</v>
      </c>
      <c r="B140" s="1" t="s">
        <v>286</v>
      </c>
      <c r="C140" s="18">
        <f>(Dane!D3940-Dane!D140)/Dane!D140</f>
        <v>0.11906719731605434</v>
      </c>
      <c r="D140" s="18">
        <f>(Dane!E3940-Dane!E140)/Dane!E140</f>
        <v>0.66550522648083621</v>
      </c>
      <c r="E140" s="18">
        <f>(Dane!F3940-Dane!F140)/Dane!F140</f>
        <v>1.7128205128205127</v>
      </c>
      <c r="F140" s="18">
        <f>(Dane!G3940-Dane!G140)/Dane!G140</f>
        <v>1.4814896405873088E-2</v>
      </c>
      <c r="G140" s="19">
        <f>AVERAGE(Dane!H140,Dane!H900,Dane!H1280,Dane!H2040,Dane!H2800,Dane!H3560)</f>
        <v>47.166666666666664</v>
      </c>
    </row>
    <row r="141" spans="1:7" x14ac:dyDescent="0.3">
      <c r="A141" s="1" t="s">
        <v>287</v>
      </c>
      <c r="B141" s="1" t="s">
        <v>288</v>
      </c>
      <c r="C141" s="18">
        <f>(Dane!D3941-Dane!D141)/Dane!D141</f>
        <v>0.10378863999054318</v>
      </c>
      <c r="D141" s="18">
        <f>(Dane!E3941-Dane!E141)/Dane!E141</f>
        <v>0.63239074550128538</v>
      </c>
      <c r="E141" s="18">
        <f>(Dane!F3941-Dane!F141)/Dane!F141</f>
        <v>35.636363636363633</v>
      </c>
      <c r="F141" s="18">
        <f>(Dane!G3941-Dane!G141)/Dane!G141</f>
        <v>0.31449995603917119</v>
      </c>
      <c r="G141" s="19">
        <f>AVERAGE(Dane!H141,Dane!H901,Dane!H1281,Dane!H2041,Dane!H2801,Dane!H3561)</f>
        <v>12.5</v>
      </c>
    </row>
    <row r="142" spans="1:7" x14ac:dyDescent="0.3">
      <c r="A142" s="1" t="s">
        <v>289</v>
      </c>
      <c r="B142" s="1" t="s">
        <v>290</v>
      </c>
      <c r="C142" s="18">
        <f>(Dane!D3942-Dane!D142)/Dane!D142</f>
        <v>2.9359989940902803E-2</v>
      </c>
      <c r="D142" s="18">
        <f>(Dane!E3942-Dane!E142)/Dane!E142</f>
        <v>0.40540540540540543</v>
      </c>
      <c r="E142" s="18">
        <f>(Dane!F3942-Dane!F142)/Dane!F142</f>
        <v>1.6176470588235294</v>
      </c>
      <c r="F142" s="18">
        <f>(Dane!G3942-Dane!G142)/Dane!G142</f>
        <v>0.14526171089136727</v>
      </c>
      <c r="G142" s="19">
        <f>AVERAGE(Dane!H142,Dane!H902,Dane!H1282,Dane!H2042,Dane!H2802,Dane!H3562)</f>
        <v>6</v>
      </c>
    </row>
    <row r="143" spans="1:7" x14ac:dyDescent="0.3">
      <c r="A143" s="1" t="s">
        <v>291</v>
      </c>
      <c r="B143" s="1" t="s">
        <v>292</v>
      </c>
      <c r="C143" s="18">
        <f>(Dane!D3943-Dane!D143)/Dane!D143</f>
        <v>0.2951809046742509</v>
      </c>
      <c r="D143" s="18">
        <f>(Dane!E3943-Dane!E143)/Dane!E143</f>
        <v>1.1805309734513274</v>
      </c>
      <c r="E143" s="18">
        <f>(Dane!F3943-Dane!F143)/Dane!F143</f>
        <v>44.166666666666664</v>
      </c>
      <c r="F143" s="18">
        <f>(Dane!G3943-Dane!G143)/Dane!G143</f>
        <v>-0.21176386506575187</v>
      </c>
      <c r="G143" s="19">
        <f>AVERAGE(Dane!H143,Dane!H903,Dane!H1283,Dane!H2043,Dane!H2803,Dane!H3563)</f>
        <v>31.833333333333332</v>
      </c>
    </row>
    <row r="144" spans="1:7" x14ac:dyDescent="0.3">
      <c r="A144" s="1" t="s">
        <v>293</v>
      </c>
      <c r="B144" s="1" t="s">
        <v>294</v>
      </c>
      <c r="C144" s="18">
        <f>(Dane!D3944-Dane!D144)/Dane!D144</f>
        <v>9.9144382006607745E-2</v>
      </c>
      <c r="D144" s="18">
        <f>(Dane!E3944-Dane!E144)/Dane!E144</f>
        <v>0.361323155216285</v>
      </c>
      <c r="E144" s="18" t="s">
        <v>70</v>
      </c>
      <c r="F144" s="18">
        <f>(Dane!G3944-Dane!G144)/Dane!G144</f>
        <v>0.18507800463567278</v>
      </c>
      <c r="G144" s="19">
        <f>AVERAGE(Dane!H144,Dane!H904,Dane!H1284,Dane!H2044,Dane!H2804,Dane!H3564)</f>
        <v>36</v>
      </c>
    </row>
    <row r="145" spans="1:7" x14ac:dyDescent="0.3">
      <c r="A145" s="1" t="s">
        <v>295</v>
      </c>
      <c r="B145" s="1" t="s">
        <v>296</v>
      </c>
      <c r="C145" s="18">
        <f>(Dane!D3945-Dane!D145)/Dane!D145</f>
        <v>4.1273802921057499E-2</v>
      </c>
      <c r="D145" s="18">
        <f>(Dane!E3945-Dane!E145)/Dane!E145</f>
        <v>-0.22268907563025211</v>
      </c>
      <c r="E145" s="18">
        <f>(Dane!F3945-Dane!F145)/Dane!F145</f>
        <v>0.48484848484848486</v>
      </c>
      <c r="F145" s="18">
        <f>(Dane!G3945-Dane!G145)/Dane!G145</f>
        <v>-0.33312586434868147</v>
      </c>
      <c r="G145" s="19">
        <f>AVERAGE(Dane!H145,Dane!H905,Dane!H1285,Dane!H2045,Dane!H2805,Dane!H3565)</f>
        <v>10.833333333333334</v>
      </c>
    </row>
    <row r="146" spans="1:7" x14ac:dyDescent="0.3">
      <c r="A146" s="1" t="s">
        <v>297</v>
      </c>
      <c r="B146" s="1" t="s">
        <v>298</v>
      </c>
      <c r="C146" s="18">
        <f>(Dane!D3946-Dane!D146)/Dane!D146</f>
        <v>0.32231740199002601</v>
      </c>
      <c r="D146" s="18">
        <f>(Dane!E3946-Dane!E146)/Dane!E146</f>
        <v>0.55639097744360899</v>
      </c>
      <c r="E146" s="18">
        <f>(Dane!F3946-Dane!F146)/Dane!F146</f>
        <v>3.2074074074074073</v>
      </c>
      <c r="F146" s="18">
        <f>(Dane!G3946-Dane!G146)/Dane!G146</f>
        <v>0.78905027380496184</v>
      </c>
      <c r="G146" s="19">
        <f>AVERAGE(Dane!H146,Dane!H906,Dane!H1286,Dane!H2046,Dane!H2806,Dane!H3566)</f>
        <v>43.166666666666664</v>
      </c>
    </row>
    <row r="147" spans="1:7" x14ac:dyDescent="0.3">
      <c r="A147" s="1" t="s">
        <v>299</v>
      </c>
      <c r="B147" s="1" t="s">
        <v>300</v>
      </c>
      <c r="C147" s="18">
        <f>(Dane!D3947-Dane!D147)/Dane!D147</f>
        <v>-4.2138268583664727E-2</v>
      </c>
      <c r="D147" s="18">
        <f>(Dane!E3947-Dane!E147)/Dane!E147</f>
        <v>0.25423728813559321</v>
      </c>
      <c r="E147" s="18" t="s">
        <v>70</v>
      </c>
      <c r="F147" s="18">
        <f>(Dane!G3947-Dane!G147)/Dane!G147</f>
        <v>-0.30106336306850229</v>
      </c>
      <c r="G147" s="19">
        <f>AVERAGE(Dane!H147,Dane!H907,Dane!H1287,Dane!H2047,Dane!H2807,Dane!H3567)</f>
        <v>4.833333333333333</v>
      </c>
    </row>
    <row r="148" spans="1:7" x14ac:dyDescent="0.3">
      <c r="A148" s="1" t="s">
        <v>301</v>
      </c>
      <c r="B148" s="1" t="s">
        <v>302</v>
      </c>
      <c r="C148" s="18">
        <f>(Dane!D3948-Dane!D148)/Dane!D148</f>
        <v>2.493589176761871E-2</v>
      </c>
      <c r="D148" s="18">
        <f>(Dane!E3948-Dane!E148)/Dane!E148</f>
        <v>1.0714285714285714</v>
      </c>
      <c r="E148" s="18">
        <f>(Dane!F3948-Dane!F148)/Dane!F148</f>
        <v>0.72727272727272729</v>
      </c>
      <c r="F148" s="18">
        <f>(Dane!G3948-Dane!G148)/Dane!G148</f>
        <v>-0.43671649585050581</v>
      </c>
      <c r="G148" s="19">
        <f>AVERAGE(Dane!H148,Dane!H908,Dane!H1288,Dane!H2048,Dane!H2808,Dane!H3568)</f>
        <v>3.8333333333333335</v>
      </c>
    </row>
    <row r="149" spans="1:7" x14ac:dyDescent="0.3">
      <c r="A149" s="1" t="s">
        <v>303</v>
      </c>
      <c r="B149" s="1" t="s">
        <v>304</v>
      </c>
      <c r="C149" s="18">
        <f>(Dane!D3949-Dane!D149)/Dane!D149</f>
        <v>4.6670690002011669E-2</v>
      </c>
      <c r="D149" s="18">
        <f>(Dane!E3949-Dane!E149)/Dane!E149</f>
        <v>-0.2814814814814815</v>
      </c>
      <c r="E149" s="18" t="s">
        <v>70</v>
      </c>
      <c r="F149" s="18">
        <f>(Dane!G3949-Dane!G149)/Dane!G149</f>
        <v>0.2594102989674546</v>
      </c>
      <c r="G149" s="19">
        <f>AVERAGE(Dane!H149,Dane!H909,Dane!H1289,Dane!H2049,Dane!H2809,Dane!H3569)</f>
        <v>24.5</v>
      </c>
    </row>
    <row r="150" spans="1:7" x14ac:dyDescent="0.3">
      <c r="A150" s="1" t="s">
        <v>305</v>
      </c>
      <c r="B150" s="1" t="s">
        <v>306</v>
      </c>
      <c r="C150" s="18">
        <f>(Dane!D3950-Dane!D150)/Dane!D150</f>
        <v>0.17745830291458414</v>
      </c>
      <c r="D150" s="18">
        <f>(Dane!E3950-Dane!E150)/Dane!E150</f>
        <v>1.0341340075853349</v>
      </c>
      <c r="E150" s="18">
        <f>(Dane!F3950-Dane!F150)/Dane!F150</f>
        <v>2.0369565217391306</v>
      </c>
      <c r="F150" s="18">
        <f>(Dane!G3950-Dane!G150)/Dane!G150</f>
        <v>0.18556002813709455</v>
      </c>
      <c r="G150" s="19">
        <f>AVERAGE(Dane!H150,Dane!H910,Dane!H1290,Dane!H2050,Dane!H2810,Dane!H3570)</f>
        <v>74.833333333333329</v>
      </c>
    </row>
    <row r="151" spans="1:7" x14ac:dyDescent="0.3">
      <c r="A151" s="1" t="s">
        <v>307</v>
      </c>
      <c r="B151" s="1" t="s">
        <v>308</v>
      </c>
      <c r="C151" s="18">
        <f>(Dane!D3951-Dane!D151)/Dane!D151</f>
        <v>0.13214051214707814</v>
      </c>
      <c r="D151" s="18">
        <f>(Dane!E3951-Dane!E151)/Dane!E151</f>
        <v>0.69125683060109289</v>
      </c>
      <c r="E151" s="18">
        <f>(Dane!F3951-Dane!F151)/Dane!F151</f>
        <v>1.1300448430493273</v>
      </c>
      <c r="F151" s="18">
        <f>(Dane!G3951-Dane!G151)/Dane!G151</f>
        <v>0.14185935277835368</v>
      </c>
      <c r="G151" s="19">
        <f>AVERAGE(Dane!H151,Dane!H911,Dane!H1291,Dane!H2051,Dane!H2811,Dane!H3571)</f>
        <v>10.166666666666666</v>
      </c>
    </row>
    <row r="152" spans="1:7" x14ac:dyDescent="0.3">
      <c r="A152" s="1" t="s">
        <v>309</v>
      </c>
      <c r="B152" s="1" t="s">
        <v>310</v>
      </c>
      <c r="C152" s="18">
        <f>(Dane!D3952-Dane!D152)/Dane!D152</f>
        <v>0.18625964961754027</v>
      </c>
      <c r="D152" s="18">
        <f>(Dane!E3952-Dane!E152)/Dane!E152</f>
        <v>0.04</v>
      </c>
      <c r="E152" s="18">
        <f>(Dane!F3952-Dane!F152)/Dane!F152</f>
        <v>0.66549295774647887</v>
      </c>
      <c r="F152" s="18">
        <f>(Dane!G3952-Dane!G152)/Dane!G152</f>
        <v>-0.18955164632958282</v>
      </c>
      <c r="G152" s="19">
        <f>AVERAGE(Dane!H152,Dane!H912,Dane!H1292,Dane!H2052,Dane!H2812,Dane!H3572)</f>
        <v>96.5</v>
      </c>
    </row>
    <row r="153" spans="1:7" x14ac:dyDescent="0.3">
      <c r="A153" s="1" t="s">
        <v>311</v>
      </c>
      <c r="B153" s="1" t="s">
        <v>312</v>
      </c>
      <c r="C153" s="18">
        <f>(Dane!D3953-Dane!D153)/Dane!D153</f>
        <v>9.5855140975856831E-2</v>
      </c>
      <c r="D153" s="18">
        <f>(Dane!E3953-Dane!E153)/Dane!E153</f>
        <v>0.26446280991735538</v>
      </c>
      <c r="E153" s="18">
        <f>(Dane!F3953-Dane!F153)/Dane!F153</f>
        <v>2.6666666666666665</v>
      </c>
      <c r="F153" s="18">
        <f>(Dane!G3953-Dane!G153)/Dane!G153</f>
        <v>-0.78479498065511444</v>
      </c>
      <c r="G153" s="19">
        <f>AVERAGE(Dane!H153,Dane!H913,Dane!H1293,Dane!H2053,Dane!H2813,Dane!H3573)</f>
        <v>4.166666666666667</v>
      </c>
    </row>
    <row r="154" spans="1:7" x14ac:dyDescent="0.3">
      <c r="A154" s="1" t="s">
        <v>313</v>
      </c>
      <c r="B154" s="1" t="s">
        <v>314</v>
      </c>
      <c r="C154" s="18">
        <f>(Dane!D3954-Dane!D154)/Dane!D154</f>
        <v>4.6940624227950256E-2</v>
      </c>
      <c r="D154" s="18">
        <f>(Dane!E3954-Dane!E154)/Dane!E154</f>
        <v>1.9292929292929293</v>
      </c>
      <c r="E154" s="18">
        <f>(Dane!F3954-Dane!F154)/Dane!F154</f>
        <v>1.3478260869565217</v>
      </c>
      <c r="F154" s="18">
        <f>(Dane!G3954-Dane!G154)/Dane!G154</f>
        <v>-0.10706338343405127</v>
      </c>
      <c r="G154" s="19">
        <f>AVERAGE(Dane!H154,Dane!H914,Dane!H1294,Dane!H2054,Dane!H2814,Dane!H3574)</f>
        <v>10.666666666666666</v>
      </c>
    </row>
    <row r="155" spans="1:7" x14ac:dyDescent="0.3">
      <c r="A155" s="1" t="s">
        <v>315</v>
      </c>
      <c r="B155" s="1" t="s">
        <v>316</v>
      </c>
      <c r="C155" s="18">
        <f>(Dane!D3955-Dane!D155)/Dane!D155</f>
        <v>0.11403044341495698</v>
      </c>
      <c r="D155" s="18">
        <f>(Dane!E3955-Dane!E155)/Dane!E155</f>
        <v>0.19090909090909092</v>
      </c>
      <c r="E155" s="18">
        <f>(Dane!F3955-Dane!F155)/Dane!F155</f>
        <v>1.2625698324022345</v>
      </c>
      <c r="F155" s="18">
        <f>(Dane!G3955-Dane!G155)/Dane!G155</f>
        <v>-2.7676812908661051E-2</v>
      </c>
      <c r="G155" s="19">
        <f>AVERAGE(Dane!H155,Dane!H915,Dane!H1295,Dane!H2055,Dane!H2815,Dane!H3575)</f>
        <v>113.66666666666667</v>
      </c>
    </row>
    <row r="156" spans="1:7" x14ac:dyDescent="0.3">
      <c r="A156" s="1" t="s">
        <v>317</v>
      </c>
      <c r="B156" s="1" t="s">
        <v>318</v>
      </c>
      <c r="C156" s="18">
        <f>(Dane!D3956-Dane!D156)/Dane!D156</f>
        <v>0.35083790914925478</v>
      </c>
      <c r="D156" s="18">
        <f>(Dane!E3956-Dane!E156)/Dane!E156</f>
        <v>1.6870415647921759</v>
      </c>
      <c r="E156" s="18">
        <f>(Dane!F3956-Dane!F156)/Dane!F156</f>
        <v>1.1406844106463878</v>
      </c>
      <c r="F156" s="18">
        <f>(Dane!G3956-Dane!G156)/Dane!G156</f>
        <v>0.43529557083320469</v>
      </c>
      <c r="G156" s="19">
        <f>AVERAGE(Dane!H156,Dane!H916,Dane!H1296,Dane!H2056,Dane!H2816,Dane!H3576)</f>
        <v>38.5</v>
      </c>
    </row>
    <row r="157" spans="1:7" x14ac:dyDescent="0.3">
      <c r="A157" s="1" t="s">
        <v>319</v>
      </c>
      <c r="B157" s="1" t="s">
        <v>320</v>
      </c>
      <c r="C157" s="18">
        <f>(Dane!D3957-Dane!D157)/Dane!D157</f>
        <v>8.4320888651281595E-2</v>
      </c>
      <c r="D157" s="18">
        <f>(Dane!E3957-Dane!E157)/Dane!E157</f>
        <v>-7.5999999999999998E-2</v>
      </c>
      <c r="E157" s="18">
        <f>(Dane!F3957-Dane!F157)/Dane!F157</f>
        <v>0.82857142857142863</v>
      </c>
      <c r="F157" s="18">
        <f>(Dane!G3957-Dane!G157)/Dane!G157</f>
        <v>-0.38165364478604147</v>
      </c>
      <c r="G157" s="19">
        <f>AVERAGE(Dane!H157,Dane!H917,Dane!H1297,Dane!H2057,Dane!H2817,Dane!H3577)</f>
        <v>9.1666666666666661</v>
      </c>
    </row>
    <row r="158" spans="1:7" x14ac:dyDescent="0.3">
      <c r="A158" s="1" t="s">
        <v>321</v>
      </c>
      <c r="B158" s="1" t="s">
        <v>322</v>
      </c>
      <c r="C158" s="18">
        <f>(Dane!D3958-Dane!D158)/Dane!D158</f>
        <v>0.10028205389608183</v>
      </c>
      <c r="D158" s="18">
        <f>(Dane!E3958-Dane!E158)/Dane!E158</f>
        <v>0.84923076923076923</v>
      </c>
      <c r="E158" s="18">
        <f>(Dane!F3958-Dane!F158)/Dane!F158</f>
        <v>0.9916666666666667</v>
      </c>
      <c r="F158" s="18">
        <f>(Dane!G3958-Dane!G158)/Dane!G158</f>
        <v>-0.30573460935552887</v>
      </c>
      <c r="G158" s="19">
        <f>AVERAGE(Dane!H158,Dane!H918,Dane!H1298,Dane!H2058,Dane!H2818,Dane!H3578)</f>
        <v>60</v>
      </c>
    </row>
    <row r="159" spans="1:7" x14ac:dyDescent="0.3">
      <c r="A159" s="1" t="s">
        <v>323</v>
      </c>
      <c r="B159" s="1" t="s">
        <v>324</v>
      </c>
      <c r="C159" s="18">
        <f>(Dane!D3959-Dane!D159)/Dane!D159</f>
        <v>0.3122685185185185</v>
      </c>
      <c r="D159" s="18">
        <f>(Dane!E3959-Dane!E159)/Dane!E159</f>
        <v>4.5161290322580649</v>
      </c>
      <c r="E159" s="18">
        <f>(Dane!F3959-Dane!F159)/Dane!F159</f>
        <v>3</v>
      </c>
      <c r="F159" s="18">
        <f>(Dane!G3959-Dane!G159)/Dane!G159</f>
        <v>-9.3147021730844909E-2</v>
      </c>
      <c r="G159" s="19">
        <f>AVERAGE(Dane!H159,Dane!H919,Dane!H1299,Dane!H2059,Dane!H2819,Dane!H3579)</f>
        <v>127.83333333333333</v>
      </c>
    </row>
    <row r="160" spans="1:7" x14ac:dyDescent="0.3">
      <c r="A160" s="1" t="s">
        <v>325</v>
      </c>
      <c r="B160" s="1" t="s">
        <v>326</v>
      </c>
      <c r="C160" s="18">
        <f>(Dane!D3960-Dane!D160)/Dane!D160</f>
        <v>8.75995449374289E-2</v>
      </c>
      <c r="D160" s="18">
        <f>(Dane!E3960-Dane!E160)/Dane!E160</f>
        <v>0.62222222222222223</v>
      </c>
      <c r="E160" s="18">
        <f>(Dane!F3960-Dane!F160)/Dane!F160</f>
        <v>1.3780487804878048</v>
      </c>
      <c r="F160" s="18">
        <f>(Dane!G3960-Dane!G160)/Dane!G160</f>
        <v>-0.14345720148461671</v>
      </c>
      <c r="G160" s="19">
        <f>AVERAGE(Dane!H160,Dane!H920,Dane!H1300,Dane!H2060,Dane!H2820,Dane!H3580)</f>
        <v>4.833333333333333</v>
      </c>
    </row>
    <row r="161" spans="1:7" x14ac:dyDescent="0.3">
      <c r="A161" s="1" t="s">
        <v>327</v>
      </c>
      <c r="B161" s="1" t="s">
        <v>328</v>
      </c>
      <c r="C161" s="18">
        <f>(Dane!D3961-Dane!D161)/Dane!D161</f>
        <v>-8.942697943179473E-4</v>
      </c>
      <c r="D161" s="18">
        <f>(Dane!E3961-Dane!E161)/Dane!E161</f>
        <v>1.3076923076923077</v>
      </c>
      <c r="E161" s="18">
        <f>(Dane!F3961-Dane!F161)/Dane!F161</f>
        <v>1</v>
      </c>
      <c r="F161" s="18">
        <f>(Dane!G3961-Dane!G161)/Dane!G161</f>
        <v>-0.28553188902174576</v>
      </c>
      <c r="G161" s="19">
        <f>AVERAGE(Dane!H161,Dane!H921,Dane!H1301,Dane!H2061,Dane!H2821,Dane!H3581)</f>
        <v>7.5</v>
      </c>
    </row>
    <row r="162" spans="1:7" x14ac:dyDescent="0.3">
      <c r="A162" s="1" t="s">
        <v>329</v>
      </c>
      <c r="B162" s="1" t="s">
        <v>330</v>
      </c>
      <c r="C162" s="18">
        <f>(Dane!D3962-Dane!D162)/Dane!D162</f>
        <v>7.1508255243194999E-2</v>
      </c>
      <c r="D162" s="18">
        <f>(Dane!E3962-Dane!E162)/Dane!E162</f>
        <v>3.9603960396039604E-2</v>
      </c>
      <c r="E162" s="18">
        <f>(Dane!F3962-Dane!F162)/Dane!F162</f>
        <v>0.73913043478260865</v>
      </c>
      <c r="F162" s="18">
        <f>(Dane!G3962-Dane!G162)/Dane!G162</f>
        <v>0.26773020231946926</v>
      </c>
      <c r="G162" s="19">
        <f>AVERAGE(Dane!H162,Dane!H922,Dane!H1302,Dane!H2062,Dane!H2822,Dane!H3582)</f>
        <v>10.666666666666666</v>
      </c>
    </row>
    <row r="163" spans="1:7" x14ac:dyDescent="0.3">
      <c r="A163" s="1" t="s">
        <v>331</v>
      </c>
      <c r="B163" s="1" t="s">
        <v>332</v>
      </c>
      <c r="C163" s="18">
        <f>(Dane!D3963-Dane!D163)/Dane!D163</f>
        <v>0.11262914627514954</v>
      </c>
      <c r="D163" s="18">
        <f>(Dane!E3963-Dane!E163)/Dane!E163</f>
        <v>6.9230769230769235E-2</v>
      </c>
      <c r="E163" s="18">
        <f>(Dane!F3963-Dane!F163)/Dane!F163</f>
        <v>1.2333333333333334</v>
      </c>
      <c r="F163" s="18">
        <f>(Dane!G3963-Dane!G163)/Dane!G163</f>
        <v>8.0318555809948594E-2</v>
      </c>
      <c r="G163" s="19">
        <f>AVERAGE(Dane!H163,Dane!H923,Dane!H1303,Dane!H2063,Dane!H2823,Dane!H3583)</f>
        <v>7.833333333333333</v>
      </c>
    </row>
    <row r="164" spans="1:7" x14ac:dyDescent="0.3">
      <c r="A164" s="1" t="s">
        <v>333</v>
      </c>
      <c r="B164" s="1" t="s">
        <v>334</v>
      </c>
      <c r="C164" s="18">
        <f>(Dane!D3964-Dane!D164)/Dane!D164</f>
        <v>7.3811655701327514E-2</v>
      </c>
      <c r="D164" s="18">
        <f>(Dane!E3964-Dane!E164)/Dane!E164</f>
        <v>0.80349344978165937</v>
      </c>
      <c r="E164" s="18">
        <f>(Dane!F3964-Dane!F164)/Dane!F164</f>
        <v>1.125</v>
      </c>
      <c r="F164" s="18">
        <f>(Dane!G3964-Dane!G164)/Dane!G164</f>
        <v>-0.7561895233544379</v>
      </c>
      <c r="G164" s="19">
        <f>AVERAGE(Dane!H164,Dane!H924,Dane!H1304,Dane!H2064,Dane!H2824,Dane!H3584)</f>
        <v>4.833333333333333</v>
      </c>
    </row>
    <row r="165" spans="1:7" x14ac:dyDescent="0.3">
      <c r="A165" s="1" t="s">
        <v>335</v>
      </c>
      <c r="B165" s="1" t="s">
        <v>336</v>
      </c>
      <c r="C165" s="18">
        <f>(Dane!D3965-Dane!D165)/Dane!D165</f>
        <v>6.9143134165555689E-2</v>
      </c>
      <c r="D165" s="18">
        <f>(Dane!E3965-Dane!E165)/Dane!E165</f>
        <v>-9.0277777777777776E-2</v>
      </c>
      <c r="E165" s="18">
        <f>(Dane!F3965-Dane!F165)/Dane!F165</f>
        <v>0.94444444444444442</v>
      </c>
      <c r="F165" s="18">
        <f>(Dane!G3965-Dane!G165)/Dane!G165</f>
        <v>-0.15006455022164206</v>
      </c>
      <c r="G165" s="19">
        <f>AVERAGE(Dane!H165,Dane!H925,Dane!H1305,Dane!H2065,Dane!H2825,Dane!H3585)</f>
        <v>11.833333333333334</v>
      </c>
    </row>
    <row r="166" spans="1:7" x14ac:dyDescent="0.3">
      <c r="A166" s="1" t="s">
        <v>337</v>
      </c>
      <c r="B166" s="1" t="s">
        <v>338</v>
      </c>
      <c r="C166" s="18">
        <f>(Dane!D3966-Dane!D166)/Dane!D166</f>
        <v>7.989851949676792E-2</v>
      </c>
      <c r="D166" s="18">
        <f>(Dane!E3966-Dane!E166)/Dane!E166</f>
        <v>0.93925233644859818</v>
      </c>
      <c r="E166" s="18">
        <f>(Dane!F3966-Dane!F166)/Dane!F166</f>
        <v>2.7236842105263159</v>
      </c>
      <c r="F166" s="18">
        <f>(Dane!G3966-Dane!G166)/Dane!G166</f>
        <v>-0.10132283238996258</v>
      </c>
      <c r="G166" s="19">
        <f>AVERAGE(Dane!H166,Dane!H926,Dane!H1306,Dane!H2066,Dane!H2826,Dane!H3586)</f>
        <v>4.333333333333333</v>
      </c>
    </row>
    <row r="167" spans="1:7" x14ac:dyDescent="0.3">
      <c r="A167" s="1" t="s">
        <v>339</v>
      </c>
      <c r="B167" s="1" t="s">
        <v>340</v>
      </c>
      <c r="C167" s="18">
        <f>(Dane!D3967-Dane!D167)/Dane!D167</f>
        <v>7.0860027179188503E-3</v>
      </c>
      <c r="D167" s="18">
        <f>(Dane!E3967-Dane!E167)/Dane!E167</f>
        <v>1.0980392156862746</v>
      </c>
      <c r="E167" s="18">
        <f>(Dane!F3967-Dane!F167)/Dane!F167</f>
        <v>1.1818181818181819</v>
      </c>
      <c r="F167" s="18">
        <f>(Dane!G3967-Dane!G167)/Dane!G167</f>
        <v>-0.23597813291723757</v>
      </c>
      <c r="G167" s="19">
        <f>AVERAGE(Dane!H167,Dane!H927,Dane!H1307,Dane!H2067,Dane!H2827,Dane!H3587)</f>
        <v>20.833333333333332</v>
      </c>
    </row>
    <row r="168" spans="1:7" x14ac:dyDescent="0.3">
      <c r="A168" s="1" t="s">
        <v>341</v>
      </c>
      <c r="B168" s="1" t="s">
        <v>342</v>
      </c>
      <c r="C168" s="18">
        <f>(Dane!D3968-Dane!D168)/Dane!D168</f>
        <v>3.4889130097689562E-2</v>
      </c>
      <c r="D168" s="18">
        <f>(Dane!E3968-Dane!E168)/Dane!E168</f>
        <v>-0.38194444444444442</v>
      </c>
      <c r="E168" s="18">
        <f>(Dane!F3968-Dane!F168)/Dane!F168</f>
        <v>2</v>
      </c>
      <c r="F168" s="18">
        <f>(Dane!G3968-Dane!G168)/Dane!G168</f>
        <v>-0.64551148854157259</v>
      </c>
      <c r="G168" s="19">
        <f>AVERAGE(Dane!H168,Dane!H928,Dane!H1308,Dane!H2068,Dane!H2828,Dane!H3588)</f>
        <v>9.1666666666666661</v>
      </c>
    </row>
    <row r="169" spans="1:7" x14ac:dyDescent="0.3">
      <c r="A169" s="1" t="s">
        <v>343</v>
      </c>
      <c r="B169" s="1" t="s">
        <v>344</v>
      </c>
      <c r="C169" s="18">
        <f>(Dane!D3969-Dane!D169)/Dane!D169</f>
        <v>0.28713609154506337</v>
      </c>
      <c r="D169" s="18">
        <f>(Dane!E3969-Dane!E169)/Dane!E169</f>
        <v>0.46645021645021645</v>
      </c>
      <c r="E169" s="18">
        <f>(Dane!F3969-Dane!F169)/Dane!F169</f>
        <v>1.1407563025210083</v>
      </c>
      <c r="F169" s="18">
        <f>(Dane!G3969-Dane!G169)/Dane!G169</f>
        <v>-0.43059295437241174</v>
      </c>
      <c r="G169" s="19">
        <f>AVERAGE(Dane!H169,Dane!H929,Dane!H1309,Dane!H2069,Dane!H2829,Dane!H3589)</f>
        <v>36.666666666666664</v>
      </c>
    </row>
    <row r="170" spans="1:7" x14ac:dyDescent="0.3">
      <c r="A170" s="1" t="s">
        <v>345</v>
      </c>
      <c r="B170" s="1" t="s">
        <v>346</v>
      </c>
      <c r="C170" s="18">
        <f>(Dane!D3970-Dane!D170)/Dane!D170</f>
        <v>3.3409232043055265E-2</v>
      </c>
      <c r="D170" s="18">
        <f>(Dane!E3970-Dane!E170)/Dane!E170</f>
        <v>0.59459459459459463</v>
      </c>
      <c r="E170" s="18">
        <f>(Dane!F3970-Dane!F170)/Dane!F170</f>
        <v>4.1818181818181817</v>
      </c>
      <c r="F170" s="18">
        <f>(Dane!G3970-Dane!G170)/Dane!G170</f>
        <v>0.10714312676704955</v>
      </c>
      <c r="G170" s="19">
        <f>AVERAGE(Dane!H170,Dane!H930,Dane!H1310,Dane!H2070,Dane!H2830,Dane!H3590)</f>
        <v>45.5</v>
      </c>
    </row>
    <row r="171" spans="1:7" x14ac:dyDescent="0.3">
      <c r="A171" s="1" t="s">
        <v>347</v>
      </c>
      <c r="B171" s="1" t="s">
        <v>348</v>
      </c>
      <c r="C171" s="18">
        <f>(Dane!D3971-Dane!D171)/Dane!D171</f>
        <v>0.34796930708417301</v>
      </c>
      <c r="D171" s="18">
        <f>(Dane!E3971-Dane!E171)/Dane!E171</f>
        <v>0.42335362479247374</v>
      </c>
      <c r="E171" s="18">
        <f>(Dane!F3971-Dane!F171)/Dane!F171</f>
        <v>0.82702020202020199</v>
      </c>
      <c r="F171" s="18">
        <f>(Dane!G3971-Dane!G171)/Dane!G171</f>
        <v>4.145672190549634E-2</v>
      </c>
      <c r="G171" s="19">
        <f>AVERAGE(Dane!H171,Dane!H931,Dane!H1311,Dane!H2071,Dane!H2831,Dane!H3591)</f>
        <v>106</v>
      </c>
    </row>
    <row r="172" spans="1:7" x14ac:dyDescent="0.3">
      <c r="A172" s="1" t="s">
        <v>349</v>
      </c>
      <c r="B172" s="1" t="s">
        <v>350</v>
      </c>
      <c r="C172" s="18">
        <f>(Dane!D3972-Dane!D172)/Dane!D172</f>
        <v>0.15311387900355872</v>
      </c>
      <c r="D172" s="18">
        <f>(Dane!E3972-Dane!E172)/Dane!E172</f>
        <v>1.3506944444444444</v>
      </c>
      <c r="E172" s="18">
        <f>(Dane!F3972-Dane!F172)/Dane!F172</f>
        <v>2.5714285714285716</v>
      </c>
      <c r="F172" s="18">
        <f>(Dane!G3972-Dane!G172)/Dane!G172</f>
        <v>0.16393847892497043</v>
      </c>
      <c r="G172" s="19">
        <f>AVERAGE(Dane!H172,Dane!H932,Dane!H1312,Dane!H2072,Dane!H2832,Dane!H3592)</f>
        <v>14.5</v>
      </c>
    </row>
    <row r="173" spans="1:7" x14ac:dyDescent="0.3">
      <c r="A173" s="1" t="s">
        <v>351</v>
      </c>
      <c r="B173" s="1" t="s">
        <v>352</v>
      </c>
      <c r="C173" s="18">
        <f>(Dane!D3973-Dane!D173)/Dane!D173</f>
        <v>4.5840973495582596E-3</v>
      </c>
      <c r="D173" s="18">
        <f>(Dane!E3973-Dane!E173)/Dane!E173</f>
        <v>-0.33587786259541985</v>
      </c>
      <c r="E173" s="18">
        <f>(Dane!F3973-Dane!F173)/Dane!F173</f>
        <v>0</v>
      </c>
      <c r="F173" s="18">
        <f>(Dane!G3973-Dane!G173)/Dane!G173</f>
        <v>0.57678256314106102</v>
      </c>
      <c r="G173" s="19">
        <f>AVERAGE(Dane!H173,Dane!H933,Dane!H1313,Dane!H2073,Dane!H2833,Dane!H3593)</f>
        <v>1.8333333333333333</v>
      </c>
    </row>
    <row r="174" spans="1:7" x14ac:dyDescent="0.3">
      <c r="A174" s="1" t="s">
        <v>353</v>
      </c>
      <c r="B174" s="1" t="s">
        <v>354</v>
      </c>
      <c r="C174" s="18">
        <f>(Dane!D3974-Dane!D174)/Dane!D174</f>
        <v>4.3086003372681279E-2</v>
      </c>
      <c r="D174" s="18">
        <f>(Dane!E3974-Dane!E174)/Dane!E174</f>
        <v>3.274193548387097</v>
      </c>
      <c r="E174" s="18">
        <f>(Dane!F3974-Dane!F174)/Dane!F174</f>
        <v>14.466666666666667</v>
      </c>
      <c r="F174" s="18">
        <f>(Dane!G3974-Dane!G174)/Dane!G174</f>
        <v>-0.4834493066463092</v>
      </c>
      <c r="G174" s="19">
        <f>AVERAGE(Dane!H174,Dane!H934,Dane!H1314,Dane!H2074,Dane!H2834,Dane!H3594)</f>
        <v>0.66666666666666663</v>
      </c>
    </row>
    <row r="175" spans="1:7" x14ac:dyDescent="0.3">
      <c r="A175" s="1" t="s">
        <v>355</v>
      </c>
      <c r="B175" s="1" t="s">
        <v>356</v>
      </c>
      <c r="C175" s="18">
        <f>(Dane!D3975-Dane!D175)/Dane!D175</f>
        <v>0.13125877398221805</v>
      </c>
      <c r="D175" s="18">
        <f>(Dane!E3975-Dane!E175)/Dane!E175</f>
        <v>1.3682864450127876</v>
      </c>
      <c r="E175" s="18">
        <f>(Dane!F3975-Dane!F175)/Dane!F175</f>
        <v>0.35454545454545455</v>
      </c>
      <c r="F175" s="18">
        <f>(Dane!G3975-Dane!G175)/Dane!G175</f>
        <v>5.3700672565834232E-2</v>
      </c>
      <c r="G175" s="19">
        <f>AVERAGE(Dane!H175,Dane!H935,Dane!H1315,Dane!H2075,Dane!H2835,Dane!H3595)</f>
        <v>69</v>
      </c>
    </row>
    <row r="176" spans="1:7" x14ac:dyDescent="0.3">
      <c r="A176" s="1" t="s">
        <v>357</v>
      </c>
      <c r="B176" s="1" t="s">
        <v>358</v>
      </c>
      <c r="C176" s="18">
        <f>(Dane!D3976-Dane!D176)/Dane!D176</f>
        <v>0.11311177602051721</v>
      </c>
      <c r="D176" s="18">
        <f>(Dane!E3976-Dane!E176)/Dane!E176</f>
        <v>3.875968992248062E-3</v>
      </c>
      <c r="E176" s="18">
        <f>(Dane!F3976-Dane!F176)/Dane!F176</f>
        <v>1.0717488789237668</v>
      </c>
      <c r="F176" s="18">
        <f>(Dane!G3976-Dane!G176)/Dane!G176</f>
        <v>-0.42860515073861588</v>
      </c>
      <c r="G176" s="19">
        <f>AVERAGE(Dane!H176,Dane!H936,Dane!H1316,Dane!H2076,Dane!H2836,Dane!H3596)</f>
        <v>37</v>
      </c>
    </row>
    <row r="177" spans="1:7" x14ac:dyDescent="0.3">
      <c r="A177" s="1" t="s">
        <v>359</v>
      </c>
      <c r="B177" s="1" t="s">
        <v>360</v>
      </c>
      <c r="C177" s="18">
        <f>(Dane!D3977-Dane!D177)/Dane!D177</f>
        <v>9.6981192993784812E-2</v>
      </c>
      <c r="D177" s="18">
        <f>(Dane!E3977-Dane!E177)/Dane!E177</f>
        <v>0.98860398860398857</v>
      </c>
      <c r="E177" s="18">
        <f>(Dane!F3977-Dane!F177)/Dane!F177</f>
        <v>1.3126252505010021</v>
      </c>
      <c r="F177" s="18">
        <f>(Dane!G3977-Dane!G177)/Dane!G177</f>
        <v>-8.5067576184386068E-2</v>
      </c>
      <c r="G177" s="19">
        <f>AVERAGE(Dane!H177,Dane!H937,Dane!H1317,Dane!H2077,Dane!H2837,Dane!H3597)</f>
        <v>13.333333333333334</v>
      </c>
    </row>
    <row r="178" spans="1:7" x14ac:dyDescent="0.3">
      <c r="A178" s="1" t="s">
        <v>361</v>
      </c>
      <c r="B178" s="1" t="s">
        <v>362</v>
      </c>
      <c r="C178" s="18">
        <f>(Dane!D3978-Dane!D178)/Dane!D178</f>
        <v>9.3337081810514477E-2</v>
      </c>
      <c r="D178" s="18">
        <f>(Dane!E3978-Dane!E178)/Dane!E178</f>
        <v>0.76543209876543206</v>
      </c>
      <c r="E178" s="18">
        <f>(Dane!F3978-Dane!F178)/Dane!F178</f>
        <v>2.5563549160671464</v>
      </c>
      <c r="F178" s="18">
        <f>(Dane!G3978-Dane!G178)/Dane!G178</f>
        <v>-0.37108263577535511</v>
      </c>
      <c r="G178" s="19">
        <f>AVERAGE(Dane!H178,Dane!H938,Dane!H1318,Dane!H2078,Dane!H2838,Dane!H3598)</f>
        <v>32.666666666666664</v>
      </c>
    </row>
    <row r="179" spans="1:7" x14ac:dyDescent="0.3">
      <c r="A179" s="1" t="s">
        <v>363</v>
      </c>
      <c r="B179" s="1" t="s">
        <v>364</v>
      </c>
      <c r="C179" s="18">
        <f>(Dane!D3979-Dane!D179)/Dane!D179</f>
        <v>0.17260550100786787</v>
      </c>
      <c r="D179" s="18">
        <f>(Dane!E3979-Dane!E179)/Dane!E179</f>
        <v>-0.57999999999999996</v>
      </c>
      <c r="E179" s="18">
        <f>(Dane!F3979-Dane!F179)/Dane!F179</f>
        <v>0.12754158964879853</v>
      </c>
      <c r="F179" s="18">
        <f>(Dane!G3979-Dane!G179)/Dane!G179</f>
        <v>0.76901236777953863</v>
      </c>
      <c r="G179" s="19">
        <f>AVERAGE(Dane!H179,Dane!H939,Dane!H1319,Dane!H2079,Dane!H2839,Dane!H3599)</f>
        <v>32.833333333333336</v>
      </c>
    </row>
    <row r="180" spans="1:7" x14ac:dyDescent="0.3">
      <c r="A180" s="1" t="s">
        <v>365</v>
      </c>
      <c r="B180" s="1" t="s">
        <v>366</v>
      </c>
      <c r="C180" s="18">
        <f>(Dane!D3980-Dane!D180)/Dane!D180</f>
        <v>0.21698274099750053</v>
      </c>
      <c r="D180" s="18">
        <f>(Dane!E3980-Dane!E180)/Dane!E180</f>
        <v>0.22577696526508226</v>
      </c>
      <c r="E180" s="18">
        <f>(Dane!F3980-Dane!F180)/Dane!F180</f>
        <v>0.82003552946628566</v>
      </c>
      <c r="F180" s="18">
        <f>(Dane!G3980-Dane!G180)/Dane!G180</f>
        <v>-0.14620155491012124</v>
      </c>
      <c r="G180" s="19">
        <f>AVERAGE(Dane!H180,Dane!H940,Dane!H1320,Dane!H2080,Dane!H2840,Dane!H3600)</f>
        <v>2858</v>
      </c>
    </row>
    <row r="181" spans="1:7" x14ac:dyDescent="0.3">
      <c r="A181" s="1" t="s">
        <v>367</v>
      </c>
      <c r="B181" s="1" t="s">
        <v>242</v>
      </c>
      <c r="C181" s="18">
        <f>(Dane!D3981-Dane!D181)/Dane!D181</f>
        <v>8.1087855621005137E-2</v>
      </c>
      <c r="D181" s="18">
        <f>(Dane!E3981-Dane!E181)/Dane!E181</f>
        <v>1.56</v>
      </c>
      <c r="E181" s="18">
        <f>(Dane!F3981-Dane!F181)/Dane!F181</f>
        <v>1.1653543307086613</v>
      </c>
      <c r="F181" s="18">
        <f>(Dane!G3981-Dane!G181)/Dane!G181</f>
        <v>0.13482503946861221</v>
      </c>
      <c r="G181" s="19">
        <f>AVERAGE(Dane!H181,Dane!H941,Dane!H1321,Dane!H2081,Dane!H2841,Dane!H3601)</f>
        <v>31</v>
      </c>
    </row>
    <row r="182" spans="1:7" x14ac:dyDescent="0.3">
      <c r="A182" s="1" t="s">
        <v>368</v>
      </c>
      <c r="B182" s="1" t="s">
        <v>369</v>
      </c>
      <c r="C182" s="18">
        <f>(Dane!D3982-Dane!D182)/Dane!D182</f>
        <v>-3.8648474556420916E-3</v>
      </c>
      <c r="D182" s="18">
        <f>(Dane!E3982-Dane!E182)/Dane!E182</f>
        <v>0.65789473684210531</v>
      </c>
      <c r="E182" s="18">
        <f>(Dane!F3982-Dane!F182)/Dane!F182</f>
        <v>0.56862745098039214</v>
      </c>
      <c r="F182" s="18">
        <f>(Dane!G3982-Dane!G182)/Dane!G182</f>
        <v>-0.49678510295972139</v>
      </c>
      <c r="G182" s="19">
        <f>AVERAGE(Dane!H182,Dane!H942,Dane!H1322,Dane!H2082,Dane!H2842,Dane!H3602)</f>
        <v>6.166666666666667</v>
      </c>
    </row>
    <row r="183" spans="1:7" x14ac:dyDescent="0.3">
      <c r="A183" s="1" t="s">
        <v>370</v>
      </c>
      <c r="B183" s="1" t="s">
        <v>371</v>
      </c>
      <c r="C183" s="18">
        <f>(Dane!D3983-Dane!D183)/Dane!D183</f>
        <v>1.2377341659232828E-2</v>
      </c>
      <c r="D183" s="18">
        <f>(Dane!E3983-Dane!E183)/Dane!E183</f>
        <v>3.3898305084745763E-2</v>
      </c>
      <c r="E183" s="18">
        <f>(Dane!F3983-Dane!F183)/Dane!F183</f>
        <v>-0.28378378378378377</v>
      </c>
      <c r="F183" s="18">
        <f>(Dane!G3983-Dane!G183)/Dane!G183</f>
        <v>-0.24936266650931271</v>
      </c>
      <c r="G183" s="19">
        <f>AVERAGE(Dane!H183,Dane!H943,Dane!H1323,Dane!H2083,Dane!H2843,Dane!H3603)</f>
        <v>56.166666666666664</v>
      </c>
    </row>
    <row r="184" spans="1:7" x14ac:dyDescent="0.3">
      <c r="A184" s="1" t="s">
        <v>372</v>
      </c>
      <c r="B184" s="1" t="s">
        <v>373</v>
      </c>
      <c r="C184" s="18">
        <f>(Dane!D3984-Dane!D184)/Dane!D184</f>
        <v>3.6773165766882027E-2</v>
      </c>
      <c r="D184" s="18">
        <f>(Dane!E3984-Dane!E184)/Dane!E184</f>
        <v>0.61627906976744184</v>
      </c>
      <c r="E184" s="18">
        <f>(Dane!F3984-Dane!F184)/Dane!F184</f>
        <v>0.41258741258741261</v>
      </c>
      <c r="F184" s="18">
        <f>(Dane!G3984-Dane!G184)/Dane!G184</f>
        <v>9.2799397449506396E-2</v>
      </c>
      <c r="G184" s="19">
        <f>AVERAGE(Dane!H184,Dane!H944,Dane!H1324,Dane!H2084,Dane!H2844,Dane!H3604)</f>
        <v>12.333333333333334</v>
      </c>
    </row>
    <row r="185" spans="1:7" x14ac:dyDescent="0.3">
      <c r="A185" s="1" t="s">
        <v>374</v>
      </c>
      <c r="B185" s="1" t="s">
        <v>375</v>
      </c>
      <c r="C185" s="18">
        <f>(Dane!D3985-Dane!D185)/Dane!D185</f>
        <v>4.1262715506948759E-2</v>
      </c>
      <c r="D185" s="18">
        <f>(Dane!E3985-Dane!E185)/Dane!E185</f>
        <v>3.96</v>
      </c>
      <c r="E185" s="18">
        <f>(Dane!F3985-Dane!F185)/Dane!F185</f>
        <v>0.88188976377952755</v>
      </c>
      <c r="F185" s="18">
        <f>(Dane!G3985-Dane!G185)/Dane!G185</f>
        <v>-0.24362548979170964</v>
      </c>
      <c r="G185" s="19">
        <f>AVERAGE(Dane!H185,Dane!H945,Dane!H1325,Dane!H2085,Dane!H2845,Dane!H3605)</f>
        <v>18.666666666666668</v>
      </c>
    </row>
    <row r="186" spans="1:7" x14ac:dyDescent="0.3">
      <c r="A186" s="1" t="s">
        <v>376</v>
      </c>
      <c r="B186" s="1" t="s">
        <v>377</v>
      </c>
      <c r="C186" s="18">
        <f>(Dane!D3986-Dane!D186)/Dane!D186</f>
        <v>0.14517564883927961</v>
      </c>
      <c r="D186" s="18">
        <f>(Dane!E3986-Dane!E186)/Dane!E186</f>
        <v>0.71304347826086956</v>
      </c>
      <c r="E186" s="18">
        <f>(Dane!F3986-Dane!F186)/Dane!F186</f>
        <v>1.0103092783505154</v>
      </c>
      <c r="F186" s="18">
        <f>(Dane!G3986-Dane!G186)/Dane!G186</f>
        <v>0.57608294210223354</v>
      </c>
      <c r="G186" s="19">
        <f>AVERAGE(Dane!H186,Dane!H946,Dane!H1326,Dane!H2086,Dane!H2846,Dane!H3606)</f>
        <v>0.66666666666666663</v>
      </c>
    </row>
    <row r="187" spans="1:7" x14ac:dyDescent="0.3">
      <c r="A187" s="1" t="s">
        <v>378</v>
      </c>
      <c r="B187" s="1" t="s">
        <v>379</v>
      </c>
      <c r="C187" s="18">
        <f>(Dane!D3987-Dane!D187)/Dane!D187</f>
        <v>3.7726472719743241E-2</v>
      </c>
      <c r="D187" s="18">
        <f>(Dane!E3987-Dane!E187)/Dane!E187</f>
        <v>0.58362989323843417</v>
      </c>
      <c r="E187" s="18">
        <f>(Dane!F3987-Dane!F187)/Dane!F187</f>
        <v>1.482394366197183</v>
      </c>
      <c r="F187" s="18">
        <f>(Dane!G3987-Dane!G187)/Dane!G187</f>
        <v>-0.26296743346470708</v>
      </c>
      <c r="G187" s="19">
        <f>AVERAGE(Dane!H187,Dane!H947,Dane!H1327,Dane!H2087,Dane!H2847,Dane!H3607)</f>
        <v>65.666666666666671</v>
      </c>
    </row>
    <row r="188" spans="1:7" x14ac:dyDescent="0.3">
      <c r="A188" s="1" t="s">
        <v>380</v>
      </c>
      <c r="B188" s="1" t="s">
        <v>381</v>
      </c>
      <c r="C188" s="18">
        <f>(Dane!D3988-Dane!D188)/Dane!D188</f>
        <v>3.7173281703775408E-2</v>
      </c>
      <c r="D188" s="18">
        <f>(Dane!E3988-Dane!E188)/Dane!E188</f>
        <v>0.93693693693693691</v>
      </c>
      <c r="E188" s="18">
        <f>(Dane!F3988-Dane!F188)/Dane!F188</f>
        <v>0.21568627450980393</v>
      </c>
      <c r="F188" s="18">
        <f>(Dane!G3988-Dane!G188)/Dane!G188</f>
        <v>-0.29123079209944441</v>
      </c>
      <c r="G188" s="19">
        <f>AVERAGE(Dane!H188,Dane!H948,Dane!H1328,Dane!H2088,Dane!H2848,Dane!H3608)</f>
        <v>5.333333333333333</v>
      </c>
    </row>
    <row r="189" spans="1:7" x14ac:dyDescent="0.3">
      <c r="A189" s="1" t="s">
        <v>382</v>
      </c>
      <c r="B189" s="1" t="s">
        <v>140</v>
      </c>
      <c r="C189" s="18">
        <f>(Dane!D3989-Dane!D189)/Dane!D189</f>
        <v>-1.9341892120596697E-3</v>
      </c>
      <c r="D189" s="18">
        <f>(Dane!E3989-Dane!E189)/Dane!E189</f>
        <v>5.2054794520547946E-2</v>
      </c>
      <c r="E189" s="18">
        <f>(Dane!F3989-Dane!F189)/Dane!F189</f>
        <v>0.7857142857142857</v>
      </c>
      <c r="F189" s="18">
        <f>(Dane!G3989-Dane!G189)/Dane!G189</f>
        <v>-0.30485225320455633</v>
      </c>
      <c r="G189" s="19">
        <f>AVERAGE(Dane!H189,Dane!H949,Dane!H1329,Dane!H2089,Dane!H2849,Dane!H3609)</f>
        <v>10.666666666666666</v>
      </c>
    </row>
    <row r="190" spans="1:7" x14ac:dyDescent="0.3">
      <c r="A190" s="1" t="s">
        <v>383</v>
      </c>
      <c r="B190" s="1" t="s">
        <v>384</v>
      </c>
      <c r="C190" s="18">
        <f>(Dane!D3990-Dane!D190)/Dane!D190</f>
        <v>3.3688382462224425E-3</v>
      </c>
      <c r="D190" s="18">
        <f>(Dane!E3990-Dane!E190)/Dane!E190</f>
        <v>0.90196078431372551</v>
      </c>
      <c r="E190" s="18">
        <f>(Dane!F3990-Dane!F190)/Dane!F190</f>
        <v>0.67</v>
      </c>
      <c r="F190" s="18">
        <f>(Dane!G3990-Dane!G190)/Dane!G190</f>
        <v>-0.23156641457860833</v>
      </c>
      <c r="G190" s="19">
        <f>AVERAGE(Dane!H190,Dane!H950,Dane!H1330,Dane!H2090,Dane!H2850,Dane!H3610)</f>
        <v>54.166666666666664</v>
      </c>
    </row>
    <row r="191" spans="1:7" x14ac:dyDescent="0.3">
      <c r="A191" s="1" t="s">
        <v>385</v>
      </c>
      <c r="B191" s="1" t="s">
        <v>386</v>
      </c>
      <c r="C191" s="18">
        <f>(Dane!D3991-Dane!D191)/Dane!D191</f>
        <v>1.4783439225945766E-2</v>
      </c>
      <c r="D191" s="18">
        <f>(Dane!E3991-Dane!E191)/Dane!E191</f>
        <v>1.1388888888888888</v>
      </c>
      <c r="E191" s="18">
        <f>(Dane!F3991-Dane!F191)/Dane!F191</f>
        <v>0.75268817204301075</v>
      </c>
      <c r="F191" s="18">
        <f>(Dane!G3991-Dane!G191)/Dane!G191</f>
        <v>-0.23837857681194083</v>
      </c>
      <c r="G191" s="19">
        <f>AVERAGE(Dane!H191,Dane!H951,Dane!H1331,Dane!H2091,Dane!H2851,Dane!H3611)</f>
        <v>37.833333333333336</v>
      </c>
    </row>
    <row r="192" spans="1:7" x14ac:dyDescent="0.3">
      <c r="A192" s="1" t="s">
        <v>387</v>
      </c>
      <c r="B192" s="1" t="s">
        <v>388</v>
      </c>
      <c r="C192" s="18">
        <f>(Dane!D3992-Dane!D192)/Dane!D192</f>
        <v>0.20396856581532416</v>
      </c>
      <c r="D192" s="18">
        <f>(Dane!E3992-Dane!E192)/Dane!E192</f>
        <v>1.3571428571428572</v>
      </c>
      <c r="E192" s="18">
        <f>(Dane!F3992-Dane!F192)/Dane!F192</f>
        <v>0.73139974779319039</v>
      </c>
      <c r="F192" s="18">
        <f>(Dane!G3992-Dane!G192)/Dane!G192</f>
        <v>0.29590026755215271</v>
      </c>
      <c r="G192" s="19">
        <f>AVERAGE(Dane!H192,Dane!H952,Dane!H1332,Dane!H2092,Dane!H2852,Dane!H3612)</f>
        <v>41.833333333333336</v>
      </c>
    </row>
    <row r="193" spans="1:7" x14ac:dyDescent="0.3">
      <c r="A193" s="1" t="s">
        <v>389</v>
      </c>
      <c r="B193" s="1" t="s">
        <v>390</v>
      </c>
      <c r="C193" s="18">
        <f>(Dane!D3993-Dane!D193)/Dane!D193</f>
        <v>0.1276022165643253</v>
      </c>
      <c r="D193" s="18">
        <f>(Dane!E3993-Dane!E193)/Dane!E193</f>
        <v>1.411764705882353</v>
      </c>
      <c r="E193" s="18">
        <f>(Dane!F3993-Dane!F193)/Dane!F193</f>
        <v>1.5588235294117647</v>
      </c>
      <c r="F193" s="18">
        <f>(Dane!G3993-Dane!G193)/Dane!G193</f>
        <v>-0.36802706545455777</v>
      </c>
      <c r="G193" s="19">
        <f>AVERAGE(Dane!H193,Dane!H953,Dane!H1333,Dane!H2093,Dane!H2853,Dane!H3613)</f>
        <v>17</v>
      </c>
    </row>
    <row r="194" spans="1:7" x14ac:dyDescent="0.3">
      <c r="A194" s="1" t="s">
        <v>391</v>
      </c>
      <c r="B194" s="1" t="s">
        <v>392</v>
      </c>
      <c r="C194" s="18">
        <f>(Dane!D3994-Dane!D194)/Dane!D194</f>
        <v>6.9095547052625744E-2</v>
      </c>
      <c r="D194" s="18">
        <f>(Dane!E3994-Dane!E194)/Dane!E194</f>
        <v>8.0745341614906832E-2</v>
      </c>
      <c r="E194" s="18">
        <f>(Dane!F3994-Dane!F194)/Dane!F194</f>
        <v>3.6666666666666665</v>
      </c>
      <c r="F194" s="18">
        <f>(Dane!G3994-Dane!G194)/Dane!G194</f>
        <v>-9.5243277805364152E-2</v>
      </c>
      <c r="G194" s="19">
        <f>AVERAGE(Dane!H194,Dane!H954,Dane!H1334,Dane!H2094,Dane!H2854,Dane!H3614)</f>
        <v>6</v>
      </c>
    </row>
    <row r="195" spans="1:7" x14ac:dyDescent="0.3">
      <c r="A195" s="1" t="s">
        <v>393</v>
      </c>
      <c r="B195" s="1" t="s">
        <v>394</v>
      </c>
      <c r="C195" s="18">
        <f>(Dane!D3995-Dane!D195)/Dane!D195</f>
        <v>0.13718598441501825</v>
      </c>
      <c r="D195" s="18">
        <f>(Dane!E3995-Dane!E195)/Dane!E195</f>
        <v>0.13903743315508021</v>
      </c>
      <c r="E195" s="18">
        <f>(Dane!F3995-Dane!F195)/Dane!F195</f>
        <v>2.1368421052631579</v>
      </c>
      <c r="F195" s="18">
        <f>(Dane!G3995-Dane!G195)/Dane!G195</f>
        <v>-0.32539392534814293</v>
      </c>
      <c r="G195" s="19">
        <f>AVERAGE(Dane!H195,Dane!H955,Dane!H1335,Dane!H2095,Dane!H2855,Dane!H3615)</f>
        <v>23.5</v>
      </c>
    </row>
    <row r="196" spans="1:7" x14ac:dyDescent="0.3">
      <c r="A196" s="1" t="s">
        <v>395</v>
      </c>
      <c r="B196" s="1" t="s">
        <v>396</v>
      </c>
      <c r="C196" s="18">
        <f>(Dane!D3996-Dane!D196)/Dane!D196</f>
        <v>7.4984934140672074E-2</v>
      </c>
      <c r="D196" s="18">
        <f>(Dane!E3996-Dane!E196)/Dane!E196</f>
        <v>0.41326530612244899</v>
      </c>
      <c r="E196" s="18">
        <f>(Dane!F3996-Dane!F196)/Dane!F196</f>
        <v>0.61157024793388426</v>
      </c>
      <c r="F196" s="18">
        <f>(Dane!G3996-Dane!G196)/Dane!G196</f>
        <v>0.13885280527247704</v>
      </c>
      <c r="G196" s="19">
        <f>AVERAGE(Dane!H196,Dane!H956,Dane!H1336,Dane!H2096,Dane!H2856,Dane!H3616)</f>
        <v>12.833333333333334</v>
      </c>
    </row>
    <row r="197" spans="1:7" x14ac:dyDescent="0.3">
      <c r="A197" s="1" t="s">
        <v>397</v>
      </c>
      <c r="B197" s="1" t="s">
        <v>398</v>
      </c>
      <c r="C197" s="18">
        <f>(Dane!D3997-Dane!D197)/Dane!D197</f>
        <v>5.0590064952886288E-2</v>
      </c>
      <c r="D197" s="18">
        <f>(Dane!E3997-Dane!E197)/Dane!E197</f>
        <v>-0.14705882352941177</v>
      </c>
      <c r="E197" s="18">
        <f>(Dane!F3997-Dane!F197)/Dane!F197</f>
        <v>0.17808219178082191</v>
      </c>
      <c r="F197" s="18">
        <f>(Dane!G3997-Dane!G197)/Dane!G197</f>
        <v>-0.1361944142451729</v>
      </c>
      <c r="G197" s="19">
        <f>AVERAGE(Dane!H197,Dane!H957,Dane!H1337,Dane!H2097,Dane!H2857,Dane!H3617)</f>
        <v>8.3333333333333339</v>
      </c>
    </row>
    <row r="198" spans="1:7" x14ac:dyDescent="0.3">
      <c r="A198" s="1" t="s">
        <v>399</v>
      </c>
      <c r="B198" s="1" t="s">
        <v>400</v>
      </c>
      <c r="C198" s="18">
        <f>(Dane!D3998-Dane!D198)/Dane!D198</f>
        <v>0.12222086489127779</v>
      </c>
      <c r="D198" s="18">
        <f>(Dane!E3998-Dane!E198)/Dane!E198</f>
        <v>0.44696969696969696</v>
      </c>
      <c r="E198" s="18">
        <f>(Dane!F3998-Dane!F198)/Dane!F198</f>
        <v>4</v>
      </c>
      <c r="F198" s="18">
        <f>(Dane!G3998-Dane!G198)/Dane!G198</f>
        <v>-0.17051756007393715</v>
      </c>
      <c r="G198" s="19">
        <f>AVERAGE(Dane!H198,Dane!H958,Dane!H1338,Dane!H2098,Dane!H2858,Dane!H3618)</f>
        <v>0.83333333333333337</v>
      </c>
    </row>
    <row r="199" spans="1:7" x14ac:dyDescent="0.3">
      <c r="A199" s="1" t="s">
        <v>401</v>
      </c>
      <c r="B199" s="1" t="s">
        <v>167</v>
      </c>
      <c r="C199" s="18">
        <f>(Dane!D3999-Dane!D199)/Dane!D199</f>
        <v>8.7649402390438252E-2</v>
      </c>
      <c r="D199" s="18">
        <f>(Dane!E3999-Dane!E199)/Dane!E199</f>
        <v>0.2834008097165992</v>
      </c>
      <c r="E199" s="18">
        <f>(Dane!F3999-Dane!F199)/Dane!F199</f>
        <v>3.6666666666666665</v>
      </c>
      <c r="F199" s="18">
        <f>(Dane!G3999-Dane!G199)/Dane!G199</f>
        <v>-0.27031965598040258</v>
      </c>
      <c r="G199" s="19">
        <f>AVERAGE(Dane!H199,Dane!H959,Dane!H1339,Dane!H2099,Dane!H2859,Dane!H3619)</f>
        <v>4.666666666666667</v>
      </c>
    </row>
    <row r="200" spans="1:7" x14ac:dyDescent="0.3">
      <c r="A200" s="1" t="s">
        <v>402</v>
      </c>
      <c r="B200" s="1" t="s">
        <v>403</v>
      </c>
      <c r="C200" s="18">
        <f>(Dane!D4000-Dane!D200)/Dane!D200</f>
        <v>7.4863275203797333E-2</v>
      </c>
      <c r="D200" s="18">
        <f>(Dane!E4000-Dane!E200)/Dane!E200</f>
        <v>0.28671328671328672</v>
      </c>
      <c r="E200" s="18">
        <f>(Dane!F4000-Dane!F200)/Dane!F200</f>
        <v>1.1666666666666667</v>
      </c>
      <c r="F200" s="18">
        <f>(Dane!G4000-Dane!G200)/Dane!G200</f>
        <v>-1.7257455158551318E-4</v>
      </c>
      <c r="G200" s="19">
        <f>AVERAGE(Dane!H200,Dane!H960,Dane!H1340,Dane!H2100,Dane!H2860,Dane!H3620)</f>
        <v>0.66666666666666663</v>
      </c>
    </row>
    <row r="201" spans="1:7" x14ac:dyDescent="0.3">
      <c r="A201" s="1" t="s">
        <v>404</v>
      </c>
      <c r="B201" s="1" t="s">
        <v>405</v>
      </c>
      <c r="C201" s="18">
        <f>(Dane!D4001-Dane!D201)/Dane!D201</f>
        <v>6.6901836759518302E-2</v>
      </c>
      <c r="D201" s="18">
        <f>(Dane!E4001-Dane!E201)/Dane!E201</f>
        <v>0.12149532710280374</v>
      </c>
      <c r="E201" s="18">
        <f>(Dane!F4001-Dane!F201)/Dane!F201</f>
        <v>0.31578947368421051</v>
      </c>
      <c r="F201" s="18">
        <f>(Dane!G4001-Dane!G201)/Dane!G201</f>
        <v>-0.56913821784986918</v>
      </c>
      <c r="G201" s="19">
        <f>AVERAGE(Dane!H201,Dane!H961,Dane!H1341,Dane!H2101,Dane!H2861,Dane!H3621)</f>
        <v>2.6666666666666665</v>
      </c>
    </row>
    <row r="202" spans="1:7" x14ac:dyDescent="0.3">
      <c r="A202" s="1" t="s">
        <v>406</v>
      </c>
      <c r="B202" s="1" t="s">
        <v>407</v>
      </c>
      <c r="C202" s="18">
        <f>(Dane!D4002-Dane!D202)/Dane!D202</f>
        <v>0.12952938094822317</v>
      </c>
      <c r="D202" s="18">
        <f>(Dane!E4002-Dane!E202)/Dane!E202</f>
        <v>0.74038461538461542</v>
      </c>
      <c r="E202" s="18">
        <f>(Dane!F4002-Dane!F202)/Dane!F202</f>
        <v>4.6101694915254239</v>
      </c>
      <c r="F202" s="18">
        <f>(Dane!G4002-Dane!G202)/Dane!G202</f>
        <v>-1.7423645897904138E-2</v>
      </c>
      <c r="G202" s="19">
        <f>AVERAGE(Dane!H202,Dane!H962,Dane!H1342,Dane!H2102,Dane!H2862,Dane!H3622)</f>
        <v>8.1666666666666661</v>
      </c>
    </row>
    <row r="203" spans="1:7" x14ac:dyDescent="0.3">
      <c r="A203" s="1" t="s">
        <v>408</v>
      </c>
      <c r="B203" s="1" t="s">
        <v>409</v>
      </c>
      <c r="C203" s="18">
        <f>(Dane!D4003-Dane!D203)/Dane!D203</f>
        <v>0.13336002201816499</v>
      </c>
      <c r="D203" s="18">
        <f>(Dane!E4003-Dane!E203)/Dane!E203</f>
        <v>0.52800000000000002</v>
      </c>
      <c r="E203" s="18">
        <f>(Dane!F4003-Dane!F203)/Dane!F203</f>
        <v>1.9385964912280702</v>
      </c>
      <c r="F203" s="18">
        <f>(Dane!G4003-Dane!G203)/Dane!G203</f>
        <v>-8.720415305660395E-2</v>
      </c>
      <c r="G203" s="19">
        <f>AVERAGE(Dane!H203,Dane!H963,Dane!H1343,Dane!H2103,Dane!H2863,Dane!H3623)</f>
        <v>45</v>
      </c>
    </row>
    <row r="204" spans="1:7" x14ac:dyDescent="0.3">
      <c r="A204" s="1" t="s">
        <v>410</v>
      </c>
      <c r="B204" s="1" t="s">
        <v>411</v>
      </c>
      <c r="C204" s="18">
        <f>(Dane!D4004-Dane!D204)/Dane!D204</f>
        <v>7.698261183633455E-2</v>
      </c>
      <c r="D204" s="18">
        <f>(Dane!E4004-Dane!E204)/Dane!E204</f>
        <v>-0.22439024390243903</v>
      </c>
      <c r="E204" s="18">
        <f>(Dane!F4004-Dane!F204)/Dane!F204</f>
        <v>-0.16666666666666666</v>
      </c>
      <c r="F204" s="18">
        <f>(Dane!G4004-Dane!G204)/Dane!G204</f>
        <v>-0.4300007105100967</v>
      </c>
      <c r="G204" s="19">
        <f>AVERAGE(Dane!H204,Dane!H964,Dane!H1344,Dane!H2104,Dane!H2864,Dane!H3624)</f>
        <v>5.666666666666667</v>
      </c>
    </row>
    <row r="205" spans="1:7" x14ac:dyDescent="0.3">
      <c r="A205" s="1" t="s">
        <v>412</v>
      </c>
      <c r="B205" s="1" t="s">
        <v>413</v>
      </c>
      <c r="C205" s="18">
        <f>(Dane!D4005-Dane!D205)/Dane!D205</f>
        <v>0.10538379259410177</v>
      </c>
      <c r="D205" s="18">
        <f>(Dane!E4005-Dane!E205)/Dane!E205</f>
        <v>-0.46206896551724136</v>
      </c>
      <c r="E205" s="18">
        <f>(Dane!F4005-Dane!F205)/Dane!F205</f>
        <v>0.39393939393939392</v>
      </c>
      <c r="F205" s="18">
        <f>(Dane!G4005-Dane!G205)/Dane!G205</f>
        <v>-0.67105334632196101</v>
      </c>
      <c r="G205" s="19">
        <f>AVERAGE(Dane!H205,Dane!H965,Dane!H1345,Dane!H2105,Dane!H2865,Dane!H3625)</f>
        <v>2</v>
      </c>
    </row>
    <row r="206" spans="1:7" x14ac:dyDescent="0.3">
      <c r="A206" s="1" t="s">
        <v>414</v>
      </c>
      <c r="B206" s="1" t="s">
        <v>415</v>
      </c>
      <c r="C206" s="18">
        <f>(Dane!D4006-Dane!D206)/Dane!D206</f>
        <v>6.8724797294367604E-2</v>
      </c>
      <c r="D206" s="18">
        <f>(Dane!E4006-Dane!E206)/Dane!E206</f>
        <v>0.7870967741935484</v>
      </c>
      <c r="E206" s="18">
        <f>(Dane!F4006-Dane!F206)/Dane!F206</f>
        <v>2.4571428571428573</v>
      </c>
      <c r="F206" s="18">
        <f>(Dane!G4006-Dane!G206)/Dane!G206</f>
        <v>-0.35103658918498704</v>
      </c>
      <c r="G206" s="19">
        <f>AVERAGE(Dane!H206,Dane!H966,Dane!H1346,Dane!H2106,Dane!H2866,Dane!H3626)</f>
        <v>0.66666666666666663</v>
      </c>
    </row>
    <row r="207" spans="1:7" x14ac:dyDescent="0.3">
      <c r="A207" s="1" t="s">
        <v>416</v>
      </c>
      <c r="B207" s="1" t="s">
        <v>417</v>
      </c>
      <c r="C207" s="18">
        <f>(Dane!D4007-Dane!D207)/Dane!D207</f>
        <v>0.11944276805471736</v>
      </c>
      <c r="D207" s="18">
        <f>(Dane!E4007-Dane!E207)/Dane!E207</f>
        <v>0.69105691056910568</v>
      </c>
      <c r="E207" s="18">
        <f>(Dane!F4007-Dane!F207)/Dane!F207</f>
        <v>2</v>
      </c>
      <c r="F207" s="18">
        <f>(Dane!G4007-Dane!G207)/Dane!G207</f>
        <v>-0.31767253097207659</v>
      </c>
      <c r="G207" s="19">
        <f>AVERAGE(Dane!H207,Dane!H967,Dane!H1347,Dane!H2107,Dane!H2867,Dane!H3627)</f>
        <v>0.16666666666666666</v>
      </c>
    </row>
    <row r="208" spans="1:7" x14ac:dyDescent="0.3">
      <c r="A208" s="1" t="s">
        <v>418</v>
      </c>
      <c r="B208" s="1" t="s">
        <v>419</v>
      </c>
      <c r="C208" s="18">
        <f>(Dane!D4008-Dane!D208)/Dane!D208</f>
        <v>0.16877573781743307</v>
      </c>
      <c r="D208" s="18">
        <f>(Dane!E4008-Dane!E208)/Dane!E208</f>
        <v>0.62776957163958647</v>
      </c>
      <c r="E208" s="18">
        <f>(Dane!F4008-Dane!F208)/Dane!F208</f>
        <v>1.8762886597938144</v>
      </c>
      <c r="F208" s="18">
        <f>(Dane!G4008-Dane!G208)/Dane!G208</f>
        <v>-0.16329383166210878</v>
      </c>
      <c r="G208" s="19">
        <f>AVERAGE(Dane!H208,Dane!H968,Dane!H1348,Dane!H2108,Dane!H2868,Dane!H3628)</f>
        <v>11.166666666666666</v>
      </c>
    </row>
    <row r="209" spans="1:7" x14ac:dyDescent="0.3">
      <c r="A209" s="1" t="s">
        <v>420</v>
      </c>
      <c r="B209" s="1" t="s">
        <v>421</v>
      </c>
      <c r="C209" s="18">
        <f>(Dane!D4009-Dane!D209)/Dane!D209</f>
        <v>8.1855437009821244E-2</v>
      </c>
      <c r="D209" s="18">
        <f>(Dane!E4009-Dane!E209)/Dane!E209</f>
        <v>0.20574162679425836</v>
      </c>
      <c r="E209" s="18">
        <f>(Dane!F4009-Dane!F209)/Dane!F209</f>
        <v>2.1904761904761907</v>
      </c>
      <c r="F209" s="18">
        <f>(Dane!G4009-Dane!G209)/Dane!G209</f>
        <v>-0.27099987890179278</v>
      </c>
      <c r="G209" s="19">
        <f>AVERAGE(Dane!H209,Dane!H969,Dane!H1349,Dane!H2109,Dane!H2869,Dane!H3629)</f>
        <v>51.666666666666664</v>
      </c>
    </row>
    <row r="210" spans="1:7" x14ac:dyDescent="0.3">
      <c r="A210" s="1" t="s">
        <v>422</v>
      </c>
      <c r="B210" s="1" t="s">
        <v>423</v>
      </c>
      <c r="C210" s="18">
        <f>(Dane!D4010-Dane!D210)/Dane!D210</f>
        <v>8.6930625673605988E-2</v>
      </c>
      <c r="D210" s="18">
        <f>(Dane!E4010-Dane!E210)/Dane!E210</f>
        <v>0.90588235294117647</v>
      </c>
      <c r="E210" s="18">
        <f>(Dane!F4010-Dane!F210)/Dane!F210</f>
        <v>0.6616915422885572</v>
      </c>
      <c r="F210" s="18">
        <f>(Dane!G4010-Dane!G210)/Dane!G210</f>
        <v>-0.670278718458031</v>
      </c>
      <c r="G210" s="19">
        <f>AVERAGE(Dane!H210,Dane!H970,Dane!H1350,Dane!H2110,Dane!H2870,Dane!H3630)</f>
        <v>6.333333333333333</v>
      </c>
    </row>
    <row r="211" spans="1:7" x14ac:dyDescent="0.3">
      <c r="A211" s="1" t="s">
        <v>424</v>
      </c>
      <c r="B211" s="1" t="s">
        <v>425</v>
      </c>
      <c r="C211" s="18">
        <f>(Dane!D4011-Dane!D211)/Dane!D211</f>
        <v>9.4925866855691418E-2</v>
      </c>
      <c r="D211" s="18">
        <f>(Dane!E4011-Dane!E211)/Dane!E211</f>
        <v>5.5865921787709494E-2</v>
      </c>
      <c r="E211" s="18">
        <f>(Dane!F4011-Dane!F211)/Dane!F211</f>
        <v>1.5833333333333333</v>
      </c>
      <c r="F211" s="18">
        <f>(Dane!G4011-Dane!G211)/Dane!G211</f>
        <v>3.2880539564208548E-2</v>
      </c>
      <c r="G211" s="19">
        <f>AVERAGE(Dane!H211,Dane!H971,Dane!H1351,Dane!H2111,Dane!H2871,Dane!H3631)</f>
        <v>17.333333333333332</v>
      </c>
    </row>
    <row r="212" spans="1:7" x14ac:dyDescent="0.3">
      <c r="A212" s="1" t="s">
        <v>426</v>
      </c>
      <c r="B212" s="1" t="s">
        <v>427</v>
      </c>
      <c r="C212" s="18">
        <f>(Dane!D4012-Dane!D212)/Dane!D212</f>
        <v>9.2268041237113407E-2</v>
      </c>
      <c r="D212" s="18">
        <f>(Dane!E4012-Dane!E212)/Dane!E212</f>
        <v>0.27192982456140352</v>
      </c>
      <c r="E212" s="18">
        <f>(Dane!F4012-Dane!F212)/Dane!F212</f>
        <v>0.4358974358974359</v>
      </c>
      <c r="F212" s="18">
        <f>(Dane!G4012-Dane!G212)/Dane!G212</f>
        <v>-0.2816471646943407</v>
      </c>
      <c r="G212" s="19">
        <f>AVERAGE(Dane!H212,Dane!H972,Dane!H1352,Dane!H2112,Dane!H2872,Dane!H3632)</f>
        <v>1</v>
      </c>
    </row>
    <row r="213" spans="1:7" x14ac:dyDescent="0.3">
      <c r="A213" s="1" t="s">
        <v>428</v>
      </c>
      <c r="B213" s="1" t="s">
        <v>429</v>
      </c>
      <c r="C213" s="18">
        <f>(Dane!D4013-Dane!D213)/Dane!D213</f>
        <v>0.14473001038421598</v>
      </c>
      <c r="D213" s="18">
        <f>(Dane!E4013-Dane!E213)/Dane!E213</f>
        <v>0.88524590163934425</v>
      </c>
      <c r="E213" s="18">
        <f>(Dane!F4013-Dane!F213)/Dane!F213</f>
        <v>0.77777777777777779</v>
      </c>
      <c r="F213" s="18">
        <f>(Dane!G4013-Dane!G213)/Dane!G213</f>
        <v>-5.1158456163997695E-2</v>
      </c>
      <c r="G213" s="19">
        <f>AVERAGE(Dane!H213,Dane!H973,Dane!H1353,Dane!H2113,Dane!H2873,Dane!H3633)</f>
        <v>6</v>
      </c>
    </row>
    <row r="214" spans="1:7" x14ac:dyDescent="0.3">
      <c r="A214" s="1" t="s">
        <v>430</v>
      </c>
      <c r="B214" s="1" t="s">
        <v>431</v>
      </c>
      <c r="C214" s="18">
        <f>(Dane!D4014-Dane!D214)/Dane!D214</f>
        <v>0.10523848587835462</v>
      </c>
      <c r="D214" s="18">
        <f>(Dane!E4014-Dane!E214)/Dane!E214</f>
        <v>6.8181818181818177E-2</v>
      </c>
      <c r="E214" s="18">
        <f>(Dane!F4014-Dane!F214)/Dane!F214</f>
        <v>0.15079365079365079</v>
      </c>
      <c r="F214" s="18">
        <f>(Dane!G4014-Dane!G214)/Dane!G214</f>
        <v>-0.22982292837726834</v>
      </c>
      <c r="G214" s="19">
        <f>AVERAGE(Dane!H214,Dane!H974,Dane!H1354,Dane!H2114,Dane!H2874,Dane!H3634)</f>
        <v>0.16666666666666666</v>
      </c>
    </row>
    <row r="215" spans="1:7" x14ac:dyDescent="0.3">
      <c r="A215" s="1" t="s">
        <v>432</v>
      </c>
      <c r="B215" s="1" t="s">
        <v>433</v>
      </c>
      <c r="C215" s="18">
        <f>(Dane!D4015-Dane!D215)/Dane!D215</f>
        <v>4.3320859095346567E-2</v>
      </c>
      <c r="D215" s="18">
        <f>(Dane!E4015-Dane!E215)/Dane!E215</f>
        <v>0.20270270270270271</v>
      </c>
      <c r="E215" s="18">
        <f>(Dane!F4015-Dane!F215)/Dane!F215</f>
        <v>0.73643410852713176</v>
      </c>
      <c r="F215" s="18">
        <f>(Dane!G4015-Dane!G215)/Dane!G215</f>
        <v>-0.44913122388751053</v>
      </c>
      <c r="G215" s="19">
        <f>AVERAGE(Dane!H215,Dane!H975,Dane!H1355,Dane!H2115,Dane!H2875,Dane!H3635)</f>
        <v>5.666666666666667</v>
      </c>
    </row>
    <row r="216" spans="1:7" x14ac:dyDescent="0.3">
      <c r="A216" s="1" t="s">
        <v>434</v>
      </c>
      <c r="B216" s="1" t="s">
        <v>435</v>
      </c>
      <c r="C216" s="18">
        <f>(Dane!D4016-Dane!D216)/Dane!D216</f>
        <v>0.4133000974156209</v>
      </c>
      <c r="D216" s="18">
        <f>(Dane!E4016-Dane!E216)/Dane!E216</f>
        <v>0.6158989598811293</v>
      </c>
      <c r="E216" s="18">
        <f>(Dane!F4016-Dane!F216)/Dane!F216</f>
        <v>1.3481481481481481</v>
      </c>
      <c r="F216" s="18">
        <f>(Dane!G4016-Dane!G216)/Dane!G216</f>
        <v>0.19520851833073583</v>
      </c>
      <c r="G216" s="19">
        <f>AVERAGE(Dane!H216,Dane!H976,Dane!H1356,Dane!H2116,Dane!H2876,Dane!H3636)</f>
        <v>152.33333333333334</v>
      </c>
    </row>
    <row r="217" spans="1:7" x14ac:dyDescent="0.3">
      <c r="A217" s="1" t="s">
        <v>436</v>
      </c>
      <c r="B217" s="1" t="s">
        <v>437</v>
      </c>
      <c r="C217" s="18">
        <f>(Dane!D4017-Dane!D217)/Dane!D217</f>
        <v>6.9248689574839831E-2</v>
      </c>
      <c r="D217" s="18">
        <f>(Dane!E4017-Dane!E217)/Dane!E217</f>
        <v>7.9207920792079209E-2</v>
      </c>
      <c r="E217" s="18">
        <f>(Dane!F4017-Dane!F217)/Dane!F217</f>
        <v>2.625</v>
      </c>
      <c r="F217" s="18">
        <f>(Dane!G4017-Dane!G217)/Dane!G217</f>
        <v>-0.10127913802571531</v>
      </c>
      <c r="G217" s="19">
        <f>AVERAGE(Dane!H217,Dane!H977,Dane!H1357,Dane!H2117,Dane!H2877,Dane!H3637)</f>
        <v>0</v>
      </c>
    </row>
    <row r="218" spans="1:7" x14ac:dyDescent="0.3">
      <c r="A218" s="1" t="s">
        <v>438</v>
      </c>
      <c r="B218" s="1" t="s">
        <v>439</v>
      </c>
      <c r="C218" s="18">
        <f>(Dane!D4018-Dane!D218)/Dane!D218</f>
        <v>6.2170867631269493E-2</v>
      </c>
      <c r="D218" s="18">
        <f>(Dane!E4018-Dane!E218)/Dane!E218</f>
        <v>0.82638888888888884</v>
      </c>
      <c r="E218" s="18">
        <f>(Dane!F4018-Dane!F218)/Dane!F218</f>
        <v>0.61904761904761907</v>
      </c>
      <c r="F218" s="18">
        <f>(Dane!G4018-Dane!G218)/Dane!G218</f>
        <v>-4.0153983893004744E-2</v>
      </c>
      <c r="G218" s="19">
        <f>AVERAGE(Dane!H218,Dane!H978,Dane!H1358,Dane!H2118,Dane!H2878,Dane!H3638)</f>
        <v>3</v>
      </c>
    </row>
    <row r="219" spans="1:7" x14ac:dyDescent="0.3">
      <c r="A219" s="1" t="s">
        <v>440</v>
      </c>
      <c r="B219" s="1" t="s">
        <v>441</v>
      </c>
      <c r="C219" s="18">
        <f>(Dane!D4019-Dane!D219)/Dane!D219</f>
        <v>0.19511013813278572</v>
      </c>
      <c r="D219" s="18">
        <f>(Dane!E4019-Dane!E219)/Dane!E219</f>
        <v>0.75255102040816324</v>
      </c>
      <c r="E219" s="18">
        <f>(Dane!F4019-Dane!F219)/Dane!F219</f>
        <v>1.6125</v>
      </c>
      <c r="F219" s="18">
        <f>(Dane!G4019-Dane!G219)/Dane!G219</f>
        <v>-0.31511527213298446</v>
      </c>
      <c r="G219" s="19">
        <f>AVERAGE(Dane!H219,Dane!H979,Dane!H1359,Dane!H2119,Dane!H2879,Dane!H3639)</f>
        <v>7</v>
      </c>
    </row>
    <row r="220" spans="1:7" x14ac:dyDescent="0.3">
      <c r="A220" s="1" t="s">
        <v>442</v>
      </c>
      <c r="B220" s="1" t="s">
        <v>443</v>
      </c>
      <c r="C220" s="18">
        <f>(Dane!D4020-Dane!D220)/Dane!D220</f>
        <v>3.1319622964867178E-2</v>
      </c>
      <c r="D220" s="18">
        <f>(Dane!E4020-Dane!E220)/Dane!E220</f>
        <v>0.4049586776859504</v>
      </c>
      <c r="E220" s="18" t="s">
        <v>70</v>
      </c>
      <c r="F220" s="18">
        <f>(Dane!G4020-Dane!G220)/Dane!G220</f>
        <v>0.15705471504440577</v>
      </c>
      <c r="G220" s="19">
        <f>AVERAGE(Dane!H220,Dane!H980,Dane!H1360,Dane!H2120,Dane!H2880,Dane!H3640)</f>
        <v>13.666666666666666</v>
      </c>
    </row>
    <row r="221" spans="1:7" x14ac:dyDescent="0.3">
      <c r="A221" s="1" t="s">
        <v>444</v>
      </c>
      <c r="B221" s="1" t="s">
        <v>445</v>
      </c>
      <c r="C221" s="18">
        <f>(Dane!D4021-Dane!D221)/Dane!D221</f>
        <v>5.0026399155227032E-2</v>
      </c>
      <c r="D221" s="18">
        <f>(Dane!E4021-Dane!E221)/Dane!E221</f>
        <v>1.0416666666666667</v>
      </c>
      <c r="E221" s="18">
        <f>(Dane!F4021-Dane!F221)/Dane!F221</f>
        <v>0.91228070175438591</v>
      </c>
      <c r="F221" s="18">
        <f>(Dane!G4021-Dane!G221)/Dane!G221</f>
        <v>0.17859216847121623</v>
      </c>
      <c r="G221" s="19">
        <f>AVERAGE(Dane!H221,Dane!H981,Dane!H1361,Dane!H2121,Dane!H2881,Dane!H3641)</f>
        <v>47.333333333333336</v>
      </c>
    </row>
    <row r="222" spans="1:7" x14ac:dyDescent="0.3">
      <c r="A222" s="1" t="s">
        <v>446</v>
      </c>
      <c r="B222" s="1" t="s">
        <v>447</v>
      </c>
      <c r="C222" s="18">
        <f>(Dane!D4022-Dane!D222)/Dane!D222</f>
        <v>1.5218095194042278E-2</v>
      </c>
      <c r="D222" s="18">
        <f>(Dane!E4022-Dane!E222)/Dane!E222</f>
        <v>0.6633663366336634</v>
      </c>
      <c r="E222" s="18" t="s">
        <v>70</v>
      </c>
      <c r="F222" s="18">
        <f>(Dane!G4022-Dane!G222)/Dane!G222</f>
        <v>-9.5666973123832655E-2</v>
      </c>
      <c r="G222" s="19">
        <f>AVERAGE(Dane!H222,Dane!H982,Dane!H1362,Dane!H2122,Dane!H2882,Dane!H3642)</f>
        <v>47.833333333333336</v>
      </c>
    </row>
    <row r="223" spans="1:7" x14ac:dyDescent="0.3">
      <c r="A223" s="1" t="s">
        <v>448</v>
      </c>
      <c r="B223" s="1" t="s">
        <v>449</v>
      </c>
      <c r="C223" s="18">
        <f>(Dane!D4023-Dane!D223)/Dane!D223</f>
        <v>4.9592262469182628E-2</v>
      </c>
      <c r="D223" s="18">
        <f>(Dane!E4023-Dane!E223)/Dane!E223</f>
        <v>1.0178571428571428</v>
      </c>
      <c r="E223" s="18">
        <f>(Dane!F4023-Dane!F223)/Dane!F223</f>
        <v>-1</v>
      </c>
      <c r="F223" s="18">
        <f>(Dane!G4023-Dane!G223)/Dane!G223</f>
        <v>-0.39827662064900671</v>
      </c>
      <c r="G223" s="19">
        <f>AVERAGE(Dane!H223,Dane!H983,Dane!H1363,Dane!H2123,Dane!H2883,Dane!H3643)</f>
        <v>32.166666666666664</v>
      </c>
    </row>
    <row r="224" spans="1:7" x14ac:dyDescent="0.3">
      <c r="A224" s="1" t="s">
        <v>450</v>
      </c>
      <c r="B224" s="1" t="s">
        <v>451</v>
      </c>
      <c r="C224" s="18">
        <f>(Dane!D4024-Dane!D224)/Dane!D224</f>
        <v>6.8384809436149177E-2</v>
      </c>
      <c r="D224" s="18">
        <f>(Dane!E4024-Dane!E224)/Dane!E224</f>
        <v>1.1666666666666667</v>
      </c>
      <c r="E224" s="18">
        <f>(Dane!F4024-Dane!F224)/Dane!F224</f>
        <v>1.9090909090909092</v>
      </c>
      <c r="F224" s="18">
        <f>(Dane!G4024-Dane!G224)/Dane!G224</f>
        <v>-0.6203838843255719</v>
      </c>
      <c r="G224" s="19">
        <f>AVERAGE(Dane!H224,Dane!H984,Dane!H1364,Dane!H2124,Dane!H2884,Dane!H3644)</f>
        <v>1.6666666666666667</v>
      </c>
    </row>
    <row r="225" spans="1:7" x14ac:dyDescent="0.3">
      <c r="A225" s="1" t="s">
        <v>452</v>
      </c>
      <c r="B225" s="1" t="s">
        <v>453</v>
      </c>
      <c r="C225" s="18">
        <f>(Dane!D4025-Dane!D225)/Dane!D225</f>
        <v>4.318046456223943E-3</v>
      </c>
      <c r="D225" s="18">
        <f>(Dane!E4025-Dane!E225)/Dane!E225</f>
        <v>0.51351351351351349</v>
      </c>
      <c r="E225" s="18">
        <f>(Dane!F4025-Dane!F225)/Dane!F225</f>
        <v>0.375</v>
      </c>
      <c r="F225" s="18">
        <f>(Dane!G4025-Dane!G225)/Dane!G225</f>
        <v>-0.17010508647196473</v>
      </c>
      <c r="G225" s="19">
        <f>AVERAGE(Dane!H225,Dane!H985,Dane!H1365,Dane!H2125,Dane!H2885,Dane!H3645)</f>
        <v>0</v>
      </c>
    </row>
    <row r="226" spans="1:7" x14ac:dyDescent="0.3">
      <c r="A226" s="1" t="s">
        <v>454</v>
      </c>
      <c r="B226" s="1" t="s">
        <v>455</v>
      </c>
      <c r="C226" s="18">
        <f>(Dane!D4026-Dane!D226)/Dane!D226</f>
        <v>2.8989667049368541E-2</v>
      </c>
      <c r="D226" s="18">
        <f>(Dane!E4026-Dane!E226)/Dane!E226</f>
        <v>6.1224489795918366E-2</v>
      </c>
      <c r="E226" s="18">
        <f>(Dane!F4026-Dane!F226)/Dane!F226</f>
        <v>-1</v>
      </c>
      <c r="F226" s="18">
        <f>(Dane!G4026-Dane!G226)/Dane!G226</f>
        <v>-0.33389030030616895</v>
      </c>
      <c r="G226" s="19">
        <f>AVERAGE(Dane!H226,Dane!H986,Dane!H1366,Dane!H2126,Dane!H2886,Dane!H3646)</f>
        <v>6</v>
      </c>
    </row>
    <row r="227" spans="1:7" x14ac:dyDescent="0.3">
      <c r="A227" s="1" t="s">
        <v>456</v>
      </c>
      <c r="B227" s="1" t="s">
        <v>457</v>
      </c>
      <c r="C227" s="18">
        <f>(Dane!D4027-Dane!D227)/Dane!D227</f>
        <v>-8.8485663082437278E-3</v>
      </c>
      <c r="D227" s="18">
        <f>(Dane!E4027-Dane!E227)/Dane!E227</f>
        <v>1.3793103448275863</v>
      </c>
      <c r="E227" s="18" t="s">
        <v>70</v>
      </c>
      <c r="F227" s="18">
        <f>(Dane!G4027-Dane!G227)/Dane!G227</f>
        <v>-0.1747064012791531</v>
      </c>
      <c r="G227" s="19">
        <f>AVERAGE(Dane!H227,Dane!H987,Dane!H1367,Dane!H2127,Dane!H2887,Dane!H3647)</f>
        <v>11.166666666666666</v>
      </c>
    </row>
    <row r="228" spans="1:7" x14ac:dyDescent="0.3">
      <c r="A228" s="1" t="s">
        <v>458</v>
      </c>
      <c r="B228" s="1" t="s">
        <v>459</v>
      </c>
      <c r="C228" s="18">
        <f>(Dane!D4028-Dane!D228)/Dane!D228</f>
        <v>-1.6906675153154586E-2</v>
      </c>
      <c r="D228" s="18">
        <f>(Dane!E4028-Dane!E228)/Dane!E228</f>
        <v>-0.19642857142857142</v>
      </c>
      <c r="E228" s="18">
        <f>(Dane!F4028-Dane!F228)/Dane!F228</f>
        <v>1.6956521739130435</v>
      </c>
      <c r="F228" s="18">
        <f>(Dane!G4028-Dane!G228)/Dane!G228</f>
        <v>-0.2926993503340809</v>
      </c>
      <c r="G228" s="19">
        <f>AVERAGE(Dane!H228,Dane!H988,Dane!H1368,Dane!H2128,Dane!H2888,Dane!H3648)</f>
        <v>29.333333333333332</v>
      </c>
    </row>
    <row r="229" spans="1:7" x14ac:dyDescent="0.3">
      <c r="A229" s="1" t="s">
        <v>460</v>
      </c>
      <c r="B229" s="1" t="s">
        <v>461</v>
      </c>
      <c r="C229" s="18">
        <f>(Dane!D4029-Dane!D229)/Dane!D229</f>
        <v>8.8558855885588553E-2</v>
      </c>
      <c r="D229" s="18">
        <f>(Dane!E4029-Dane!E229)/Dane!E229</f>
        <v>0.77419354838709675</v>
      </c>
      <c r="E229" s="18">
        <f>(Dane!F4029-Dane!F229)/Dane!F229</f>
        <v>1.75</v>
      </c>
      <c r="F229" s="18">
        <f>(Dane!G4029-Dane!G229)/Dane!G229</f>
        <v>-0.35455362229916293</v>
      </c>
      <c r="G229" s="19">
        <f>AVERAGE(Dane!H229,Dane!H989,Dane!H1369,Dane!H2129,Dane!H2889,Dane!H3649)</f>
        <v>3.3333333333333335</v>
      </c>
    </row>
    <row r="230" spans="1:7" x14ac:dyDescent="0.3">
      <c r="A230" s="1" t="s">
        <v>462</v>
      </c>
      <c r="B230" s="1" t="s">
        <v>463</v>
      </c>
      <c r="C230" s="18">
        <f>(Dane!D4030-Dane!D230)/Dane!D230</f>
        <v>4.1878602916242791E-2</v>
      </c>
      <c r="D230" s="18">
        <f>(Dane!E4030-Dane!E230)/Dane!E230</f>
        <v>1.9891304347826086</v>
      </c>
      <c r="E230" s="18">
        <f>(Dane!F4030-Dane!F230)/Dane!F230</f>
        <v>5.041666666666667</v>
      </c>
      <c r="F230" s="18">
        <f>(Dane!G4030-Dane!G230)/Dane!G230</f>
        <v>-0.2443746343573785</v>
      </c>
      <c r="G230" s="19">
        <f>AVERAGE(Dane!H230,Dane!H990,Dane!H1370,Dane!H2130,Dane!H2890,Dane!H3650)</f>
        <v>9.6666666666666661</v>
      </c>
    </row>
    <row r="231" spans="1:7" x14ac:dyDescent="0.3">
      <c r="A231" s="1" t="s">
        <v>464</v>
      </c>
      <c r="B231" s="1" t="s">
        <v>465</v>
      </c>
      <c r="C231" s="18">
        <f>(Dane!D4031-Dane!D231)/Dane!D231</f>
        <v>8.0942184154175589E-2</v>
      </c>
      <c r="D231" s="18">
        <f>(Dane!E4031-Dane!E231)/Dane!E231</f>
        <v>0.35338345864661652</v>
      </c>
      <c r="E231" s="18">
        <f>(Dane!F4031-Dane!F231)/Dane!F231</f>
        <v>0.42424242424242425</v>
      </c>
      <c r="F231" s="18">
        <f>(Dane!G4031-Dane!G231)/Dane!G231</f>
        <v>2.2150025211302646E-2</v>
      </c>
      <c r="G231" s="19">
        <f>AVERAGE(Dane!H231,Dane!H991,Dane!H1371,Dane!H2131,Dane!H2891,Dane!H3651)</f>
        <v>2.1666666666666665</v>
      </c>
    </row>
    <row r="232" spans="1:7" x14ac:dyDescent="0.3">
      <c r="A232" s="1" t="s">
        <v>466</v>
      </c>
      <c r="B232" s="1" t="s">
        <v>467</v>
      </c>
      <c r="C232" s="18">
        <f>(Dane!D4032-Dane!D232)/Dane!D232</f>
        <v>0.16875351773755434</v>
      </c>
      <c r="D232" s="18">
        <f>(Dane!E4032-Dane!E232)/Dane!E232</f>
        <v>0.77001270648030495</v>
      </c>
      <c r="E232" s="18">
        <f>(Dane!F4032-Dane!F232)/Dane!F232</f>
        <v>0.91300144997583377</v>
      </c>
      <c r="F232" s="18">
        <f>(Dane!G4032-Dane!G232)/Dane!G232</f>
        <v>-0.15538757991983382</v>
      </c>
      <c r="G232" s="19">
        <f>AVERAGE(Dane!H232,Dane!H992,Dane!H1372,Dane!H2132,Dane!H2892,Dane!H3652)</f>
        <v>50.833333333333336</v>
      </c>
    </row>
    <row r="233" spans="1:7" x14ac:dyDescent="0.3">
      <c r="A233" s="1" t="s">
        <v>468</v>
      </c>
      <c r="B233" s="1" t="s">
        <v>469</v>
      </c>
      <c r="C233" s="18">
        <f>(Dane!D4033-Dane!D233)/Dane!D233</f>
        <v>0.12846303158637729</v>
      </c>
      <c r="D233" s="18">
        <f>(Dane!E4033-Dane!E233)/Dane!E233</f>
        <v>0.33984375</v>
      </c>
      <c r="E233" s="18">
        <f>(Dane!F4033-Dane!F233)/Dane!F233</f>
        <v>1.1330472103004292</v>
      </c>
      <c r="F233" s="18">
        <f>(Dane!G4033-Dane!G233)/Dane!G233</f>
        <v>-0.47021224758874702</v>
      </c>
      <c r="G233" s="19">
        <f>AVERAGE(Dane!H233,Dane!H993,Dane!H1373,Dane!H2133,Dane!H2893,Dane!H3653)</f>
        <v>3.8333333333333335</v>
      </c>
    </row>
    <row r="234" spans="1:7" x14ac:dyDescent="0.3">
      <c r="A234" s="1" t="s">
        <v>470</v>
      </c>
      <c r="B234" s="1" t="s">
        <v>471</v>
      </c>
      <c r="C234" s="18">
        <f>(Dane!D4034-Dane!D234)/Dane!D234</f>
        <v>0.16004857316332727</v>
      </c>
      <c r="D234" s="18">
        <f>(Dane!E4034-Dane!E234)/Dane!E234</f>
        <v>-0.18983957219251338</v>
      </c>
      <c r="E234" s="18">
        <f>(Dane!F4034-Dane!F234)/Dane!F234</f>
        <v>1.1277372262773722</v>
      </c>
      <c r="F234" s="18">
        <f>(Dane!G4034-Dane!G234)/Dane!G234</f>
        <v>2.2214294527566025E-2</v>
      </c>
      <c r="G234" s="19">
        <f>AVERAGE(Dane!H234,Dane!H994,Dane!H1374,Dane!H2134,Dane!H2894,Dane!H3654)</f>
        <v>54</v>
      </c>
    </row>
    <row r="235" spans="1:7" x14ac:dyDescent="0.3">
      <c r="A235" s="1" t="s">
        <v>472</v>
      </c>
      <c r="B235" s="1" t="s">
        <v>473</v>
      </c>
      <c r="C235" s="18">
        <f>(Dane!D4035-Dane!D235)/Dane!D235</f>
        <v>0.14976874943320939</v>
      </c>
      <c r="D235" s="18">
        <f>(Dane!E4035-Dane!E235)/Dane!E235</f>
        <v>0.14146341463414633</v>
      </c>
      <c r="E235" s="18">
        <f>(Dane!F4035-Dane!F235)/Dane!F235</f>
        <v>0.82051282051282048</v>
      </c>
      <c r="F235" s="18">
        <f>(Dane!G4035-Dane!G235)/Dane!G235</f>
        <v>0.15598375588113136</v>
      </c>
      <c r="G235" s="19">
        <f>AVERAGE(Dane!H235,Dane!H995,Dane!H1375,Dane!H2135,Dane!H2895,Dane!H3655)</f>
        <v>40.5</v>
      </c>
    </row>
    <row r="236" spans="1:7" x14ac:dyDescent="0.3">
      <c r="A236" s="1" t="s">
        <v>474</v>
      </c>
      <c r="B236" s="1" t="s">
        <v>475</v>
      </c>
      <c r="C236" s="18">
        <f>(Dane!D4036-Dane!D236)/Dane!D236</f>
        <v>0.16751610391448998</v>
      </c>
      <c r="D236" s="18">
        <f>(Dane!E4036-Dane!E236)/Dane!E236</f>
        <v>0.64814814814814814</v>
      </c>
      <c r="E236" s="18">
        <f>(Dane!F4036-Dane!F236)/Dane!F236</f>
        <v>0.52659574468085102</v>
      </c>
      <c r="F236" s="18">
        <f>(Dane!G4036-Dane!G236)/Dane!G236</f>
        <v>-4.9505043285283004E-2</v>
      </c>
      <c r="G236" s="19">
        <f>AVERAGE(Dane!H236,Dane!H996,Dane!H1376,Dane!H2136,Dane!H2896,Dane!H3656)</f>
        <v>41.166666666666664</v>
      </c>
    </row>
    <row r="237" spans="1:7" x14ac:dyDescent="0.3">
      <c r="A237" s="1" t="s">
        <v>476</v>
      </c>
      <c r="B237" s="1" t="s">
        <v>477</v>
      </c>
      <c r="C237" s="18">
        <f>(Dane!D4037-Dane!D237)/Dane!D237</f>
        <v>8.8333806414987226E-2</v>
      </c>
      <c r="D237" s="18">
        <f>(Dane!E4037-Dane!E237)/Dane!E237</f>
        <v>0.23134328358208955</v>
      </c>
      <c r="E237" s="18">
        <f>(Dane!F4037-Dane!F237)/Dane!F237</f>
        <v>0.53781512605042014</v>
      </c>
      <c r="F237" s="18">
        <f>(Dane!G4037-Dane!G237)/Dane!G237</f>
        <v>-6.4287510026217812E-3</v>
      </c>
      <c r="G237" s="19">
        <f>AVERAGE(Dane!H237,Dane!H997,Dane!H1377,Dane!H2137,Dane!H2897,Dane!H3657)</f>
        <v>32.666666666666664</v>
      </c>
    </row>
    <row r="238" spans="1:7" x14ac:dyDescent="0.3">
      <c r="A238" s="1" t="s">
        <v>478</v>
      </c>
      <c r="B238" s="1" t="s">
        <v>479</v>
      </c>
      <c r="C238" s="18">
        <f>(Dane!D4038-Dane!D238)/Dane!D238</f>
        <v>0.44732261395486062</v>
      </c>
      <c r="D238" s="18">
        <f>(Dane!E4038-Dane!E238)/Dane!E238</f>
        <v>7.0351758793969849E-2</v>
      </c>
      <c r="E238" s="18">
        <f>(Dane!F4038-Dane!F238)/Dane!F238</f>
        <v>0.87044967880085655</v>
      </c>
      <c r="F238" s="18">
        <f>(Dane!G4038-Dane!G238)/Dane!G238</f>
        <v>0.36450820767119552</v>
      </c>
      <c r="G238" s="19">
        <f>AVERAGE(Dane!H238,Dane!H998,Dane!H1378,Dane!H2138,Dane!H2898,Dane!H3658)</f>
        <v>56.166666666666664</v>
      </c>
    </row>
    <row r="239" spans="1:7" x14ac:dyDescent="0.3">
      <c r="A239" s="1" t="s">
        <v>480</v>
      </c>
      <c r="B239" s="1" t="s">
        <v>481</v>
      </c>
      <c r="C239" s="18">
        <f>(Dane!D4039-Dane!D239)/Dane!D239</f>
        <v>0.42286046369364411</v>
      </c>
      <c r="D239" s="18">
        <f>(Dane!E4039-Dane!E239)/Dane!E239</f>
        <v>0.53692115143929908</v>
      </c>
      <c r="E239" s="18">
        <f>(Dane!F4039-Dane!F239)/Dane!F239</f>
        <v>1.7651515151515151</v>
      </c>
      <c r="F239" s="18">
        <f>(Dane!G4039-Dane!G239)/Dane!G239</f>
        <v>0.54044173270773854</v>
      </c>
      <c r="G239" s="19">
        <f>AVERAGE(Dane!H239,Dane!H999,Dane!H1379,Dane!H2139,Dane!H2899,Dane!H3659)</f>
        <v>42.5</v>
      </c>
    </row>
    <row r="240" spans="1:7" x14ac:dyDescent="0.3">
      <c r="A240" s="1" t="s">
        <v>482</v>
      </c>
      <c r="B240" s="1" t="s">
        <v>483</v>
      </c>
      <c r="C240" s="18">
        <f>(Dane!D4040-Dane!D240)/Dane!D240</f>
        <v>0.15331505239447654</v>
      </c>
      <c r="D240" s="18">
        <f>(Dane!E4040-Dane!E240)/Dane!E240</f>
        <v>0.51538461538461533</v>
      </c>
      <c r="E240" s="18">
        <f>(Dane!F4040-Dane!F240)/Dane!F240</f>
        <v>1.6951219512195121</v>
      </c>
      <c r="F240" s="18">
        <f>(Dane!G4040-Dane!G240)/Dane!G240</f>
        <v>0.39539845208112873</v>
      </c>
      <c r="G240" s="19">
        <f>AVERAGE(Dane!H240,Dane!H1000,Dane!H1380,Dane!H2140,Dane!H2900,Dane!H3660)</f>
        <v>76.666666666666671</v>
      </c>
    </row>
    <row r="241" spans="1:7" x14ac:dyDescent="0.3">
      <c r="A241" s="1" t="s">
        <v>484</v>
      </c>
      <c r="B241" s="1" t="s">
        <v>485</v>
      </c>
      <c r="C241" s="18">
        <f>(Dane!D4041-Dane!D241)/Dane!D241</f>
        <v>9.7157052166712665E-2</v>
      </c>
      <c r="D241" s="18">
        <f>(Dane!E4041-Dane!E241)/Dane!E241</f>
        <v>1.0960000000000001</v>
      </c>
      <c r="E241" s="18">
        <f>(Dane!F4041-Dane!F241)/Dane!F241</f>
        <v>1.0503597122302157</v>
      </c>
      <c r="F241" s="18">
        <f>(Dane!G4041-Dane!G241)/Dane!G241</f>
        <v>-0.46224248026434622</v>
      </c>
      <c r="G241" s="19">
        <f>AVERAGE(Dane!H241,Dane!H1001,Dane!H1381,Dane!H2141,Dane!H2901,Dane!H3661)</f>
        <v>46.166666666666664</v>
      </c>
    </row>
    <row r="242" spans="1:7" x14ac:dyDescent="0.3">
      <c r="A242" s="1" t="s">
        <v>486</v>
      </c>
      <c r="B242" s="1" t="s">
        <v>487</v>
      </c>
      <c r="C242" s="18">
        <f>(Dane!D4042-Dane!D242)/Dane!D242</f>
        <v>0.1657502702194652</v>
      </c>
      <c r="D242" s="18">
        <f>(Dane!E4042-Dane!E242)/Dane!E242</f>
        <v>1.3791208791208791</v>
      </c>
      <c r="E242" s="18">
        <f>(Dane!F4042-Dane!F242)/Dane!F242</f>
        <v>0.86798679867986794</v>
      </c>
      <c r="F242" s="18">
        <f>(Dane!G4042-Dane!G242)/Dane!G242</f>
        <v>-0.25339961032114738</v>
      </c>
      <c r="G242" s="19">
        <f>AVERAGE(Dane!H242,Dane!H1002,Dane!H1382,Dane!H2142,Dane!H2902,Dane!H3662)</f>
        <v>4.166666666666667</v>
      </c>
    </row>
    <row r="243" spans="1:7" x14ac:dyDescent="0.3">
      <c r="A243" s="1" t="s">
        <v>488</v>
      </c>
      <c r="B243" s="1" t="s">
        <v>489</v>
      </c>
      <c r="C243" s="18">
        <f>(Dane!D4043-Dane!D243)/Dane!D243</f>
        <v>0.10714453916074036</v>
      </c>
      <c r="D243" s="18">
        <f>(Dane!E4043-Dane!E243)/Dane!E243</f>
        <v>0.39436619718309857</v>
      </c>
      <c r="E243" s="18">
        <f>(Dane!F4043-Dane!F243)/Dane!F243</f>
        <v>0.45547945205479451</v>
      </c>
      <c r="F243" s="18">
        <f>(Dane!G4043-Dane!G243)/Dane!G243</f>
        <v>0.41634675377907338</v>
      </c>
      <c r="G243" s="19">
        <f>AVERAGE(Dane!H243,Dane!H1003,Dane!H1383,Dane!H2143,Dane!H2903,Dane!H3663)</f>
        <v>13.333333333333334</v>
      </c>
    </row>
    <row r="244" spans="1:7" x14ac:dyDescent="0.3">
      <c r="A244" s="1" t="s">
        <v>490</v>
      </c>
      <c r="B244" s="1" t="s">
        <v>310</v>
      </c>
      <c r="C244" s="18">
        <f>(Dane!D4044-Dane!D244)/Dane!D244</f>
        <v>0.12650697969543148</v>
      </c>
      <c r="D244" s="18">
        <f>(Dane!E4044-Dane!E244)/Dane!E244</f>
        <v>2.3134328358208953</v>
      </c>
      <c r="E244" s="18">
        <f>(Dane!F4044-Dane!F244)/Dane!F244</f>
        <v>3.3953488372093021</v>
      </c>
      <c r="F244" s="18">
        <f>(Dane!G4044-Dane!G244)/Dane!G244</f>
        <v>-0.35922861154250862</v>
      </c>
      <c r="G244" s="19">
        <f>AVERAGE(Dane!H244,Dane!H1004,Dane!H1384,Dane!H2144,Dane!H2904,Dane!H3664)</f>
        <v>4</v>
      </c>
    </row>
    <row r="245" spans="1:7" x14ac:dyDescent="0.3">
      <c r="A245" s="1" t="s">
        <v>491</v>
      </c>
      <c r="B245" s="1" t="s">
        <v>492</v>
      </c>
      <c r="C245" s="18">
        <f>(Dane!D4045-Dane!D245)/Dane!D245</f>
        <v>0.39725975406102931</v>
      </c>
      <c r="D245" s="18">
        <f>(Dane!E4045-Dane!E245)/Dane!E245</f>
        <v>1.4047217537942664</v>
      </c>
      <c r="E245" s="18">
        <f>(Dane!F4045-Dane!F245)/Dane!F245</f>
        <v>2</v>
      </c>
      <c r="F245" s="18">
        <f>(Dane!G4045-Dane!G245)/Dane!G245</f>
        <v>2.8312382687504169E-2</v>
      </c>
      <c r="G245" s="19">
        <f>AVERAGE(Dane!H245,Dane!H1005,Dane!H1385,Dane!H2145,Dane!H2905,Dane!H3665)</f>
        <v>29.333333333333332</v>
      </c>
    </row>
    <row r="246" spans="1:7" x14ac:dyDescent="0.3">
      <c r="A246" s="1" t="s">
        <v>493</v>
      </c>
      <c r="B246" s="1" t="s">
        <v>494</v>
      </c>
      <c r="C246" s="18">
        <f>(Dane!D4046-Dane!D246)/Dane!D246</f>
        <v>0.18783205909032008</v>
      </c>
      <c r="D246" s="18">
        <f>(Dane!E4046-Dane!E246)/Dane!E246</f>
        <v>0.77932960893854752</v>
      </c>
      <c r="E246" s="18">
        <f>(Dane!F4046-Dane!F246)/Dane!F246</f>
        <v>0.63285024154589375</v>
      </c>
      <c r="F246" s="18">
        <f>(Dane!G4046-Dane!G246)/Dane!G246</f>
        <v>-0.23791738800570628</v>
      </c>
      <c r="G246" s="19">
        <f>AVERAGE(Dane!H246,Dane!H1006,Dane!H1386,Dane!H2146,Dane!H2906,Dane!H3666)</f>
        <v>50.833333333333336</v>
      </c>
    </row>
    <row r="247" spans="1:7" x14ac:dyDescent="0.3">
      <c r="A247" s="1" t="s">
        <v>495</v>
      </c>
      <c r="B247" s="1" t="s">
        <v>496</v>
      </c>
      <c r="C247" s="18">
        <f>(Dane!D4047-Dane!D247)/Dane!D247</f>
        <v>0.13580825843428423</v>
      </c>
      <c r="D247" s="18">
        <f>(Dane!E4047-Dane!E247)/Dane!E247</f>
        <v>0.91922005571030641</v>
      </c>
      <c r="E247" s="18">
        <f>(Dane!F4047-Dane!F247)/Dane!F247</f>
        <v>1.4685990338164252</v>
      </c>
      <c r="F247" s="18">
        <f>(Dane!G4047-Dane!G247)/Dane!G247</f>
        <v>0.24892334606150521</v>
      </c>
      <c r="G247" s="19">
        <f>AVERAGE(Dane!H247,Dane!H1007,Dane!H1387,Dane!H2147,Dane!H2907,Dane!H3667)</f>
        <v>21.166666666666668</v>
      </c>
    </row>
    <row r="248" spans="1:7" x14ac:dyDescent="0.3">
      <c r="A248" s="1" t="s">
        <v>497</v>
      </c>
      <c r="B248" s="1" t="s">
        <v>498</v>
      </c>
      <c r="C248" s="18">
        <f>(Dane!D4048-Dane!D248)/Dane!D248</f>
        <v>0.13856216335055513</v>
      </c>
      <c r="D248" s="18">
        <f>(Dane!E4048-Dane!E248)/Dane!E248</f>
        <v>1.0190217391304348</v>
      </c>
      <c r="E248" s="18">
        <f>(Dane!F4048-Dane!F248)/Dane!F248</f>
        <v>1.411904761904762</v>
      </c>
      <c r="F248" s="18">
        <f>(Dane!G4048-Dane!G248)/Dane!G248</f>
        <v>6.4846095155681131E-3</v>
      </c>
      <c r="G248" s="19">
        <f>AVERAGE(Dane!H248,Dane!H1008,Dane!H1388,Dane!H2148,Dane!H2908,Dane!H3668)</f>
        <v>68.166666666666671</v>
      </c>
    </row>
    <row r="249" spans="1:7" x14ac:dyDescent="0.3">
      <c r="A249" s="1" t="s">
        <v>499</v>
      </c>
      <c r="B249" s="1" t="s">
        <v>500</v>
      </c>
      <c r="C249" s="18">
        <f>(Dane!D4049-Dane!D249)/Dane!D249</f>
        <v>0.25621196174438293</v>
      </c>
      <c r="D249" s="18">
        <f>(Dane!E4049-Dane!E249)/Dane!E249</f>
        <v>0.51877133105802042</v>
      </c>
      <c r="E249" s="18">
        <f>(Dane!F4049-Dane!F249)/Dane!F249</f>
        <v>1.4657980456026058</v>
      </c>
      <c r="F249" s="18">
        <f>(Dane!G4049-Dane!G249)/Dane!G249</f>
        <v>-0.42483768468818944</v>
      </c>
      <c r="G249" s="19">
        <f>AVERAGE(Dane!H249,Dane!H1009,Dane!H1389,Dane!H2149,Dane!H2909,Dane!H3669)</f>
        <v>85</v>
      </c>
    </row>
    <row r="250" spans="1:7" x14ac:dyDescent="0.3">
      <c r="A250" s="1" t="s">
        <v>501</v>
      </c>
      <c r="B250" s="1" t="s">
        <v>502</v>
      </c>
      <c r="C250" s="18">
        <f>(Dane!D4050-Dane!D250)/Dane!D250</f>
        <v>5.5022040302267004E-2</v>
      </c>
      <c r="D250" s="18">
        <f>(Dane!E4050-Dane!E250)/Dane!E250</f>
        <v>-0.25</v>
      </c>
      <c r="E250" s="18">
        <f>(Dane!F4050-Dane!F250)/Dane!F250</f>
        <v>0.45614035087719296</v>
      </c>
      <c r="F250" s="18">
        <f>(Dane!G4050-Dane!G250)/Dane!G250</f>
        <v>-0.31308635366045762</v>
      </c>
      <c r="G250" s="19">
        <f>AVERAGE(Dane!H250,Dane!H1010,Dane!H1390,Dane!H2150,Dane!H2910,Dane!H3670)</f>
        <v>18</v>
      </c>
    </row>
    <row r="251" spans="1:7" x14ac:dyDescent="0.3">
      <c r="A251" s="1" t="s">
        <v>503</v>
      </c>
      <c r="B251" s="1" t="s">
        <v>504</v>
      </c>
      <c r="C251" s="18">
        <f>(Dane!D4051-Dane!D251)/Dane!D251</f>
        <v>0.29407596581095646</v>
      </c>
      <c r="D251" s="18">
        <f>(Dane!E4051-Dane!E251)/Dane!E251</f>
        <v>0.61931965723188787</v>
      </c>
      <c r="E251" s="18">
        <f>(Dane!F4051-Dane!F251)/Dane!F251</f>
        <v>0.41907191835432944</v>
      </c>
      <c r="F251" s="18">
        <f>(Dane!G4051-Dane!G251)/Dane!G251</f>
        <v>-0.2649886116950157</v>
      </c>
      <c r="G251" s="19">
        <f>AVERAGE(Dane!H251,Dane!H1011,Dane!H1391,Dane!H2151,Dane!H2911,Dane!H3671)</f>
        <v>575.33333333333337</v>
      </c>
    </row>
    <row r="252" spans="1:7" x14ac:dyDescent="0.3">
      <c r="A252" s="1" t="s">
        <v>505</v>
      </c>
      <c r="B252" s="1" t="s">
        <v>506</v>
      </c>
      <c r="C252" s="18">
        <f>(Dane!D4052-Dane!D252)/Dane!D252</f>
        <v>0.11834813564298297</v>
      </c>
      <c r="D252" s="18">
        <f>(Dane!E4052-Dane!E252)/Dane!E252</f>
        <v>0.28893058161350843</v>
      </c>
      <c r="E252" s="18">
        <f>(Dane!F4052-Dane!F252)/Dane!F252</f>
        <v>0.17661212704523579</v>
      </c>
      <c r="F252" s="18">
        <f>(Dane!G4052-Dane!G252)/Dane!G252</f>
        <v>0.66390874039393299</v>
      </c>
      <c r="G252" s="19">
        <f>AVERAGE(Dane!H252,Dane!H1012,Dane!H1392,Dane!H2152,Dane!H2912,Dane!H3672)</f>
        <v>186.5</v>
      </c>
    </row>
    <row r="253" spans="1:7" x14ac:dyDescent="0.3">
      <c r="A253" s="1" t="s">
        <v>507</v>
      </c>
      <c r="B253" s="1" t="s">
        <v>508</v>
      </c>
      <c r="C253" s="18">
        <f>(Dane!D4053-Dane!D253)/Dane!D253</f>
        <v>0.11009994739610732</v>
      </c>
      <c r="D253" s="18">
        <f>(Dane!E4053-Dane!E253)/Dane!E253</f>
        <v>2.2651515151515151</v>
      </c>
      <c r="E253" s="18">
        <f>(Dane!F4053-Dane!F253)/Dane!F253</f>
        <v>1.5302713987473904</v>
      </c>
      <c r="F253" s="18">
        <f>(Dane!G4053-Dane!G253)/Dane!G253</f>
        <v>-1.3234576896134659E-2</v>
      </c>
      <c r="G253" s="19">
        <f>AVERAGE(Dane!H253,Dane!H1013,Dane!H1393,Dane!H2153,Dane!H2913,Dane!H3673)</f>
        <v>69.5</v>
      </c>
    </row>
    <row r="254" spans="1:7" x14ac:dyDescent="0.3">
      <c r="A254" s="1" t="s">
        <v>509</v>
      </c>
      <c r="B254" s="1" t="s">
        <v>510</v>
      </c>
      <c r="C254" s="18">
        <f>(Dane!D4054-Dane!D254)/Dane!D254</f>
        <v>3.7081970672011813E-2</v>
      </c>
      <c r="D254" s="18">
        <f>(Dane!E4054-Dane!E254)/Dane!E254</f>
        <v>0.41052631578947368</v>
      </c>
      <c r="E254" s="18">
        <f>(Dane!F4054-Dane!F254)/Dane!F254</f>
        <v>-3.880597014925373E-2</v>
      </c>
      <c r="F254" s="18">
        <f>(Dane!G4054-Dane!G254)/Dane!G254</f>
        <v>-0.20037754281042661</v>
      </c>
      <c r="G254" s="19">
        <f>AVERAGE(Dane!H254,Dane!H1014,Dane!H1394,Dane!H2154,Dane!H2914,Dane!H3674)</f>
        <v>20</v>
      </c>
    </row>
    <row r="255" spans="1:7" x14ac:dyDescent="0.3">
      <c r="A255" s="1" t="s">
        <v>511</v>
      </c>
      <c r="B255" s="1" t="s">
        <v>512</v>
      </c>
      <c r="C255" s="18">
        <f>(Dane!D4055-Dane!D255)/Dane!D255</f>
        <v>5.4123285407370686E-2</v>
      </c>
      <c r="D255" s="18">
        <f>(Dane!E4055-Dane!E255)/Dane!E255</f>
        <v>0.18623481781376519</v>
      </c>
      <c r="E255" s="18">
        <f>(Dane!F4055-Dane!F255)/Dane!F255</f>
        <v>0.68817204301075274</v>
      </c>
      <c r="F255" s="18">
        <f>(Dane!G4055-Dane!G255)/Dane!G255</f>
        <v>-0.18397748181799889</v>
      </c>
      <c r="G255" s="19">
        <f>AVERAGE(Dane!H255,Dane!H1015,Dane!H1395,Dane!H2155,Dane!H2915,Dane!H3675)</f>
        <v>103.83333333333333</v>
      </c>
    </row>
    <row r="256" spans="1:7" x14ac:dyDescent="0.3">
      <c r="A256" s="1" t="s">
        <v>513</v>
      </c>
      <c r="B256" s="1" t="s">
        <v>443</v>
      </c>
      <c r="C256" s="18">
        <f>(Dane!D4056-Dane!D256)/Dane!D256</f>
        <v>0.15606565520667315</v>
      </c>
      <c r="D256" s="18">
        <f>(Dane!E4056-Dane!E256)/Dane!E256</f>
        <v>0.46516007532956688</v>
      </c>
      <c r="E256" s="18">
        <f>(Dane!F4056-Dane!F256)/Dane!F256</f>
        <v>0.9866071428571429</v>
      </c>
      <c r="F256" s="18">
        <f>(Dane!G4056-Dane!G256)/Dane!G256</f>
        <v>-0.2034418925153145</v>
      </c>
      <c r="G256" s="19">
        <f>AVERAGE(Dane!H256,Dane!H1016,Dane!H1396,Dane!H2156,Dane!H2916,Dane!H3676)</f>
        <v>17</v>
      </c>
    </row>
    <row r="257" spans="1:7" x14ac:dyDescent="0.3">
      <c r="A257" s="1" t="s">
        <v>514</v>
      </c>
      <c r="B257" s="1" t="s">
        <v>515</v>
      </c>
      <c r="C257" s="18">
        <f>(Dane!D4057-Dane!D257)/Dane!D257</f>
        <v>0.11999054660859583</v>
      </c>
      <c r="D257" s="18">
        <f>(Dane!E4057-Dane!E257)/Dane!E257</f>
        <v>0.22012578616352202</v>
      </c>
      <c r="E257" s="18">
        <f>(Dane!F4057-Dane!F257)/Dane!F257</f>
        <v>1.0038910505836576</v>
      </c>
      <c r="F257" s="18">
        <f>(Dane!G4057-Dane!G257)/Dane!G257</f>
        <v>-9.4450213838981029E-2</v>
      </c>
      <c r="G257" s="19">
        <f>AVERAGE(Dane!H257,Dane!H1017,Dane!H1397,Dane!H2157,Dane!H2917,Dane!H3677)</f>
        <v>64.833333333333329</v>
      </c>
    </row>
    <row r="258" spans="1:7" x14ac:dyDescent="0.3">
      <c r="A258" s="1" t="s">
        <v>516</v>
      </c>
      <c r="B258" s="1" t="s">
        <v>517</v>
      </c>
      <c r="C258" s="18">
        <f>(Dane!D4058-Dane!D258)/Dane!D258</f>
        <v>6.4752462216762813E-2</v>
      </c>
      <c r="D258" s="18">
        <f>(Dane!E4058-Dane!E258)/Dane!E258</f>
        <v>0.32365145228215769</v>
      </c>
      <c r="E258" s="18">
        <f>(Dane!F4058-Dane!F258)/Dane!F258</f>
        <v>1.0227272727272727</v>
      </c>
      <c r="F258" s="18">
        <f>(Dane!G4058-Dane!G258)/Dane!G258</f>
        <v>-0.41715547243135487</v>
      </c>
      <c r="G258" s="19">
        <f>AVERAGE(Dane!H258,Dane!H1018,Dane!H1398,Dane!H2158,Dane!H2918,Dane!H3678)</f>
        <v>16.333333333333332</v>
      </c>
    </row>
    <row r="259" spans="1:7" x14ac:dyDescent="0.3">
      <c r="A259" s="1" t="s">
        <v>518</v>
      </c>
      <c r="B259" s="1" t="s">
        <v>519</v>
      </c>
      <c r="C259" s="18">
        <f>(Dane!D4059-Dane!D259)/Dane!D259</f>
        <v>0.10691337616978164</v>
      </c>
      <c r="D259" s="18">
        <f>(Dane!E4059-Dane!E259)/Dane!E259</f>
        <v>0.80427046263345192</v>
      </c>
      <c r="E259" s="18">
        <f>(Dane!F4059-Dane!F259)/Dane!F259</f>
        <v>0.65071770334928225</v>
      </c>
      <c r="F259" s="18">
        <f>(Dane!G4059-Dane!G259)/Dane!G259</f>
        <v>-0.13597392751008647</v>
      </c>
      <c r="G259" s="19">
        <f>AVERAGE(Dane!H259,Dane!H1019,Dane!H1399,Dane!H2159,Dane!H2919,Dane!H3679)</f>
        <v>37.833333333333336</v>
      </c>
    </row>
    <row r="260" spans="1:7" x14ac:dyDescent="0.3">
      <c r="A260" s="1" t="s">
        <v>520</v>
      </c>
      <c r="B260" s="1" t="s">
        <v>521</v>
      </c>
      <c r="C260" s="18">
        <f>(Dane!D4060-Dane!D260)/Dane!D260</f>
        <v>5.8185141464529147E-2</v>
      </c>
      <c r="D260" s="18">
        <f>(Dane!E4060-Dane!E260)/Dane!E260</f>
        <v>0.28384279475982532</v>
      </c>
      <c r="E260" s="18">
        <f>(Dane!F4060-Dane!F260)/Dane!F260</f>
        <v>5.0769230769230766</v>
      </c>
      <c r="F260" s="18">
        <f>(Dane!G4060-Dane!G260)/Dane!G260</f>
        <v>0.48756789931572636</v>
      </c>
      <c r="G260" s="19">
        <f>AVERAGE(Dane!H260,Dane!H1020,Dane!H1400,Dane!H2160,Dane!H2920,Dane!H3680)</f>
        <v>0.83333333333333337</v>
      </c>
    </row>
    <row r="261" spans="1:7" x14ac:dyDescent="0.3">
      <c r="A261" s="1" t="s">
        <v>522</v>
      </c>
      <c r="B261" s="1" t="s">
        <v>523</v>
      </c>
      <c r="C261" s="18">
        <f>(Dane!D4061-Dane!D261)/Dane!D261</f>
        <v>5.3587353060397247E-2</v>
      </c>
      <c r="D261" s="18">
        <f>(Dane!E4061-Dane!E261)/Dane!E261</f>
        <v>-0.10504201680672269</v>
      </c>
      <c r="E261" s="18">
        <f>(Dane!F4061-Dane!F261)/Dane!F261</f>
        <v>0.88235294117647056</v>
      </c>
      <c r="F261" s="18">
        <f>(Dane!G4061-Dane!G261)/Dane!G261</f>
        <v>-0.16243232541037339</v>
      </c>
      <c r="G261" s="19">
        <f>AVERAGE(Dane!H261,Dane!H1021,Dane!H1401,Dane!H2161,Dane!H2921,Dane!H3681)</f>
        <v>10.333333333333334</v>
      </c>
    </row>
    <row r="262" spans="1:7" x14ac:dyDescent="0.3">
      <c r="A262" s="1" t="s">
        <v>524</v>
      </c>
      <c r="B262" s="1" t="s">
        <v>525</v>
      </c>
      <c r="C262" s="18">
        <f>(Dane!D4062-Dane!D262)/Dane!D262</f>
        <v>0.16921638884561457</v>
      </c>
      <c r="D262" s="18">
        <f>(Dane!E4062-Dane!E262)/Dane!E262</f>
        <v>0.27649769585253459</v>
      </c>
      <c r="E262" s="18">
        <f>(Dane!F4062-Dane!F262)/Dane!F262</f>
        <v>0.50632911392405067</v>
      </c>
      <c r="F262" s="18">
        <f>(Dane!G4062-Dane!G262)/Dane!G262</f>
        <v>0.10892365834561735</v>
      </c>
      <c r="G262" s="19">
        <f>AVERAGE(Dane!H262,Dane!H1022,Dane!H1402,Dane!H2162,Dane!H2922,Dane!H3682)</f>
        <v>40.5</v>
      </c>
    </row>
    <row r="263" spans="1:7" x14ac:dyDescent="0.3">
      <c r="A263" s="1" t="s">
        <v>526</v>
      </c>
      <c r="B263" s="1" t="s">
        <v>527</v>
      </c>
      <c r="C263" s="18">
        <f>(Dane!D4063-Dane!D263)/Dane!D263</f>
        <v>1.2265046516043288E-2</v>
      </c>
      <c r="D263" s="18">
        <f>(Dane!E4063-Dane!E263)/Dane!E263</f>
        <v>-2.2727272727272728E-2</v>
      </c>
      <c r="E263" s="18">
        <f>(Dane!F4063-Dane!F263)/Dane!F263</f>
        <v>2.5869565217391304</v>
      </c>
      <c r="F263" s="18">
        <f>(Dane!G4063-Dane!G263)/Dane!G263</f>
        <v>-0.46446985977889427</v>
      </c>
      <c r="G263" s="19">
        <f>AVERAGE(Dane!H263,Dane!H1023,Dane!H1403,Dane!H2163,Dane!H2923,Dane!H3683)</f>
        <v>5.333333333333333</v>
      </c>
    </row>
    <row r="264" spans="1:7" x14ac:dyDescent="0.3">
      <c r="A264" s="1" t="s">
        <v>528</v>
      </c>
      <c r="B264" s="1" t="s">
        <v>529</v>
      </c>
      <c r="C264" s="18">
        <f>(Dane!D4064-Dane!D264)/Dane!D264</f>
        <v>0.13776253195689461</v>
      </c>
      <c r="D264" s="18">
        <f>(Dane!E4064-Dane!E264)/Dane!E264</f>
        <v>0.18509615384615385</v>
      </c>
      <c r="E264" s="18">
        <f>(Dane!F4064-Dane!F264)/Dane!F264</f>
        <v>-1</v>
      </c>
      <c r="F264" s="18">
        <f>(Dane!G4064-Dane!G264)/Dane!G264</f>
        <v>0.41053440176714012</v>
      </c>
      <c r="G264" s="19">
        <f>AVERAGE(Dane!H264,Dane!H1024,Dane!H1404,Dane!H2164,Dane!H2924,Dane!H3684)</f>
        <v>22</v>
      </c>
    </row>
    <row r="265" spans="1:7" x14ac:dyDescent="0.3">
      <c r="A265" s="1" t="s">
        <v>530</v>
      </c>
      <c r="B265" s="1" t="s">
        <v>531</v>
      </c>
      <c r="C265" s="18">
        <f>(Dane!D4065-Dane!D265)/Dane!D265</f>
        <v>4.3100061731859249E-2</v>
      </c>
      <c r="D265" s="18">
        <f>(Dane!E4065-Dane!E265)/Dane!E265</f>
        <v>0.74796747967479671</v>
      </c>
      <c r="E265" s="18">
        <f>(Dane!F4065-Dane!F265)/Dane!F265</f>
        <v>1.0681818181818181</v>
      </c>
      <c r="F265" s="18">
        <f>(Dane!G4065-Dane!G265)/Dane!G265</f>
        <v>-4.5811924739251886E-3</v>
      </c>
      <c r="G265" s="19">
        <f>AVERAGE(Dane!H265,Dane!H1025,Dane!H1405,Dane!H2165,Dane!H2925,Dane!H3685)</f>
        <v>127.5</v>
      </c>
    </row>
    <row r="266" spans="1:7" x14ac:dyDescent="0.3">
      <c r="A266" s="1" t="s">
        <v>532</v>
      </c>
      <c r="B266" s="1" t="s">
        <v>533</v>
      </c>
      <c r="C266" s="18">
        <f>(Dane!D4066-Dane!D266)/Dane!D266</f>
        <v>5.6566588393156661E-2</v>
      </c>
      <c r="D266" s="18">
        <f>(Dane!E4066-Dane!E266)/Dane!E266</f>
        <v>-0.13846153846153847</v>
      </c>
      <c r="E266" s="18">
        <f>(Dane!F4066-Dane!F266)/Dane!F266</f>
        <v>5.9444444444444446</v>
      </c>
      <c r="F266" s="18">
        <f>(Dane!G4066-Dane!G266)/Dane!G266</f>
        <v>0.25746764541328748</v>
      </c>
      <c r="G266" s="19">
        <f>AVERAGE(Dane!H266,Dane!H1026,Dane!H1406,Dane!H2166,Dane!H2926,Dane!H3686)</f>
        <v>78.166666666666671</v>
      </c>
    </row>
    <row r="267" spans="1:7" x14ac:dyDescent="0.3">
      <c r="A267" s="1" t="s">
        <v>534</v>
      </c>
      <c r="B267" s="1" t="s">
        <v>535</v>
      </c>
      <c r="C267" s="18">
        <f>(Dane!D4067-Dane!D267)/Dane!D267</f>
        <v>0.11697098312777089</v>
      </c>
      <c r="D267" s="18">
        <f>(Dane!E4067-Dane!E267)/Dane!E267</f>
        <v>0.23809523809523808</v>
      </c>
      <c r="E267" s="18">
        <f>(Dane!F4067-Dane!F267)/Dane!F267</f>
        <v>0.35327635327635326</v>
      </c>
      <c r="F267" s="18">
        <f>(Dane!G4067-Dane!G267)/Dane!G267</f>
        <v>1.2863202352147622E-2</v>
      </c>
      <c r="G267" s="19">
        <f>AVERAGE(Dane!H267,Dane!H1027,Dane!H1407,Dane!H2167,Dane!H2927,Dane!H3687)</f>
        <v>96.166666666666671</v>
      </c>
    </row>
    <row r="268" spans="1:7" x14ac:dyDescent="0.3">
      <c r="A268" s="1" t="s">
        <v>536</v>
      </c>
      <c r="B268" s="1" t="s">
        <v>537</v>
      </c>
      <c r="C268" s="18">
        <f>(Dane!D4068-Dane!D268)/Dane!D268</f>
        <v>0.10053596614950634</v>
      </c>
      <c r="D268" s="18">
        <f>(Dane!E4068-Dane!E268)/Dane!E268</f>
        <v>4.878048780487805E-2</v>
      </c>
      <c r="E268" s="18">
        <f>(Dane!F4068-Dane!F268)/Dane!F268</f>
        <v>0.80597014925373134</v>
      </c>
      <c r="F268" s="18">
        <f>(Dane!G4068-Dane!G268)/Dane!G268</f>
        <v>6.0774409310763541E-2</v>
      </c>
      <c r="G268" s="19">
        <f>AVERAGE(Dane!H268,Dane!H1028,Dane!H1408,Dane!H2168,Dane!H2928,Dane!H3688)</f>
        <v>14.5</v>
      </c>
    </row>
    <row r="269" spans="1:7" x14ac:dyDescent="0.3">
      <c r="A269" s="1" t="s">
        <v>538</v>
      </c>
      <c r="B269" s="1" t="s">
        <v>539</v>
      </c>
      <c r="C269" s="18">
        <f>(Dane!D4069-Dane!D269)/Dane!D269</f>
        <v>5.7506730171878233E-2</v>
      </c>
      <c r="D269" s="18">
        <f>(Dane!E4069-Dane!E269)/Dane!E269</f>
        <v>-2.5510204081632654E-2</v>
      </c>
      <c r="E269" s="18">
        <f>(Dane!F4069-Dane!F269)/Dane!F269</f>
        <v>1.5232558139534884</v>
      </c>
      <c r="F269" s="18">
        <f>(Dane!G4069-Dane!G269)/Dane!G269</f>
        <v>0.38730359751480586</v>
      </c>
      <c r="G269" s="19">
        <f>AVERAGE(Dane!H269,Dane!H1029,Dane!H1409,Dane!H2169,Dane!H2929,Dane!H3689)</f>
        <v>76.666666666666671</v>
      </c>
    </row>
    <row r="270" spans="1:7" x14ac:dyDescent="0.3">
      <c r="A270" s="1" t="s">
        <v>540</v>
      </c>
      <c r="B270" s="1" t="s">
        <v>541</v>
      </c>
      <c r="C270" s="18">
        <f>(Dane!D4070-Dane!D270)/Dane!D270</f>
        <v>3.553450436481808E-2</v>
      </c>
      <c r="D270" s="18">
        <f>(Dane!E4070-Dane!E270)/Dane!E270</f>
        <v>1.4274193548387097</v>
      </c>
      <c r="E270" s="18">
        <f>(Dane!F4070-Dane!F270)/Dane!F270</f>
        <v>0.15094339622641509</v>
      </c>
      <c r="F270" s="18">
        <f>(Dane!G4070-Dane!G270)/Dane!G270</f>
        <v>-0.33711675550064135</v>
      </c>
      <c r="G270" s="19">
        <f>AVERAGE(Dane!H270,Dane!H1030,Dane!H1410,Dane!H2170,Dane!H2930,Dane!H3690)</f>
        <v>92.833333333333329</v>
      </c>
    </row>
    <row r="271" spans="1:7" x14ac:dyDescent="0.3">
      <c r="A271" s="1" t="s">
        <v>542</v>
      </c>
      <c r="B271" s="1" t="s">
        <v>543</v>
      </c>
      <c r="C271" s="18">
        <f>(Dane!D4071-Dane!D271)/Dane!D271</f>
        <v>0.1083095017521247</v>
      </c>
      <c r="D271" s="18">
        <f>(Dane!E4071-Dane!E271)/Dane!E271</f>
        <v>0.56192236598890943</v>
      </c>
      <c r="E271" s="18">
        <f>(Dane!F4071-Dane!F271)/Dane!F271</f>
        <v>6.1052631578947372</v>
      </c>
      <c r="F271" s="18">
        <f>(Dane!G4071-Dane!G271)/Dane!G271</f>
        <v>0.12974257413127629</v>
      </c>
      <c r="G271" s="19">
        <f>AVERAGE(Dane!H271,Dane!H1031,Dane!H1411,Dane!H2171,Dane!H2931,Dane!H3691)</f>
        <v>16.833333333333332</v>
      </c>
    </row>
    <row r="272" spans="1:7" x14ac:dyDescent="0.3">
      <c r="A272" s="1" t="s">
        <v>544</v>
      </c>
      <c r="B272" s="1" t="s">
        <v>545</v>
      </c>
      <c r="C272" s="18">
        <f>(Dane!D4072-Dane!D272)/Dane!D272</f>
        <v>0.11452562577950517</v>
      </c>
      <c r="D272" s="18">
        <f>(Dane!E4072-Dane!E272)/Dane!E272</f>
        <v>0.30093457943925234</v>
      </c>
      <c r="E272" s="18">
        <f>(Dane!F4072-Dane!F272)/Dane!F272</f>
        <v>0.96947674418604646</v>
      </c>
      <c r="F272" s="18">
        <f>(Dane!G4072-Dane!G272)/Dane!G272</f>
        <v>1.8727524213571912E-2</v>
      </c>
      <c r="G272" s="19">
        <f>AVERAGE(Dane!H272,Dane!H1032,Dane!H1412,Dane!H2172,Dane!H2932,Dane!H3692)</f>
        <v>230.5</v>
      </c>
    </row>
    <row r="273" spans="1:7" x14ac:dyDescent="0.3">
      <c r="A273" s="1" t="s">
        <v>546</v>
      </c>
      <c r="B273" s="1" t="s">
        <v>547</v>
      </c>
      <c r="C273" s="18">
        <f>(Dane!D4073-Dane!D273)/Dane!D273</f>
        <v>1.4424456009507028E-2</v>
      </c>
      <c r="D273" s="18">
        <f>(Dane!E4073-Dane!E273)/Dane!E273</f>
        <v>7.4534161490683232E-2</v>
      </c>
      <c r="E273" s="18">
        <f>(Dane!F4073-Dane!F273)/Dane!F273</f>
        <v>0.90363128491620115</v>
      </c>
      <c r="F273" s="18">
        <f>(Dane!G4073-Dane!G273)/Dane!G273</f>
        <v>-0.2898920810090887</v>
      </c>
      <c r="G273" s="19">
        <f>AVERAGE(Dane!H273,Dane!H1033,Dane!H1413,Dane!H2173,Dane!H2933,Dane!H3693)</f>
        <v>17.666666666666668</v>
      </c>
    </row>
    <row r="274" spans="1:7" x14ac:dyDescent="0.3">
      <c r="A274" s="1" t="s">
        <v>548</v>
      </c>
      <c r="B274" s="1" t="s">
        <v>549</v>
      </c>
      <c r="C274" s="18">
        <f>(Dane!D4074-Dane!D274)/Dane!D274</f>
        <v>4.7577193518801589E-2</v>
      </c>
      <c r="D274" s="18">
        <f>(Dane!E4074-Dane!E274)/Dane!E274</f>
        <v>1.882716049382716</v>
      </c>
      <c r="E274" s="18">
        <f>(Dane!F4074-Dane!F274)/Dane!F274</f>
        <v>1.5537190082644627</v>
      </c>
      <c r="F274" s="18">
        <f>(Dane!G4074-Dane!G274)/Dane!G274</f>
        <v>-0.23901849692329866</v>
      </c>
      <c r="G274" s="19">
        <f>AVERAGE(Dane!H274,Dane!H1034,Dane!H1414,Dane!H2174,Dane!H2934,Dane!H3694)</f>
        <v>310.5</v>
      </c>
    </row>
    <row r="275" spans="1:7" x14ac:dyDescent="0.3">
      <c r="A275" s="1" t="s">
        <v>550</v>
      </c>
      <c r="B275" s="1" t="s">
        <v>551</v>
      </c>
      <c r="C275" s="18">
        <f>(Dane!D4075-Dane!D275)/Dane!D275</f>
        <v>4.6704616296538541E-2</v>
      </c>
      <c r="D275" s="18">
        <f>(Dane!E4075-Dane!E275)/Dane!E275</f>
        <v>1.5122950819672132</v>
      </c>
      <c r="E275" s="18">
        <f>(Dane!F4075-Dane!F275)/Dane!F275</f>
        <v>2.2285115303983227</v>
      </c>
      <c r="F275" s="18">
        <f>(Dane!G4075-Dane!G275)/Dane!G275</f>
        <v>-3.3071762721278326E-2</v>
      </c>
      <c r="G275" s="19">
        <f>AVERAGE(Dane!H275,Dane!H1035,Dane!H1415,Dane!H2175,Dane!H2935,Dane!H3695)</f>
        <v>72.833333333333329</v>
      </c>
    </row>
    <row r="276" spans="1:7" x14ac:dyDescent="0.3">
      <c r="A276" s="1" t="s">
        <v>552</v>
      </c>
      <c r="B276" s="1" t="s">
        <v>553</v>
      </c>
      <c r="C276" s="18">
        <f>(Dane!D4076-Dane!D276)/Dane!D276</f>
        <v>5.7172957312749448E-2</v>
      </c>
      <c r="D276" s="18">
        <f>(Dane!E4076-Dane!E276)/Dane!E276</f>
        <v>1.04</v>
      </c>
      <c r="E276" s="18">
        <f>(Dane!F4076-Dane!F276)/Dane!F276</f>
        <v>-1</v>
      </c>
      <c r="F276" s="18">
        <f>(Dane!G4076-Dane!G276)/Dane!G276</f>
        <v>-0.36384040051894445</v>
      </c>
      <c r="G276" s="19">
        <f>AVERAGE(Dane!H276,Dane!H1036,Dane!H1416,Dane!H2176,Dane!H2936,Dane!H3696)</f>
        <v>25.333333333333332</v>
      </c>
    </row>
    <row r="277" spans="1:7" x14ac:dyDescent="0.3">
      <c r="A277" s="1" t="s">
        <v>554</v>
      </c>
      <c r="B277" s="1" t="s">
        <v>555</v>
      </c>
      <c r="C277" s="18">
        <f>(Dane!D4077-Dane!D277)/Dane!D277</f>
        <v>7.1877969235510125E-2</v>
      </c>
      <c r="D277" s="18">
        <f>(Dane!E4077-Dane!E277)/Dane!E277</f>
        <v>2.9648241206030153</v>
      </c>
      <c r="E277" s="18">
        <f>(Dane!F4077-Dane!F277)/Dane!F277</f>
        <v>1.0973821989528796</v>
      </c>
      <c r="F277" s="18">
        <f>(Dane!G4077-Dane!G277)/Dane!G277</f>
        <v>0.12410971027102805</v>
      </c>
      <c r="G277" s="19">
        <f>AVERAGE(Dane!H277,Dane!H1037,Dane!H1417,Dane!H2177,Dane!H2937,Dane!H3697)</f>
        <v>550.83333333333337</v>
      </c>
    </row>
    <row r="278" spans="1:7" x14ac:dyDescent="0.3">
      <c r="A278" s="1" t="s">
        <v>556</v>
      </c>
      <c r="B278" s="1" t="s">
        <v>557</v>
      </c>
      <c r="C278" s="18">
        <f>(Dane!D4078-Dane!D278)/Dane!D278</f>
        <v>4.6895808231339972E-2</v>
      </c>
      <c r="D278" s="18">
        <f>(Dane!E4078-Dane!E278)/Dane!E278</f>
        <v>0.17708333333333334</v>
      </c>
      <c r="E278" s="18">
        <f>(Dane!F4078-Dane!F278)/Dane!F278</f>
        <v>-1</v>
      </c>
      <c r="F278" s="18">
        <f>(Dane!G4078-Dane!G278)/Dane!G278</f>
        <v>3.3586478931337635E-2</v>
      </c>
      <c r="G278" s="19">
        <f>AVERAGE(Dane!H278,Dane!H1038,Dane!H1418,Dane!H2178,Dane!H2938,Dane!H3698)</f>
        <v>0</v>
      </c>
    </row>
    <row r="279" spans="1:7" x14ac:dyDescent="0.3">
      <c r="A279" s="1" t="s">
        <v>558</v>
      </c>
      <c r="B279" s="1" t="s">
        <v>559</v>
      </c>
      <c r="C279" s="18">
        <f>(Dane!D4079-Dane!D279)/Dane!D279</f>
        <v>8.6431335757007149E-2</v>
      </c>
      <c r="D279" s="18">
        <f>(Dane!E4079-Dane!E279)/Dane!E279</f>
        <v>0.96621621621621623</v>
      </c>
      <c r="E279" s="18">
        <f>(Dane!F4079-Dane!F279)/Dane!F279</f>
        <v>7.5842696629213488E-2</v>
      </c>
      <c r="F279" s="18">
        <f>(Dane!G4079-Dane!G279)/Dane!G279</f>
        <v>-9.0866452629269942E-2</v>
      </c>
      <c r="G279" s="19">
        <f>AVERAGE(Dane!H279,Dane!H1039,Dane!H1419,Dane!H2179,Dane!H2939,Dane!H3699)</f>
        <v>22.333333333333332</v>
      </c>
    </row>
    <row r="280" spans="1:7" x14ac:dyDescent="0.3">
      <c r="A280" s="1" t="s">
        <v>560</v>
      </c>
      <c r="B280" s="1" t="s">
        <v>561</v>
      </c>
      <c r="C280" s="18">
        <f>(Dane!D4080-Dane!D280)/Dane!D280</f>
        <v>0.14826243691420332</v>
      </c>
      <c r="D280" s="18">
        <f>(Dane!E4080-Dane!E280)/Dane!E280</f>
        <v>4.8196078431372547</v>
      </c>
      <c r="E280" s="18">
        <f>(Dane!F4080-Dane!F280)/Dane!F280</f>
        <v>3.0471887550200805</v>
      </c>
      <c r="F280" s="18">
        <f>(Dane!G4080-Dane!G280)/Dane!G280</f>
        <v>-0.33633738001129304</v>
      </c>
      <c r="G280" s="19">
        <f>AVERAGE(Dane!H280,Dane!H1040,Dane!H1420,Dane!H2180,Dane!H2940,Dane!H3700)</f>
        <v>194.66666666666666</v>
      </c>
    </row>
    <row r="281" spans="1:7" x14ac:dyDescent="0.3">
      <c r="A281" s="1" t="s">
        <v>562</v>
      </c>
      <c r="B281" s="1" t="s">
        <v>563</v>
      </c>
      <c r="C281" s="18">
        <f>(Dane!D4081-Dane!D281)/Dane!D281</f>
        <v>9.7315436241610737E-2</v>
      </c>
      <c r="D281" s="18">
        <f>(Dane!E4081-Dane!E281)/Dane!E281</f>
        <v>0.30859375</v>
      </c>
      <c r="E281" s="18">
        <f>(Dane!F4081-Dane!F281)/Dane!F281</f>
        <v>0.25155279503105588</v>
      </c>
      <c r="F281" s="18">
        <f>(Dane!G4081-Dane!G281)/Dane!G281</f>
        <v>-4.5899599124593092E-2</v>
      </c>
      <c r="G281" s="19">
        <f>AVERAGE(Dane!H281,Dane!H1041,Dane!H1421,Dane!H2181,Dane!H2941,Dane!H3701)</f>
        <v>12.833333333333334</v>
      </c>
    </row>
    <row r="282" spans="1:7" x14ac:dyDescent="0.3">
      <c r="A282" s="1" t="s">
        <v>564</v>
      </c>
      <c r="B282" s="1" t="s">
        <v>565</v>
      </c>
      <c r="C282" s="18">
        <f>(Dane!D4082-Dane!D282)/Dane!D282</f>
        <v>3.8034149426325776E-2</v>
      </c>
      <c r="D282" s="18">
        <f>(Dane!E4082-Dane!E282)/Dane!E282</f>
        <v>2.0816326530612246</v>
      </c>
      <c r="E282" s="18">
        <f>(Dane!F4082-Dane!F282)/Dane!F282</f>
        <v>1.0844155844155845</v>
      </c>
      <c r="F282" s="18">
        <f>(Dane!G4082-Dane!G282)/Dane!G282</f>
        <v>0.57305495706517739</v>
      </c>
      <c r="G282" s="19">
        <f>AVERAGE(Dane!H282,Dane!H1042,Dane!H1422,Dane!H2182,Dane!H2942,Dane!H3702)</f>
        <v>83.666666666666671</v>
      </c>
    </row>
    <row r="283" spans="1:7" x14ac:dyDescent="0.3">
      <c r="A283" s="1" t="s">
        <v>566</v>
      </c>
      <c r="B283" s="1" t="s">
        <v>567</v>
      </c>
      <c r="C283" s="18">
        <f>(Dane!D4083-Dane!D283)/Dane!D283</f>
        <v>6.0396056757740083E-2</v>
      </c>
      <c r="D283" s="18">
        <f>(Dane!E4083-Dane!E283)/Dane!E283</f>
        <v>1.6972477064220184</v>
      </c>
      <c r="E283" s="18">
        <f>(Dane!F4083-Dane!F283)/Dane!F283</f>
        <v>0.70515463917525778</v>
      </c>
      <c r="F283" s="18">
        <f>(Dane!G4083-Dane!G283)/Dane!G283</f>
        <v>-0.19375499165426735</v>
      </c>
      <c r="G283" s="19">
        <f>AVERAGE(Dane!H283,Dane!H1043,Dane!H1423,Dane!H2183,Dane!H2943,Dane!H3703)</f>
        <v>222.83333333333334</v>
      </c>
    </row>
    <row r="284" spans="1:7" x14ac:dyDescent="0.3">
      <c r="A284" s="1" t="s">
        <v>568</v>
      </c>
      <c r="B284" s="1" t="s">
        <v>569</v>
      </c>
      <c r="C284" s="18">
        <f>(Dane!D4084-Dane!D284)/Dane!D284</f>
        <v>0.12825878082630512</v>
      </c>
      <c r="D284" s="18">
        <f>(Dane!E4084-Dane!E284)/Dane!E284</f>
        <v>1.1661807580174927E-2</v>
      </c>
      <c r="E284" s="18">
        <f>(Dane!F4084-Dane!F284)/Dane!F284</f>
        <v>1.0469798657718121</v>
      </c>
      <c r="F284" s="18">
        <f>(Dane!G4084-Dane!G284)/Dane!G284</f>
        <v>0.24077252453631479</v>
      </c>
      <c r="G284" s="19">
        <f>AVERAGE(Dane!H284,Dane!H1044,Dane!H1424,Dane!H2184,Dane!H2944,Dane!H3704)</f>
        <v>188.66666666666666</v>
      </c>
    </row>
    <row r="285" spans="1:7" x14ac:dyDescent="0.3">
      <c r="A285" s="1" t="s">
        <v>570</v>
      </c>
      <c r="B285" s="1" t="s">
        <v>571</v>
      </c>
      <c r="C285" s="18">
        <f>(Dane!D4085-Dane!D285)/Dane!D285</f>
        <v>4.3778130362982871E-2</v>
      </c>
      <c r="D285" s="18">
        <f>(Dane!E4085-Dane!E285)/Dane!E285</f>
        <v>6.7777777777777777</v>
      </c>
      <c r="E285" s="18">
        <f>(Dane!F4085-Dane!F285)/Dane!F285</f>
        <v>0.65400000000000003</v>
      </c>
      <c r="F285" s="18">
        <f>(Dane!G4085-Dane!G285)/Dane!G285</f>
        <v>-0.14102248868241712</v>
      </c>
      <c r="G285" s="19">
        <f>AVERAGE(Dane!H285,Dane!H1045,Dane!H1425,Dane!H2185,Dane!H2945,Dane!H3705)</f>
        <v>211.66666666666666</v>
      </c>
    </row>
    <row r="286" spans="1:7" x14ac:dyDescent="0.3">
      <c r="A286" s="1" t="s">
        <v>572</v>
      </c>
      <c r="B286" s="1" t="s">
        <v>573</v>
      </c>
      <c r="C286" s="18">
        <f>(Dane!D4086-Dane!D286)/Dane!D286</f>
        <v>3.9285675181482738E-2</v>
      </c>
      <c r="D286" s="18">
        <f>(Dane!E4086-Dane!E286)/Dane!E286</f>
        <v>0.96286472148541113</v>
      </c>
      <c r="E286" s="18">
        <f>(Dane!F4086-Dane!F286)/Dane!F286</f>
        <v>2.5031578947368422</v>
      </c>
      <c r="F286" s="18">
        <f>(Dane!G4086-Dane!G286)/Dane!G286</f>
        <v>-0.13863525078766087</v>
      </c>
      <c r="G286" s="19">
        <f>AVERAGE(Dane!H286,Dane!H1046,Dane!H1426,Dane!H2186,Dane!H2946,Dane!H3706)</f>
        <v>487</v>
      </c>
    </row>
    <row r="287" spans="1:7" x14ac:dyDescent="0.3">
      <c r="A287" s="1" t="s">
        <v>574</v>
      </c>
      <c r="B287" s="1" t="s">
        <v>575</v>
      </c>
      <c r="C287" s="18">
        <f>(Dane!D4087-Dane!D287)/Dane!D287</f>
        <v>4.2481908335566872E-2</v>
      </c>
      <c r="D287" s="18">
        <f>(Dane!E4087-Dane!E287)/Dane!E287</f>
        <v>1.4375</v>
      </c>
      <c r="E287" s="18">
        <f>(Dane!F4087-Dane!F287)/Dane!F287</f>
        <v>1.3128834355828221</v>
      </c>
      <c r="F287" s="18">
        <f>(Dane!G4087-Dane!G287)/Dane!G287</f>
        <v>-0.61797585765646745</v>
      </c>
      <c r="G287" s="19">
        <f>AVERAGE(Dane!H287,Dane!H1047,Dane!H1427,Dane!H2187,Dane!H2947,Dane!H3707)</f>
        <v>49.333333333333336</v>
      </c>
    </row>
    <row r="288" spans="1:7" x14ac:dyDescent="0.3">
      <c r="A288" s="1" t="s">
        <v>576</v>
      </c>
      <c r="B288" s="1" t="s">
        <v>577</v>
      </c>
      <c r="C288" s="18">
        <f>(Dane!D4088-Dane!D288)/Dane!D288</f>
        <v>0.10771756978653531</v>
      </c>
      <c r="D288" s="18">
        <f>(Dane!E4088-Dane!E288)/Dane!E288</f>
        <v>0.85679012345679018</v>
      </c>
      <c r="E288" s="18">
        <f>(Dane!F4088-Dane!F288)/Dane!F288</f>
        <v>0.33284671532846716</v>
      </c>
      <c r="F288" s="18">
        <f>(Dane!G4088-Dane!G288)/Dane!G288</f>
        <v>-7.3677459559581659E-2</v>
      </c>
      <c r="G288" s="19">
        <f>AVERAGE(Dane!H288,Dane!H1048,Dane!H1428,Dane!H2188,Dane!H2948,Dane!H3708)</f>
        <v>70.5</v>
      </c>
    </row>
    <row r="289" spans="1:7" x14ac:dyDescent="0.3">
      <c r="A289" s="1" t="s">
        <v>578</v>
      </c>
      <c r="B289" s="1" t="s">
        <v>579</v>
      </c>
      <c r="C289" s="18">
        <f>(Dane!D4089-Dane!D289)/Dane!D289</f>
        <v>3.4124693007023137E-2</v>
      </c>
      <c r="D289" s="18">
        <f>(Dane!E4089-Dane!E289)/Dane!E289</f>
        <v>2.274390243902439</v>
      </c>
      <c r="E289" s="18">
        <f>(Dane!F4089-Dane!F289)/Dane!F289</f>
        <v>1.2783882783882783</v>
      </c>
      <c r="F289" s="18">
        <f>(Dane!G4089-Dane!G289)/Dane!G289</f>
        <v>-0.16736263023372119</v>
      </c>
      <c r="G289" s="19">
        <f>AVERAGE(Dane!H289,Dane!H1049,Dane!H1429,Dane!H2189,Dane!H2949,Dane!H3709)</f>
        <v>50.166666666666664</v>
      </c>
    </row>
    <row r="290" spans="1:7" x14ac:dyDescent="0.3">
      <c r="A290" s="1" t="s">
        <v>580</v>
      </c>
      <c r="B290" s="1" t="s">
        <v>581</v>
      </c>
      <c r="C290" s="18">
        <f>(Dane!D4090-Dane!D290)/Dane!D290</f>
        <v>0.20721506645455945</v>
      </c>
      <c r="D290" s="18">
        <f>(Dane!E4090-Dane!E290)/Dane!E290</f>
        <v>1.9565217391304348</v>
      </c>
      <c r="E290" s="18">
        <f>(Dane!F4090-Dane!F290)/Dane!F290</f>
        <v>1.1375</v>
      </c>
      <c r="F290" s="18">
        <f>(Dane!G4090-Dane!G290)/Dane!G290</f>
        <v>0.2010853584233491</v>
      </c>
      <c r="G290" s="19">
        <f>AVERAGE(Dane!H290,Dane!H1050,Dane!H1430,Dane!H2190,Dane!H2950,Dane!H3710)</f>
        <v>49.5</v>
      </c>
    </row>
    <row r="291" spans="1:7" x14ac:dyDescent="0.3">
      <c r="A291" s="1" t="s">
        <v>582</v>
      </c>
      <c r="B291" s="1" t="s">
        <v>583</v>
      </c>
      <c r="C291" s="18">
        <f>(Dane!D4091-Dane!D291)/Dane!D291</f>
        <v>6.3141536825747357E-2</v>
      </c>
      <c r="D291" s="18">
        <f>(Dane!E4091-Dane!E291)/Dane!E291</f>
        <v>1.2969696969696969</v>
      </c>
      <c r="E291" s="18">
        <f>(Dane!F4091-Dane!F291)/Dane!F291</f>
        <v>4.0263157894736841</v>
      </c>
      <c r="F291" s="18">
        <f>(Dane!G4091-Dane!G291)/Dane!G291</f>
        <v>-0.3401705473539075</v>
      </c>
      <c r="G291" s="19">
        <f>AVERAGE(Dane!H291,Dane!H1051,Dane!H1431,Dane!H2191,Dane!H2951,Dane!H3711)</f>
        <v>1.8333333333333333</v>
      </c>
    </row>
    <row r="292" spans="1:7" x14ac:dyDescent="0.3">
      <c r="A292" s="1" t="s">
        <v>584</v>
      </c>
      <c r="B292" s="1" t="s">
        <v>585</v>
      </c>
      <c r="C292" s="18">
        <f>(Dane!D4092-Dane!D292)/Dane!D292</f>
        <v>4.3687510591425185E-2</v>
      </c>
      <c r="D292" s="18">
        <f>(Dane!E4092-Dane!E292)/Dane!E292</f>
        <v>0.43382352941176472</v>
      </c>
      <c r="E292" s="18" t="s">
        <v>70</v>
      </c>
      <c r="F292" s="18">
        <f>(Dane!G4092-Dane!G292)/Dane!G292</f>
        <v>-0.28744863821381156</v>
      </c>
      <c r="G292" s="19">
        <f>AVERAGE(Dane!H292,Dane!H1052,Dane!H1432,Dane!H2192,Dane!H2952,Dane!H3712)</f>
        <v>16.666666666666668</v>
      </c>
    </row>
    <row r="293" spans="1:7" x14ac:dyDescent="0.3">
      <c r="A293" s="1" t="s">
        <v>586</v>
      </c>
      <c r="B293" s="1" t="s">
        <v>587</v>
      </c>
      <c r="C293" s="18">
        <f>(Dane!D4093-Dane!D293)/Dane!D293</f>
        <v>1.5722692166237586E-2</v>
      </c>
      <c r="D293" s="18">
        <f>(Dane!E4093-Dane!E293)/Dane!E293</f>
        <v>0.95238095238095233</v>
      </c>
      <c r="E293" s="18">
        <f>(Dane!F4093-Dane!F293)/Dane!F293</f>
        <v>0.4</v>
      </c>
      <c r="F293" s="18">
        <f>(Dane!G4093-Dane!G293)/Dane!G293</f>
        <v>-0.62957790456725993</v>
      </c>
      <c r="G293" s="19">
        <f>AVERAGE(Dane!H293,Dane!H1053,Dane!H1433,Dane!H2193,Dane!H2953,Dane!H3713)</f>
        <v>0</v>
      </c>
    </row>
    <row r="294" spans="1:7" x14ac:dyDescent="0.3">
      <c r="A294" s="1" t="s">
        <v>588</v>
      </c>
      <c r="B294" s="1" t="s">
        <v>589</v>
      </c>
      <c r="C294" s="18">
        <f>(Dane!D4094-Dane!D294)/Dane!D294</f>
        <v>0.12851052077399755</v>
      </c>
      <c r="D294" s="18">
        <f>(Dane!E4094-Dane!E294)/Dane!E294</f>
        <v>0.29496402877697842</v>
      </c>
      <c r="E294" s="18">
        <f>(Dane!F4094-Dane!F294)/Dane!F294</f>
        <v>31.666666666666668</v>
      </c>
      <c r="F294" s="18">
        <f>(Dane!G4094-Dane!G294)/Dane!G294</f>
        <v>-0.51131232187141429</v>
      </c>
      <c r="G294" s="19">
        <f>AVERAGE(Dane!H294,Dane!H1054,Dane!H1434,Dane!H2194,Dane!H2954,Dane!H3714)</f>
        <v>20.833333333333332</v>
      </c>
    </row>
    <row r="295" spans="1:7" x14ac:dyDescent="0.3">
      <c r="A295" s="1" t="s">
        <v>590</v>
      </c>
      <c r="B295" s="1" t="s">
        <v>591</v>
      </c>
      <c r="C295" s="18">
        <f>(Dane!D4095-Dane!D295)/Dane!D295</f>
        <v>2.7859684799186577E-2</v>
      </c>
      <c r="D295" s="18">
        <f>(Dane!E4095-Dane!E295)/Dane!E295</f>
        <v>0.62043795620437958</v>
      </c>
      <c r="E295" s="18">
        <f>(Dane!F4095-Dane!F295)/Dane!F295</f>
        <v>0.67441860465116277</v>
      </c>
      <c r="F295" s="18">
        <f>(Dane!G4095-Dane!G295)/Dane!G295</f>
        <v>-0.29754002342834829</v>
      </c>
      <c r="G295" s="19">
        <f>AVERAGE(Dane!H295,Dane!H1055,Dane!H1435,Dane!H2195,Dane!H2955,Dane!H3715)</f>
        <v>9.6666666666666661</v>
      </c>
    </row>
    <row r="296" spans="1:7" x14ac:dyDescent="0.3">
      <c r="A296" s="1" t="s">
        <v>592</v>
      </c>
      <c r="B296" s="1" t="s">
        <v>593</v>
      </c>
      <c r="C296" s="18">
        <f>(Dane!D4096-Dane!D296)/Dane!D296</f>
        <v>6.769564040075819E-3</v>
      </c>
      <c r="D296" s="18">
        <f>(Dane!E4096-Dane!E296)/Dane!E296</f>
        <v>0.18461538461538463</v>
      </c>
      <c r="E296" s="18">
        <f>(Dane!F4096-Dane!F296)/Dane!F296</f>
        <v>0.875</v>
      </c>
      <c r="F296" s="18">
        <f>(Dane!G4096-Dane!G296)/Dane!G296</f>
        <v>-0.42248176401804111</v>
      </c>
      <c r="G296" s="19">
        <f>AVERAGE(Dane!H296,Dane!H1056,Dane!H1436,Dane!H2196,Dane!H2956,Dane!H3716)</f>
        <v>6.166666666666667</v>
      </c>
    </row>
    <row r="297" spans="1:7" x14ac:dyDescent="0.3">
      <c r="A297" s="1" t="s">
        <v>594</v>
      </c>
      <c r="B297" s="1" t="s">
        <v>595</v>
      </c>
      <c r="C297" s="18">
        <f>(Dane!D4097-Dane!D297)/Dane!D297</f>
        <v>1.8309166871467192E-2</v>
      </c>
      <c r="D297" s="18">
        <f>(Dane!E4097-Dane!E297)/Dane!E297</f>
        <v>-0.33333333333333331</v>
      </c>
      <c r="E297" s="18">
        <f>(Dane!F4097-Dane!F297)/Dane!F297</f>
        <v>1.6666666666666667</v>
      </c>
      <c r="F297" s="18">
        <f>(Dane!G4097-Dane!G297)/Dane!G297</f>
        <v>-0.31883872711022426</v>
      </c>
      <c r="G297" s="19">
        <f>AVERAGE(Dane!H297,Dane!H1057,Dane!H1437,Dane!H2197,Dane!H2957,Dane!H3717)</f>
        <v>4.666666666666667</v>
      </c>
    </row>
    <row r="298" spans="1:7" x14ac:dyDescent="0.3">
      <c r="A298" s="1" t="s">
        <v>596</v>
      </c>
      <c r="B298" s="1" t="s">
        <v>597</v>
      </c>
      <c r="C298" s="18">
        <f>(Dane!D4098-Dane!D298)/Dane!D298</f>
        <v>4.3502785024324898E-2</v>
      </c>
      <c r="D298" s="18">
        <f>(Dane!E4098-Dane!E298)/Dane!E298</f>
        <v>-0.15189873417721519</v>
      </c>
      <c r="E298" s="18">
        <f>(Dane!F4098-Dane!F298)/Dane!F298</f>
        <v>-0.26666666666666666</v>
      </c>
      <c r="F298" s="18">
        <f>(Dane!G4098-Dane!G298)/Dane!G298</f>
        <v>-0.30863611813819564</v>
      </c>
      <c r="G298" s="19">
        <f>AVERAGE(Dane!H298,Dane!H1058,Dane!H1438,Dane!H2198,Dane!H2958,Dane!H3718)</f>
        <v>7.333333333333333</v>
      </c>
    </row>
    <row r="299" spans="1:7" x14ac:dyDescent="0.3">
      <c r="A299" s="1" t="s">
        <v>598</v>
      </c>
      <c r="B299" s="1" t="s">
        <v>599</v>
      </c>
      <c r="C299" s="18">
        <f>(Dane!D4099-Dane!D299)/Dane!D299</f>
        <v>3.9916627339940225E-2</v>
      </c>
      <c r="D299" s="18">
        <f>(Dane!E4099-Dane!E299)/Dane!E299</f>
        <v>1.1386138613861385</v>
      </c>
      <c r="E299" s="18">
        <f>(Dane!F4099-Dane!F299)/Dane!F299</f>
        <v>0.9375</v>
      </c>
      <c r="F299" s="18">
        <f>(Dane!G4099-Dane!G299)/Dane!G299</f>
        <v>-3.5612464505197822E-3</v>
      </c>
      <c r="G299" s="19">
        <f>AVERAGE(Dane!H299,Dane!H1059,Dane!H1439,Dane!H2199,Dane!H2959,Dane!H3719)</f>
        <v>4</v>
      </c>
    </row>
    <row r="300" spans="1:7" x14ac:dyDescent="0.3">
      <c r="A300" s="1" t="s">
        <v>600</v>
      </c>
      <c r="B300" s="1" t="s">
        <v>601</v>
      </c>
      <c r="C300" s="18">
        <f>(Dane!D4100-Dane!D300)/Dane!D300</f>
        <v>1.2586762312776062E-2</v>
      </c>
      <c r="D300" s="18">
        <f>(Dane!E4100-Dane!E300)/Dane!E300</f>
        <v>1.4545454545454546</v>
      </c>
      <c r="E300" s="18">
        <f>(Dane!F4100-Dane!F300)/Dane!F300</f>
        <v>2.1975308641975309</v>
      </c>
      <c r="F300" s="18">
        <f>(Dane!G4100-Dane!G300)/Dane!G300</f>
        <v>-0.15622013847436411</v>
      </c>
      <c r="G300" s="19">
        <f>AVERAGE(Dane!H300,Dane!H1060,Dane!H1440,Dane!H2200,Dane!H2960,Dane!H3720)</f>
        <v>0</v>
      </c>
    </row>
    <row r="301" spans="1:7" x14ac:dyDescent="0.3">
      <c r="A301" s="1" t="s">
        <v>602</v>
      </c>
      <c r="B301" s="1" t="s">
        <v>603</v>
      </c>
      <c r="C301" s="18">
        <f>(Dane!D4101-Dane!D301)/Dane!D301</f>
        <v>4.7768304914744229E-2</v>
      </c>
      <c r="D301" s="18">
        <f>(Dane!E4101-Dane!E301)/Dane!E301</f>
        <v>1.85</v>
      </c>
      <c r="E301" s="18">
        <f>(Dane!F4101-Dane!F301)/Dane!F301</f>
        <v>0.87969924812030076</v>
      </c>
      <c r="F301" s="18">
        <f>(Dane!G4101-Dane!G301)/Dane!G301</f>
        <v>-0.21830425432821204</v>
      </c>
      <c r="G301" s="19">
        <f>AVERAGE(Dane!H301,Dane!H1061,Dane!H1441,Dane!H2201,Dane!H2961,Dane!H3721)</f>
        <v>21.333333333333332</v>
      </c>
    </row>
    <row r="302" spans="1:7" x14ac:dyDescent="0.3">
      <c r="A302" s="1" t="s">
        <v>604</v>
      </c>
      <c r="B302" s="1" t="s">
        <v>605</v>
      </c>
      <c r="C302" s="18">
        <f>(Dane!D4102-Dane!D302)/Dane!D302</f>
        <v>5.587743015321231E-2</v>
      </c>
      <c r="D302" s="18">
        <f>(Dane!E4102-Dane!E302)/Dane!E302</f>
        <v>-0.23414634146341465</v>
      </c>
      <c r="E302" s="18">
        <f>(Dane!F4102-Dane!F302)/Dane!F302</f>
        <v>0.27272727272727271</v>
      </c>
      <c r="F302" s="18">
        <f>(Dane!G4102-Dane!G302)/Dane!G302</f>
        <v>-0.30985149378572824</v>
      </c>
      <c r="G302" s="19">
        <f>AVERAGE(Dane!H302,Dane!H1062,Dane!H1442,Dane!H2202,Dane!H2962,Dane!H3722)</f>
        <v>5</v>
      </c>
    </row>
    <row r="303" spans="1:7" x14ac:dyDescent="0.3">
      <c r="A303" s="1" t="s">
        <v>606</v>
      </c>
      <c r="B303" s="1" t="s">
        <v>607</v>
      </c>
      <c r="C303" s="18">
        <f>(Dane!D4103-Dane!D303)/Dane!D303</f>
        <v>6.5798535027859512E-2</v>
      </c>
      <c r="D303" s="18">
        <f>(Dane!E4103-Dane!E303)/Dane!E303</f>
        <v>0.51587301587301593</v>
      </c>
      <c r="E303" s="18">
        <f>(Dane!F4103-Dane!F303)/Dane!F303</f>
        <v>1.5</v>
      </c>
      <c r="F303" s="18">
        <f>(Dane!G4103-Dane!G303)/Dane!G303</f>
        <v>-0.49871413767803519</v>
      </c>
      <c r="G303" s="19">
        <f>AVERAGE(Dane!H303,Dane!H1063,Dane!H1443,Dane!H2203,Dane!H2963,Dane!H3723)</f>
        <v>5.333333333333333</v>
      </c>
    </row>
    <row r="304" spans="1:7" x14ac:dyDescent="0.3">
      <c r="A304" s="1" t="s">
        <v>608</v>
      </c>
      <c r="B304" s="1" t="s">
        <v>609</v>
      </c>
      <c r="C304" s="18">
        <f>(Dane!D4104-Dane!D304)/Dane!D304</f>
        <v>0.14356564541926525</v>
      </c>
      <c r="D304" s="18">
        <f>(Dane!E4104-Dane!E304)/Dane!E304</f>
        <v>0.76726726726726724</v>
      </c>
      <c r="E304" s="18">
        <f>(Dane!F4104-Dane!F304)/Dane!F304</f>
        <v>0.88558558558558553</v>
      </c>
      <c r="F304" s="18">
        <f>(Dane!G4104-Dane!G304)/Dane!G304</f>
        <v>-0.31004107474978593</v>
      </c>
      <c r="G304" s="19">
        <f>AVERAGE(Dane!H304,Dane!H1064,Dane!H1444,Dane!H2204,Dane!H2964,Dane!H3724)</f>
        <v>108.33333333333333</v>
      </c>
    </row>
    <row r="305" spans="1:7" x14ac:dyDescent="0.3">
      <c r="A305" s="1" t="s">
        <v>610</v>
      </c>
      <c r="B305" s="1" t="s">
        <v>611</v>
      </c>
      <c r="C305" s="18">
        <f>(Dane!D4105-Dane!D305)/Dane!D305</f>
        <v>1.7431415392085457E-2</v>
      </c>
      <c r="D305" s="18">
        <f>(Dane!E4105-Dane!E305)/Dane!E305</f>
        <v>-0.43283582089552236</v>
      </c>
      <c r="E305" s="18">
        <f>(Dane!F4105-Dane!F305)/Dane!F305</f>
        <v>0.6333333333333333</v>
      </c>
      <c r="F305" s="18">
        <f>(Dane!G4105-Dane!G305)/Dane!G305</f>
        <v>-0.16681488381989101</v>
      </c>
      <c r="G305" s="19">
        <f>AVERAGE(Dane!H305,Dane!H1065,Dane!H1445,Dane!H2205,Dane!H2965,Dane!H3725)</f>
        <v>16.5</v>
      </c>
    </row>
    <row r="306" spans="1:7" x14ac:dyDescent="0.3">
      <c r="A306" s="1" t="s">
        <v>612</v>
      </c>
      <c r="B306" s="1" t="s">
        <v>613</v>
      </c>
      <c r="C306" s="18">
        <f>(Dane!D4106-Dane!D306)/Dane!D306</f>
        <v>3.2575596629133917E-2</v>
      </c>
      <c r="D306" s="18">
        <f>(Dane!E4106-Dane!E306)/Dane!E306</f>
        <v>7.8947368421052627E-2</v>
      </c>
      <c r="E306" s="18">
        <f>(Dane!F4106-Dane!F306)/Dane!F306</f>
        <v>0.45081967213114754</v>
      </c>
      <c r="F306" s="18">
        <f>(Dane!G4106-Dane!G306)/Dane!G306</f>
        <v>-0.31233847826474415</v>
      </c>
      <c r="G306" s="19">
        <f>AVERAGE(Dane!H306,Dane!H1066,Dane!H1446,Dane!H2206,Dane!H2966,Dane!H3726)</f>
        <v>6.333333333333333</v>
      </c>
    </row>
    <row r="307" spans="1:7" x14ac:dyDescent="0.3">
      <c r="A307" s="1" t="s">
        <v>614</v>
      </c>
      <c r="B307" s="1" t="s">
        <v>615</v>
      </c>
      <c r="C307" s="18">
        <f>(Dane!D4107-Dane!D307)/Dane!D307</f>
        <v>8.2309990043146361E-2</v>
      </c>
      <c r="D307" s="18">
        <f>(Dane!E4107-Dane!E307)/Dane!E307</f>
        <v>0.38578680203045684</v>
      </c>
      <c r="E307" s="18">
        <f>(Dane!F4107-Dane!F307)/Dane!F307</f>
        <v>0.83251231527093594</v>
      </c>
      <c r="F307" s="18">
        <f>(Dane!G4107-Dane!G307)/Dane!G307</f>
        <v>-0.48134565693217912</v>
      </c>
      <c r="G307" s="19">
        <f>AVERAGE(Dane!H307,Dane!H1067,Dane!H1447,Dane!H2207,Dane!H2967,Dane!H3727)</f>
        <v>4.166666666666667</v>
      </c>
    </row>
    <row r="308" spans="1:7" x14ac:dyDescent="0.3">
      <c r="A308" s="1" t="s">
        <v>616</v>
      </c>
      <c r="B308" s="1" t="s">
        <v>617</v>
      </c>
      <c r="C308" s="18">
        <f>(Dane!D4108-Dane!D308)/Dane!D308</f>
        <v>6.8511719853148828E-2</v>
      </c>
      <c r="D308" s="18">
        <f>(Dane!E4108-Dane!E308)/Dane!E308</f>
        <v>-8.7628865979381437E-2</v>
      </c>
      <c r="E308" s="18">
        <f>(Dane!F4108-Dane!F308)/Dane!F308</f>
        <v>0.19587628865979381</v>
      </c>
      <c r="F308" s="18">
        <f>(Dane!G4108-Dane!G308)/Dane!G308</f>
        <v>-0.36583037127364243</v>
      </c>
      <c r="G308" s="19">
        <f>AVERAGE(Dane!H308,Dane!H1068,Dane!H1448,Dane!H2208,Dane!H2968,Dane!H3728)</f>
        <v>7.833333333333333</v>
      </c>
    </row>
    <row r="309" spans="1:7" x14ac:dyDescent="0.3">
      <c r="A309" s="1" t="s">
        <v>618</v>
      </c>
      <c r="B309" s="1" t="s">
        <v>619</v>
      </c>
      <c r="C309" s="18">
        <f>(Dane!D4109-Dane!D309)/Dane!D309</f>
        <v>0.14133644890143771</v>
      </c>
      <c r="D309" s="18">
        <f>(Dane!E4109-Dane!E309)/Dane!E309</f>
        <v>-7.5539568345323743E-2</v>
      </c>
      <c r="E309" s="18">
        <f>(Dane!F4109-Dane!F309)/Dane!F309</f>
        <v>0.32400932400932403</v>
      </c>
      <c r="F309" s="18">
        <f>(Dane!G4109-Dane!G309)/Dane!G309</f>
        <v>-0.27739499222863029</v>
      </c>
      <c r="G309" s="19">
        <f>AVERAGE(Dane!H309,Dane!H1069,Dane!H1449,Dane!H2209,Dane!H2969,Dane!H3729)</f>
        <v>75.666666666666671</v>
      </c>
    </row>
    <row r="310" spans="1:7" x14ac:dyDescent="0.3">
      <c r="A310" s="1" t="s">
        <v>620</v>
      </c>
      <c r="B310" s="1" t="s">
        <v>621</v>
      </c>
      <c r="C310" s="18">
        <f>(Dane!D4110-Dane!D310)/Dane!D310</f>
        <v>0.12676889699718949</v>
      </c>
      <c r="D310" s="18">
        <f>(Dane!E4110-Dane!E310)/Dane!E310</f>
        <v>0.73</v>
      </c>
      <c r="E310" s="18">
        <f>(Dane!F4110-Dane!F310)/Dane!F310</f>
        <v>-0.23905723905723905</v>
      </c>
      <c r="F310" s="18">
        <f>(Dane!G4110-Dane!G310)/Dane!G310</f>
        <v>-0.2404567473091577</v>
      </c>
      <c r="G310" s="19">
        <f>AVERAGE(Dane!H310,Dane!H1070,Dane!H1450,Dane!H2210,Dane!H2970,Dane!H3730)</f>
        <v>12.5</v>
      </c>
    </row>
    <row r="311" spans="1:7" x14ac:dyDescent="0.3">
      <c r="A311" s="1" t="s">
        <v>622</v>
      </c>
      <c r="B311" s="1" t="s">
        <v>623</v>
      </c>
      <c r="C311" s="18">
        <f>(Dane!D4111-Dane!D311)/Dane!D311</f>
        <v>0.15554631746691611</v>
      </c>
      <c r="D311" s="18">
        <f>(Dane!E4111-Dane!E311)/Dane!E311</f>
        <v>0.6769662921348315</v>
      </c>
      <c r="E311" s="18">
        <f>(Dane!F4111-Dane!F311)/Dane!F311</f>
        <v>0.83008356545961004</v>
      </c>
      <c r="F311" s="18">
        <f>(Dane!G4111-Dane!G311)/Dane!G311</f>
        <v>1.5489810292629906E-2</v>
      </c>
      <c r="G311" s="19">
        <f>AVERAGE(Dane!H311,Dane!H1071,Dane!H1451,Dane!H2211,Dane!H2971,Dane!H3731)</f>
        <v>53.166666666666664</v>
      </c>
    </row>
    <row r="312" spans="1:7" x14ac:dyDescent="0.3">
      <c r="A312" s="1" t="s">
        <v>624</v>
      </c>
      <c r="B312" s="1" t="s">
        <v>625</v>
      </c>
      <c r="C312" s="18">
        <f>(Dane!D4112-Dane!D312)/Dane!D312</f>
        <v>2.2423255016292231E-2</v>
      </c>
      <c r="D312" s="18">
        <f>(Dane!E4112-Dane!E312)/Dane!E312</f>
        <v>0.38181818181818183</v>
      </c>
      <c r="E312" s="18">
        <f>(Dane!F4112-Dane!F312)/Dane!F312</f>
        <v>0.50785340314136129</v>
      </c>
      <c r="F312" s="18">
        <f>(Dane!G4112-Dane!G312)/Dane!G312</f>
        <v>-2.2307708516894537E-3</v>
      </c>
      <c r="G312" s="19">
        <f>AVERAGE(Dane!H312,Dane!H1072,Dane!H1452,Dane!H2212,Dane!H2972,Dane!H3732)</f>
        <v>11</v>
      </c>
    </row>
    <row r="313" spans="1:7" x14ac:dyDescent="0.3">
      <c r="A313" s="1" t="s">
        <v>626</v>
      </c>
      <c r="B313" s="1" t="s">
        <v>627</v>
      </c>
      <c r="C313" s="18">
        <f>(Dane!D4113-Dane!D313)/Dane!D313</f>
        <v>3.8612920738327908E-2</v>
      </c>
      <c r="D313" s="18">
        <f>(Dane!E4113-Dane!E313)/Dane!E313</f>
        <v>1.28125</v>
      </c>
      <c r="E313" s="18">
        <f>(Dane!F4113-Dane!F313)/Dane!F313</f>
        <v>0.31730769230769229</v>
      </c>
      <c r="F313" s="18">
        <f>(Dane!G4113-Dane!G313)/Dane!G313</f>
        <v>-3.572259774635201E-2</v>
      </c>
      <c r="G313" s="19">
        <f>AVERAGE(Dane!H313,Dane!H1073,Dane!H1453,Dane!H2213,Dane!H2973,Dane!H3733)</f>
        <v>35</v>
      </c>
    </row>
    <row r="314" spans="1:7" x14ac:dyDescent="0.3">
      <c r="A314" s="1" t="s">
        <v>628</v>
      </c>
      <c r="B314" s="1" t="s">
        <v>629</v>
      </c>
      <c r="C314" s="18">
        <f>(Dane!D4114-Dane!D314)/Dane!D314</f>
        <v>7.7222508443528542E-2</v>
      </c>
      <c r="D314" s="18">
        <f>(Dane!E4114-Dane!E314)/Dane!E314</f>
        <v>0.28776978417266186</v>
      </c>
      <c r="E314" s="18">
        <f>(Dane!F4114-Dane!F314)/Dane!F314</f>
        <v>0.42241379310344829</v>
      </c>
      <c r="F314" s="18">
        <f>(Dane!G4114-Dane!G314)/Dane!G314</f>
        <v>-0.19651203474025583</v>
      </c>
      <c r="G314" s="19">
        <f>AVERAGE(Dane!H314,Dane!H1074,Dane!H1454,Dane!H2214,Dane!H2974,Dane!H3734)</f>
        <v>10.333333333333334</v>
      </c>
    </row>
    <row r="315" spans="1:7" x14ac:dyDescent="0.3">
      <c r="A315" s="1" t="s">
        <v>630</v>
      </c>
      <c r="B315" s="1" t="s">
        <v>631</v>
      </c>
      <c r="C315" s="18">
        <f>(Dane!D4115-Dane!D315)/Dane!D315</f>
        <v>6.1351454823889741E-2</v>
      </c>
      <c r="D315" s="18">
        <f>(Dane!E4115-Dane!E315)/Dane!E315</f>
        <v>-0.32673267326732675</v>
      </c>
      <c r="E315" s="18">
        <f>(Dane!F4115-Dane!F315)/Dane!F315</f>
        <v>0.20833333333333334</v>
      </c>
      <c r="F315" s="18">
        <f>(Dane!G4115-Dane!G315)/Dane!G315</f>
        <v>1.3383500451067981E-2</v>
      </c>
      <c r="G315" s="19">
        <f>AVERAGE(Dane!H315,Dane!H1075,Dane!H1455,Dane!H2215,Dane!H2975,Dane!H3735)</f>
        <v>1.5</v>
      </c>
    </row>
    <row r="316" spans="1:7" x14ac:dyDescent="0.3">
      <c r="A316" s="1" t="s">
        <v>632</v>
      </c>
      <c r="B316" s="1" t="s">
        <v>633</v>
      </c>
      <c r="C316" s="18">
        <f>(Dane!D4116-Dane!D316)/Dane!D316</f>
        <v>9.4379639448568392E-2</v>
      </c>
      <c r="D316" s="18">
        <f>(Dane!E4116-Dane!E316)/Dane!E316</f>
        <v>1.0344827586206897</v>
      </c>
      <c r="E316" s="18">
        <f>(Dane!F4116-Dane!F316)/Dane!F316</f>
        <v>1.7560975609756098</v>
      </c>
      <c r="F316" s="18">
        <f>(Dane!G4116-Dane!G316)/Dane!G316</f>
        <v>-0.2504994408943545</v>
      </c>
      <c r="G316" s="19">
        <f>AVERAGE(Dane!H316,Dane!H1076,Dane!H1456,Dane!H2216,Dane!H2976,Dane!H3736)</f>
        <v>6.666666666666667</v>
      </c>
    </row>
    <row r="317" spans="1:7" x14ac:dyDescent="0.3">
      <c r="A317" s="1" t="s">
        <v>634</v>
      </c>
      <c r="B317" s="1" t="s">
        <v>635</v>
      </c>
      <c r="C317" s="18">
        <f>(Dane!D4117-Dane!D317)/Dane!D317</f>
        <v>7.8553508088935034E-2</v>
      </c>
      <c r="D317" s="18">
        <f>(Dane!E4117-Dane!E317)/Dane!E317</f>
        <v>1.4929577464788732</v>
      </c>
      <c r="E317" s="18">
        <f>(Dane!F4117-Dane!F317)/Dane!F317</f>
        <v>2.0568181818181817</v>
      </c>
      <c r="F317" s="18">
        <f>(Dane!G4117-Dane!G317)/Dane!G317</f>
        <v>-0.29406450105807019</v>
      </c>
      <c r="G317" s="19">
        <f>AVERAGE(Dane!H317,Dane!H1077,Dane!H1457,Dane!H2217,Dane!H2977,Dane!H3737)</f>
        <v>20.166666666666668</v>
      </c>
    </row>
    <row r="318" spans="1:7" x14ac:dyDescent="0.3">
      <c r="A318" s="1" t="s">
        <v>636</v>
      </c>
      <c r="B318" s="1" t="s">
        <v>637</v>
      </c>
      <c r="C318" s="18">
        <f>(Dane!D4118-Dane!D318)/Dane!D318</f>
        <v>0.2361969457071352</v>
      </c>
      <c r="D318" s="18">
        <f>(Dane!E4118-Dane!E318)/Dane!E318</f>
        <v>0.61319340329835081</v>
      </c>
      <c r="E318" s="18">
        <f>(Dane!F4118-Dane!F318)/Dane!F318</f>
        <v>9.7032967032967026</v>
      </c>
      <c r="F318" s="18">
        <f>(Dane!G4118-Dane!G318)/Dane!G318</f>
        <v>-0.35808793409157791</v>
      </c>
      <c r="G318" s="19">
        <f>AVERAGE(Dane!H318,Dane!H1078,Dane!H1458,Dane!H2218,Dane!H2978,Dane!H3738)</f>
        <v>32.333333333333336</v>
      </c>
    </row>
    <row r="319" spans="1:7" x14ac:dyDescent="0.3">
      <c r="A319" s="1" t="s">
        <v>638</v>
      </c>
      <c r="B319" s="1" t="s">
        <v>639</v>
      </c>
      <c r="C319" s="18">
        <f>(Dane!D4119-Dane!D319)/Dane!D319</f>
        <v>8.6538734091102354E-2</v>
      </c>
      <c r="D319" s="18">
        <f>(Dane!E4119-Dane!E319)/Dane!E319</f>
        <v>0.6889763779527559</v>
      </c>
      <c r="E319" s="18">
        <f>(Dane!F4119-Dane!F319)/Dane!F319</f>
        <v>0.81727574750830567</v>
      </c>
      <c r="F319" s="18">
        <f>(Dane!G4119-Dane!G319)/Dane!G319</f>
        <v>-0.30683871968232079</v>
      </c>
      <c r="G319" s="19">
        <f>AVERAGE(Dane!H319,Dane!H1079,Dane!H1459,Dane!H2219,Dane!H2979,Dane!H3739)</f>
        <v>46.333333333333336</v>
      </c>
    </row>
    <row r="320" spans="1:7" x14ac:dyDescent="0.3">
      <c r="A320" s="1" t="s">
        <v>640</v>
      </c>
      <c r="B320" s="1" t="s">
        <v>641</v>
      </c>
      <c r="C320" s="18">
        <f>(Dane!D4120-Dane!D320)/Dane!D320</f>
        <v>5.8130821111230059E-2</v>
      </c>
      <c r="D320" s="18">
        <f>(Dane!E4120-Dane!E320)/Dane!E320</f>
        <v>1.0416666666666666E-2</v>
      </c>
      <c r="E320" s="18">
        <f>(Dane!F4120-Dane!F320)/Dane!F320</f>
        <v>0.62091503267973858</v>
      </c>
      <c r="F320" s="18">
        <f>(Dane!G4120-Dane!G320)/Dane!G320</f>
        <v>-0.14683885452194004</v>
      </c>
      <c r="G320" s="19">
        <f>AVERAGE(Dane!H320,Dane!H1080,Dane!H1460,Dane!H2220,Dane!H2980,Dane!H3740)</f>
        <v>15.333333333333334</v>
      </c>
    </row>
    <row r="321" spans="1:7" x14ac:dyDescent="0.3">
      <c r="A321" s="1" t="s">
        <v>642</v>
      </c>
      <c r="B321" s="1" t="s">
        <v>643</v>
      </c>
      <c r="C321" s="18">
        <f>(Dane!D4121-Dane!D321)/Dane!D321</f>
        <v>0.11390171056204182</v>
      </c>
      <c r="D321" s="18">
        <f>(Dane!E4121-Dane!E321)/Dane!E321</f>
        <v>-0.1791907514450867</v>
      </c>
      <c r="E321" s="18">
        <f>(Dane!F4121-Dane!F321)/Dane!F321</f>
        <v>0.23243243243243245</v>
      </c>
      <c r="F321" s="18">
        <f>(Dane!G4121-Dane!G321)/Dane!G321</f>
        <v>-0.3382194096839064</v>
      </c>
      <c r="G321" s="19">
        <f>AVERAGE(Dane!H321,Dane!H1081,Dane!H1461,Dane!H2221,Dane!H2981,Dane!H3741)</f>
        <v>7.666666666666667</v>
      </c>
    </row>
    <row r="322" spans="1:7" x14ac:dyDescent="0.3">
      <c r="A322" s="1" t="s">
        <v>644</v>
      </c>
      <c r="B322" s="1" t="s">
        <v>645</v>
      </c>
      <c r="C322" s="18">
        <f>(Dane!D4122-Dane!D322)/Dane!D322</f>
        <v>6.0782774475720537E-2</v>
      </c>
      <c r="D322" s="18">
        <f>(Dane!E4122-Dane!E322)/Dane!E322</f>
        <v>-0.25252525252525254</v>
      </c>
      <c r="E322" s="18">
        <f>(Dane!F4122-Dane!F322)/Dane!F322</f>
        <v>0.24050632911392406</v>
      </c>
      <c r="F322" s="18">
        <f>(Dane!G4122-Dane!G322)/Dane!G322</f>
        <v>0.20319084097482346</v>
      </c>
      <c r="G322" s="19">
        <f>AVERAGE(Dane!H322,Dane!H1082,Dane!H1462,Dane!H2222,Dane!H2982,Dane!H3742)</f>
        <v>5</v>
      </c>
    </row>
    <row r="323" spans="1:7" x14ac:dyDescent="0.3">
      <c r="A323" s="1" t="s">
        <v>646</v>
      </c>
      <c r="B323" s="1" t="s">
        <v>647</v>
      </c>
      <c r="C323" s="18">
        <f>(Dane!D4123-Dane!D323)/Dane!D323</f>
        <v>4.2855423137113276E-2</v>
      </c>
      <c r="D323" s="18">
        <f>(Dane!E4123-Dane!E323)/Dane!E323</f>
        <v>1.2105263157894737</v>
      </c>
      <c r="E323" s="18">
        <f>(Dane!F4123-Dane!F323)/Dane!F323</f>
        <v>6.5573770491803282E-2</v>
      </c>
      <c r="F323" s="18">
        <f>(Dane!G4123-Dane!G323)/Dane!G323</f>
        <v>-0.21537716899859474</v>
      </c>
      <c r="G323" s="19">
        <f>AVERAGE(Dane!H323,Dane!H1083,Dane!H1463,Dane!H2223,Dane!H2983,Dane!H3743)</f>
        <v>8.8333333333333339</v>
      </c>
    </row>
    <row r="324" spans="1:7" x14ac:dyDescent="0.3">
      <c r="A324" s="1" t="s">
        <v>648</v>
      </c>
      <c r="B324" s="1" t="s">
        <v>649</v>
      </c>
      <c r="C324" s="18">
        <f>(Dane!D4124-Dane!D324)/Dane!D324</f>
        <v>8.1924974889733174E-2</v>
      </c>
      <c r="D324" s="18">
        <f>(Dane!E4124-Dane!E324)/Dane!E324</f>
        <v>0.88628762541806017</v>
      </c>
      <c r="E324" s="18">
        <f>(Dane!F4124-Dane!F324)/Dane!F324</f>
        <v>1.2540250447227193</v>
      </c>
      <c r="F324" s="18">
        <f>(Dane!G4124-Dane!G324)/Dane!G324</f>
        <v>-0.24837240852171311</v>
      </c>
      <c r="G324" s="19">
        <f>AVERAGE(Dane!H324,Dane!H1084,Dane!H1464,Dane!H2224,Dane!H2984,Dane!H3744)</f>
        <v>3</v>
      </c>
    </row>
    <row r="325" spans="1:7" x14ac:dyDescent="0.3">
      <c r="A325" s="1" t="s">
        <v>650</v>
      </c>
      <c r="B325" s="1" t="s">
        <v>651</v>
      </c>
      <c r="C325" s="18">
        <f>(Dane!D4125-Dane!D325)/Dane!D325</f>
        <v>0.1253804588299969</v>
      </c>
      <c r="D325" s="18">
        <f>(Dane!E4125-Dane!E325)/Dane!E325</f>
        <v>-0.18955349620893008</v>
      </c>
      <c r="E325" s="18">
        <f>(Dane!F4125-Dane!F325)/Dane!F325</f>
        <v>0.28633405639913234</v>
      </c>
      <c r="F325" s="18">
        <f>(Dane!G4125-Dane!G325)/Dane!G325</f>
        <v>-6.105976064053846E-2</v>
      </c>
      <c r="G325" s="19">
        <f>AVERAGE(Dane!H325,Dane!H1085,Dane!H1465,Dane!H2225,Dane!H2985,Dane!H3745)</f>
        <v>16.5</v>
      </c>
    </row>
    <row r="326" spans="1:7" x14ac:dyDescent="0.3">
      <c r="A326" s="1" t="s">
        <v>652</v>
      </c>
      <c r="B326" s="1" t="s">
        <v>653</v>
      </c>
      <c r="C326" s="18">
        <f>(Dane!D4126-Dane!D326)/Dane!D326</f>
        <v>0.11536593825875824</v>
      </c>
      <c r="D326" s="18">
        <f>(Dane!E4126-Dane!E326)/Dane!E326</f>
        <v>2.65</v>
      </c>
      <c r="E326" s="18">
        <f>(Dane!F4126-Dane!F326)/Dane!F326</f>
        <v>1.0338983050847457</v>
      </c>
      <c r="F326" s="18">
        <f>(Dane!G4126-Dane!G326)/Dane!G326</f>
        <v>-0.14209605888989493</v>
      </c>
      <c r="G326" s="19">
        <f>AVERAGE(Dane!H326,Dane!H1086,Dane!H1466,Dane!H2226,Dane!H2986,Dane!H3746)</f>
        <v>15.333333333333334</v>
      </c>
    </row>
    <row r="327" spans="1:7" x14ac:dyDescent="0.3">
      <c r="A327" s="1" t="s">
        <v>654</v>
      </c>
      <c r="B327" s="1" t="s">
        <v>655</v>
      </c>
      <c r="C327" s="18">
        <f>(Dane!D4127-Dane!D327)/Dane!D327</f>
        <v>9.0201826586988387E-2</v>
      </c>
      <c r="D327" s="18">
        <f>(Dane!E4127-Dane!E327)/Dane!E327</f>
        <v>0.59668508287292821</v>
      </c>
      <c r="E327" s="18">
        <f>(Dane!F4127-Dane!F327)/Dane!F327</f>
        <v>-2.34375E-2</v>
      </c>
      <c r="F327" s="18">
        <f>(Dane!G4127-Dane!G327)/Dane!G327</f>
        <v>5.5787843939433049E-2</v>
      </c>
      <c r="G327" s="19">
        <f>AVERAGE(Dane!H327,Dane!H1087,Dane!H1467,Dane!H2227,Dane!H2987,Dane!H3747)</f>
        <v>31</v>
      </c>
    </row>
    <row r="328" spans="1:7" x14ac:dyDescent="0.3">
      <c r="A328" s="1" t="s">
        <v>656</v>
      </c>
      <c r="B328" s="1" t="s">
        <v>657</v>
      </c>
      <c r="C328" s="18">
        <f>(Dane!D4128-Dane!D328)/Dane!D328</f>
        <v>0.17588067280228498</v>
      </c>
      <c r="D328" s="18">
        <f>(Dane!E4128-Dane!E328)/Dane!E328</f>
        <v>0.27936507936507937</v>
      </c>
      <c r="E328" s="18">
        <f>(Dane!F4128-Dane!F328)/Dane!F328</f>
        <v>0.35465116279069769</v>
      </c>
      <c r="F328" s="18">
        <f>(Dane!G4128-Dane!G328)/Dane!G328</f>
        <v>-7.443492980822089E-2</v>
      </c>
      <c r="G328" s="19">
        <f>AVERAGE(Dane!H328,Dane!H1088,Dane!H1468,Dane!H2228,Dane!H2988,Dane!H3748)</f>
        <v>17.5</v>
      </c>
    </row>
    <row r="329" spans="1:7" x14ac:dyDescent="0.3">
      <c r="A329" s="1" t="s">
        <v>658</v>
      </c>
      <c r="B329" s="1" t="s">
        <v>659</v>
      </c>
      <c r="C329" s="18">
        <f>(Dane!D4129-Dane!D329)/Dane!D329</f>
        <v>0.14495176234597382</v>
      </c>
      <c r="D329" s="18">
        <f>(Dane!E4129-Dane!E329)/Dane!E329</f>
        <v>0.73295454545454541</v>
      </c>
      <c r="E329" s="18">
        <f>(Dane!F4129-Dane!F329)/Dane!F329</f>
        <v>1</v>
      </c>
      <c r="F329" s="18">
        <f>(Dane!G4129-Dane!G329)/Dane!G329</f>
        <v>-0.21249272449431147</v>
      </c>
      <c r="G329" s="19">
        <f>AVERAGE(Dane!H329,Dane!H1089,Dane!H1469,Dane!H2229,Dane!H2989,Dane!H3749)</f>
        <v>7.833333333333333</v>
      </c>
    </row>
    <row r="330" spans="1:7" x14ac:dyDescent="0.3">
      <c r="A330" s="1" t="s">
        <v>660</v>
      </c>
      <c r="B330" s="1" t="s">
        <v>292</v>
      </c>
      <c r="C330" s="18">
        <f>(Dane!D4130-Dane!D330)/Dane!D330</f>
        <v>0.1876750700280112</v>
      </c>
      <c r="D330" s="18">
        <f>(Dane!E4130-Dane!E330)/Dane!E330</f>
        <v>0.9503105590062112</v>
      </c>
      <c r="E330" s="18">
        <f>(Dane!F4130-Dane!F330)/Dane!F330</f>
        <v>1.2461538461538462</v>
      </c>
      <c r="F330" s="18">
        <f>(Dane!G4130-Dane!G330)/Dane!G330</f>
        <v>0.75017185103437956</v>
      </c>
      <c r="G330" s="19">
        <f>AVERAGE(Dane!H330,Dane!H1090,Dane!H1470,Dane!H2230,Dane!H2990,Dane!H3750)</f>
        <v>0.16666666666666666</v>
      </c>
    </row>
    <row r="331" spans="1:7" x14ac:dyDescent="0.3">
      <c r="A331" s="1" t="s">
        <v>661</v>
      </c>
      <c r="B331" s="1" t="s">
        <v>662</v>
      </c>
      <c r="C331" s="18">
        <f>(Dane!D4131-Dane!D331)/Dane!D331</f>
        <v>0.17769055579783882</v>
      </c>
      <c r="D331" s="18">
        <f>(Dane!E4131-Dane!E331)/Dane!E331</f>
        <v>1.7972972972972974</v>
      </c>
      <c r="E331" s="18">
        <f>(Dane!F4131-Dane!F331)/Dane!F331</f>
        <v>10.162790697674419</v>
      </c>
      <c r="F331" s="18">
        <f>(Dane!G4131-Dane!G331)/Dane!G331</f>
        <v>-2.1119935095165626E-3</v>
      </c>
      <c r="G331" s="19">
        <f>AVERAGE(Dane!H331,Dane!H1091,Dane!H1471,Dane!H2231,Dane!H2991,Dane!H3751)</f>
        <v>1.5</v>
      </c>
    </row>
    <row r="332" spans="1:7" x14ac:dyDescent="0.3">
      <c r="A332" s="1" t="s">
        <v>663</v>
      </c>
      <c r="B332" s="1" t="s">
        <v>664</v>
      </c>
      <c r="C332" s="18">
        <f>(Dane!D4132-Dane!D332)/Dane!D332</f>
        <v>0.10899731423455684</v>
      </c>
      <c r="D332" s="18">
        <f>(Dane!E4132-Dane!E332)/Dane!E332</f>
        <v>0.35978835978835977</v>
      </c>
      <c r="E332" s="18">
        <f>(Dane!F4132-Dane!F332)/Dane!F332</f>
        <v>4.75</v>
      </c>
      <c r="F332" s="18">
        <f>(Dane!G4132-Dane!G332)/Dane!G332</f>
        <v>-0.63505792849684251</v>
      </c>
      <c r="G332" s="19">
        <f>AVERAGE(Dane!H332,Dane!H1092,Dane!H1472,Dane!H2232,Dane!H2992,Dane!H3752)</f>
        <v>5.833333333333333</v>
      </c>
    </row>
    <row r="333" spans="1:7" x14ac:dyDescent="0.3">
      <c r="A333" s="1" t="s">
        <v>665</v>
      </c>
      <c r="B333" s="1" t="s">
        <v>666</v>
      </c>
      <c r="C333" s="18">
        <f>(Dane!D4133-Dane!D333)/Dane!D333</f>
        <v>0.17666323003214265</v>
      </c>
      <c r="D333" s="18">
        <f>(Dane!E4133-Dane!E333)/Dane!E333</f>
        <v>1.1082474226804124</v>
      </c>
      <c r="E333" s="18">
        <f>(Dane!F4133-Dane!F333)/Dane!F333</f>
        <v>25.75</v>
      </c>
      <c r="F333" s="18">
        <f>(Dane!G4133-Dane!G333)/Dane!G333</f>
        <v>2.878922691504332E-2</v>
      </c>
      <c r="G333" s="19">
        <f>AVERAGE(Dane!H333,Dane!H1093,Dane!H1473,Dane!H2233,Dane!H2993,Dane!H3753)</f>
        <v>6.166666666666667</v>
      </c>
    </row>
    <row r="334" spans="1:7" x14ac:dyDescent="0.3">
      <c r="A334" s="1" t="s">
        <v>667</v>
      </c>
      <c r="B334" s="1" t="s">
        <v>668</v>
      </c>
      <c r="C334" s="18">
        <f>(Dane!D4134-Dane!D334)/Dane!D334</f>
        <v>6.6939890710382519E-2</v>
      </c>
      <c r="D334" s="18">
        <f>(Dane!E4134-Dane!E334)/Dane!E334</f>
        <v>1.1753246753246753</v>
      </c>
      <c r="E334" s="18">
        <f>(Dane!F4134-Dane!F334)/Dane!F334</f>
        <v>1.1428571428571428</v>
      </c>
      <c r="F334" s="18">
        <f>(Dane!G4134-Dane!G334)/Dane!G334</f>
        <v>-0.15352523578082358</v>
      </c>
      <c r="G334" s="19">
        <f>AVERAGE(Dane!H334,Dane!H1094,Dane!H1474,Dane!H2234,Dane!H2994,Dane!H3754)</f>
        <v>28.166666666666668</v>
      </c>
    </row>
    <row r="335" spans="1:7" x14ac:dyDescent="0.3">
      <c r="A335" s="1" t="s">
        <v>669</v>
      </c>
      <c r="B335" s="1" t="s">
        <v>670</v>
      </c>
      <c r="C335" s="18">
        <f>(Dane!D4135-Dane!D335)/Dane!D335</f>
        <v>0.14513456373921491</v>
      </c>
      <c r="D335" s="18">
        <f>(Dane!E4135-Dane!E335)/Dane!E335</f>
        <v>0.43112244897959184</v>
      </c>
      <c r="E335" s="18">
        <f>(Dane!F4135-Dane!F335)/Dane!F335</f>
        <v>20</v>
      </c>
      <c r="F335" s="18">
        <f>(Dane!G4135-Dane!G335)/Dane!G335</f>
        <v>-0.35690872304144616</v>
      </c>
      <c r="G335" s="19">
        <f>AVERAGE(Dane!H335,Dane!H1095,Dane!H1475,Dane!H2235,Dane!H2995,Dane!H3755)</f>
        <v>13.833333333333334</v>
      </c>
    </row>
    <row r="336" spans="1:7" x14ac:dyDescent="0.3">
      <c r="A336" s="1" t="s">
        <v>671</v>
      </c>
      <c r="B336" s="1" t="s">
        <v>672</v>
      </c>
      <c r="C336" s="18">
        <f>(Dane!D4136-Dane!D336)/Dane!D336</f>
        <v>0.15031518382197404</v>
      </c>
      <c r="D336" s="18">
        <f>(Dane!E4136-Dane!E336)/Dane!E336</f>
        <v>0.73831775700934577</v>
      </c>
      <c r="E336" s="18">
        <f>(Dane!F4136-Dane!F336)/Dane!F336</f>
        <v>1.25</v>
      </c>
      <c r="F336" s="18">
        <f>(Dane!G4136-Dane!G336)/Dane!G336</f>
        <v>0.16354847427146371</v>
      </c>
      <c r="G336" s="19">
        <f>AVERAGE(Dane!H336,Dane!H1096,Dane!H1476,Dane!H2236,Dane!H2996,Dane!H3756)</f>
        <v>13.5</v>
      </c>
    </row>
    <row r="337" spans="1:7" x14ac:dyDescent="0.3">
      <c r="A337" s="1" t="s">
        <v>673</v>
      </c>
      <c r="B337" s="1" t="s">
        <v>674</v>
      </c>
      <c r="C337" s="18">
        <f>(Dane!D4137-Dane!D337)/Dane!D337</f>
        <v>0.11305191654536632</v>
      </c>
      <c r="D337" s="18">
        <f>(Dane!E4137-Dane!E337)/Dane!E337</f>
        <v>0.95783132530120485</v>
      </c>
      <c r="E337" s="18">
        <f>(Dane!F4137-Dane!F337)/Dane!F337</f>
        <v>1.0428571428571429</v>
      </c>
      <c r="F337" s="18">
        <f>(Dane!G4137-Dane!G337)/Dane!G337</f>
        <v>-0.18492872002153005</v>
      </c>
      <c r="G337" s="19">
        <f>AVERAGE(Dane!H337,Dane!H1097,Dane!H1477,Dane!H2237,Dane!H2997,Dane!H3757)</f>
        <v>6.166666666666667</v>
      </c>
    </row>
    <row r="338" spans="1:7" x14ac:dyDescent="0.3">
      <c r="A338" s="1" t="s">
        <v>675</v>
      </c>
      <c r="B338" s="1" t="s">
        <v>676</v>
      </c>
      <c r="C338" s="18">
        <f>(Dane!D4138-Dane!D338)/Dane!D338</f>
        <v>0.37145253739689643</v>
      </c>
      <c r="D338" s="18">
        <f>(Dane!E4138-Dane!E338)/Dane!E338</f>
        <v>1.1349206349206349</v>
      </c>
      <c r="E338" s="18">
        <f>(Dane!F4138-Dane!F338)/Dane!F338</f>
        <v>33.25</v>
      </c>
      <c r="F338" s="18">
        <f>(Dane!G4138-Dane!G338)/Dane!G338</f>
        <v>-0.4460036262621222</v>
      </c>
      <c r="G338" s="19">
        <f>AVERAGE(Dane!H338,Dane!H1098,Dane!H1478,Dane!H2238,Dane!H2998,Dane!H3758)</f>
        <v>6.333333333333333</v>
      </c>
    </row>
    <row r="339" spans="1:7" x14ac:dyDescent="0.3">
      <c r="A339" s="1" t="s">
        <v>677</v>
      </c>
      <c r="B339" s="1" t="s">
        <v>678</v>
      </c>
      <c r="C339" s="18">
        <f>(Dane!D4139-Dane!D339)/Dane!D339</f>
        <v>0.11317146183269583</v>
      </c>
      <c r="D339" s="18">
        <f>(Dane!E4139-Dane!E339)/Dane!E339</f>
        <v>0.26126126126126126</v>
      </c>
      <c r="E339" s="18">
        <f>(Dane!F4139-Dane!F339)/Dane!F339</f>
        <v>-0.04</v>
      </c>
      <c r="F339" s="18">
        <f>(Dane!G4139-Dane!G339)/Dane!G339</f>
        <v>-3.4125543609245463E-3</v>
      </c>
      <c r="G339" s="19">
        <f>AVERAGE(Dane!H339,Dane!H1099,Dane!H1479,Dane!H2239,Dane!H2999,Dane!H3759)</f>
        <v>15.666666666666666</v>
      </c>
    </row>
    <row r="340" spans="1:7" x14ac:dyDescent="0.3">
      <c r="A340" s="1" t="s">
        <v>679</v>
      </c>
      <c r="B340" s="1" t="s">
        <v>680</v>
      </c>
      <c r="C340" s="18">
        <f>(Dane!D4140-Dane!D340)/Dane!D340</f>
        <v>0.17312569521690768</v>
      </c>
      <c r="D340" s="18">
        <f>(Dane!E4140-Dane!E340)/Dane!E340</f>
        <v>0.323943661971831</v>
      </c>
      <c r="E340" s="18">
        <f>(Dane!F4140-Dane!F340)/Dane!F340</f>
        <v>1.2627118644067796</v>
      </c>
      <c r="F340" s="18">
        <f>(Dane!G4140-Dane!G340)/Dane!G340</f>
        <v>0.34244154972821761</v>
      </c>
      <c r="G340" s="19">
        <f>AVERAGE(Dane!H340,Dane!H1100,Dane!H1480,Dane!H2240,Dane!H3000,Dane!H3760)</f>
        <v>10.166666666666666</v>
      </c>
    </row>
    <row r="341" spans="1:7" x14ac:dyDescent="0.3">
      <c r="A341" s="1" t="s">
        <v>681</v>
      </c>
      <c r="B341" s="1" t="s">
        <v>682</v>
      </c>
      <c r="C341" s="18">
        <f>(Dane!D4141-Dane!D341)/Dane!D341</f>
        <v>0.15760333296787632</v>
      </c>
      <c r="D341" s="18">
        <f>(Dane!E4141-Dane!E341)/Dane!E341</f>
        <v>1.1133004926108374</v>
      </c>
      <c r="E341" s="18">
        <f>(Dane!F4141-Dane!F341)/Dane!F341</f>
        <v>1.2279411764705883</v>
      </c>
      <c r="F341" s="18">
        <f>(Dane!G4141-Dane!G341)/Dane!G341</f>
        <v>-4.893039257297601E-2</v>
      </c>
      <c r="G341" s="19">
        <f>AVERAGE(Dane!H341,Dane!H1101,Dane!H1481,Dane!H2241,Dane!H3001,Dane!H3761)</f>
        <v>18.666666666666668</v>
      </c>
    </row>
    <row r="342" spans="1:7" x14ac:dyDescent="0.3">
      <c r="A342" s="1" t="s">
        <v>683</v>
      </c>
      <c r="B342" s="1" t="s">
        <v>314</v>
      </c>
      <c r="C342" s="18">
        <f>(Dane!D4142-Dane!D342)/Dane!D342</f>
        <v>0.15871068929461915</v>
      </c>
      <c r="D342" s="18">
        <f>(Dane!E4142-Dane!E342)/Dane!E342</f>
        <v>0.24610051993067592</v>
      </c>
      <c r="E342" s="18">
        <f>(Dane!F4142-Dane!F342)/Dane!F342</f>
        <v>41.1</v>
      </c>
      <c r="F342" s="18">
        <f>(Dane!G4142-Dane!G342)/Dane!G342</f>
        <v>0.15672675558137913</v>
      </c>
      <c r="G342" s="19">
        <f>AVERAGE(Dane!H342,Dane!H1102,Dane!H1482,Dane!H2242,Dane!H3002,Dane!H3762)</f>
        <v>49.166666666666664</v>
      </c>
    </row>
    <row r="343" spans="1:7" x14ac:dyDescent="0.3">
      <c r="A343" s="1" t="s">
        <v>684</v>
      </c>
      <c r="B343" s="1" t="s">
        <v>685</v>
      </c>
      <c r="C343" s="18">
        <f>(Dane!D4143-Dane!D343)/Dane!D343</f>
        <v>0.13753865182436611</v>
      </c>
      <c r="D343" s="18">
        <f>(Dane!E4143-Dane!E343)/Dane!E343</f>
        <v>0.14410480349344978</v>
      </c>
      <c r="E343" s="18">
        <f>(Dane!F4143-Dane!F343)/Dane!F343</f>
        <v>0.87755102040816324</v>
      </c>
      <c r="F343" s="18">
        <f>(Dane!G4143-Dane!G343)/Dane!G343</f>
        <v>7.7616886097180607E-2</v>
      </c>
      <c r="G343" s="19">
        <f>AVERAGE(Dane!H343,Dane!H1103,Dane!H1483,Dane!H2243,Dane!H3003,Dane!H3763)</f>
        <v>6.166666666666667</v>
      </c>
    </row>
    <row r="344" spans="1:7" x14ac:dyDescent="0.3">
      <c r="A344" s="1" t="s">
        <v>686</v>
      </c>
      <c r="B344" s="1" t="s">
        <v>687</v>
      </c>
      <c r="C344" s="18">
        <f>(Dane!D4144-Dane!D344)/Dane!D344</f>
        <v>0.10220069636639585</v>
      </c>
      <c r="D344" s="18">
        <f>(Dane!E4144-Dane!E344)/Dane!E344</f>
        <v>1.401673640167364</v>
      </c>
      <c r="E344" s="18">
        <f>(Dane!F4144-Dane!F344)/Dane!F344</f>
        <v>2.2806324110671938</v>
      </c>
      <c r="F344" s="18">
        <f>(Dane!G4144-Dane!G344)/Dane!G344</f>
        <v>-0.31409650302125963</v>
      </c>
      <c r="G344" s="19">
        <f>AVERAGE(Dane!H344,Dane!H1104,Dane!H1484,Dane!H2244,Dane!H3004,Dane!H3764)</f>
        <v>67.166666666666671</v>
      </c>
    </row>
    <row r="345" spans="1:7" x14ac:dyDescent="0.3">
      <c r="A345" s="1" t="s">
        <v>688</v>
      </c>
      <c r="B345" s="1" t="s">
        <v>689</v>
      </c>
      <c r="C345" s="18">
        <f>(Dane!D4145-Dane!D345)/Dane!D345</f>
        <v>0.13782319763221088</v>
      </c>
      <c r="D345" s="18">
        <f>(Dane!E4145-Dane!E345)/Dane!E345</f>
        <v>1.4779874213836477</v>
      </c>
      <c r="E345" s="18">
        <f>(Dane!F4145-Dane!F345)/Dane!F345</f>
        <v>1.0810810810810811</v>
      </c>
      <c r="F345" s="18">
        <f>(Dane!G4145-Dane!G345)/Dane!G345</f>
        <v>-0.11419426651309299</v>
      </c>
      <c r="G345" s="19">
        <f>AVERAGE(Dane!H345,Dane!H1105,Dane!H1485,Dane!H2245,Dane!H3005,Dane!H3765)</f>
        <v>22.333333333333332</v>
      </c>
    </row>
    <row r="346" spans="1:7" x14ac:dyDescent="0.3">
      <c r="A346" s="1" t="s">
        <v>690</v>
      </c>
      <c r="B346" s="1" t="s">
        <v>691</v>
      </c>
      <c r="C346" s="18">
        <f>(Dane!D4146-Dane!D346)/Dane!D346</f>
        <v>0.42889168018701695</v>
      </c>
      <c r="D346" s="18">
        <f>(Dane!E4146-Dane!E346)/Dane!E346</f>
        <v>0.46872393661384487</v>
      </c>
      <c r="E346" s="18">
        <f>(Dane!F4146-Dane!F346)/Dane!F346</f>
        <v>1.2628943415122684</v>
      </c>
      <c r="F346" s="18">
        <f>(Dane!G4146-Dane!G346)/Dane!G346</f>
        <v>1.4006624258686234E-2</v>
      </c>
      <c r="G346" s="19">
        <f>AVERAGE(Dane!H346,Dane!H1106,Dane!H1486,Dane!H2246,Dane!H3006,Dane!H3766)</f>
        <v>57</v>
      </c>
    </row>
    <row r="347" spans="1:7" x14ac:dyDescent="0.3">
      <c r="A347" s="1" t="s">
        <v>692</v>
      </c>
      <c r="B347" s="1" t="s">
        <v>693</v>
      </c>
      <c r="C347" s="18">
        <f>(Dane!D4147-Dane!D347)/Dane!D347</f>
        <v>0.12881978188100637</v>
      </c>
      <c r="D347" s="18">
        <f>(Dane!E4147-Dane!E347)/Dane!E347</f>
        <v>0.56043956043956045</v>
      </c>
      <c r="E347" s="18">
        <f>(Dane!F4147-Dane!F347)/Dane!F347</f>
        <v>1.3956043956043955</v>
      </c>
      <c r="F347" s="18">
        <f>(Dane!G4147-Dane!G347)/Dane!G347</f>
        <v>-0.10986042441021207</v>
      </c>
      <c r="G347" s="19">
        <f>AVERAGE(Dane!H347,Dane!H1107,Dane!H1487,Dane!H2247,Dane!H3007,Dane!H3767)</f>
        <v>0.83333333333333337</v>
      </c>
    </row>
    <row r="348" spans="1:7" x14ac:dyDescent="0.3">
      <c r="A348" s="1" t="s">
        <v>694</v>
      </c>
      <c r="B348" s="1" t="s">
        <v>695</v>
      </c>
      <c r="C348" s="18">
        <f>(Dane!D4148-Dane!D348)/Dane!D348</f>
        <v>0.11753264795776605</v>
      </c>
      <c r="D348" s="18">
        <f>(Dane!E4148-Dane!E348)/Dane!E348</f>
        <v>0.87931034482758619</v>
      </c>
      <c r="E348" s="18">
        <f>(Dane!F4148-Dane!F348)/Dane!F348</f>
        <v>1.1372549019607843</v>
      </c>
      <c r="F348" s="18">
        <f>(Dane!G4148-Dane!G348)/Dane!G348</f>
        <v>-0.1969863963125956</v>
      </c>
      <c r="G348" s="19">
        <f>AVERAGE(Dane!H348,Dane!H1108,Dane!H1488,Dane!H2248,Dane!H3008,Dane!H3768)</f>
        <v>49.166666666666664</v>
      </c>
    </row>
    <row r="349" spans="1:7" x14ac:dyDescent="0.3">
      <c r="A349" s="1" t="s">
        <v>696</v>
      </c>
      <c r="B349" s="1" t="s">
        <v>697</v>
      </c>
      <c r="C349" s="18">
        <f>(Dane!D4149-Dane!D349)/Dane!D349</f>
        <v>0.20465734718079562</v>
      </c>
      <c r="D349" s="18">
        <f>(Dane!E4149-Dane!E349)/Dane!E349</f>
        <v>1.025236593059937</v>
      </c>
      <c r="E349" s="18">
        <f>(Dane!F4149-Dane!F349)/Dane!F349</f>
        <v>2.8250000000000002</v>
      </c>
      <c r="F349" s="18">
        <f>(Dane!G4149-Dane!G349)/Dane!G349</f>
        <v>-8.7327768876042461E-2</v>
      </c>
      <c r="G349" s="19">
        <f>AVERAGE(Dane!H349,Dane!H1109,Dane!H1489,Dane!H2249,Dane!H3009,Dane!H3769)</f>
        <v>26.166666666666668</v>
      </c>
    </row>
    <row r="350" spans="1:7" x14ac:dyDescent="0.3">
      <c r="A350" s="1" t="s">
        <v>698</v>
      </c>
      <c r="B350" s="1" t="s">
        <v>45</v>
      </c>
      <c r="C350" s="18">
        <f>(Dane!D4150-Dane!D350)/Dane!D350</f>
        <v>0.3012633056497836</v>
      </c>
      <c r="D350" s="18">
        <f>(Dane!E4150-Dane!E350)/Dane!E350</f>
        <v>1.8817733990147782</v>
      </c>
      <c r="E350" s="18">
        <f>(Dane!F4150-Dane!F350)/Dane!F350</f>
        <v>6.9387755102040813</v>
      </c>
      <c r="F350" s="18">
        <f>(Dane!G4150-Dane!G350)/Dane!G350</f>
        <v>2.269702615723377E-2</v>
      </c>
      <c r="G350" s="19">
        <f>AVERAGE(Dane!H350,Dane!H1110,Dane!H1490,Dane!H2250,Dane!H3010,Dane!H3770)</f>
        <v>1.6666666666666667</v>
      </c>
    </row>
    <row r="351" spans="1:7" x14ac:dyDescent="0.3">
      <c r="A351" s="1" t="s">
        <v>699</v>
      </c>
      <c r="B351" s="1" t="s">
        <v>700</v>
      </c>
      <c r="C351" s="18">
        <f>(Dane!D4151-Dane!D351)/Dane!D351</f>
        <v>0.22989758117236872</v>
      </c>
      <c r="D351" s="18">
        <f>(Dane!E4151-Dane!E351)/Dane!E351</f>
        <v>2.3892617449664431</v>
      </c>
      <c r="E351" s="18">
        <f>(Dane!F4151-Dane!F351)/Dane!F351</f>
        <v>1.3296703296703296</v>
      </c>
      <c r="F351" s="18">
        <f>(Dane!G4151-Dane!G351)/Dane!G351</f>
        <v>3.0531128427535466E-2</v>
      </c>
      <c r="G351" s="19">
        <f>AVERAGE(Dane!H351,Dane!H1111,Dane!H1491,Dane!H2251,Dane!H3011,Dane!H3771)</f>
        <v>25.666666666666668</v>
      </c>
    </row>
    <row r="352" spans="1:7" x14ac:dyDescent="0.3">
      <c r="A352" s="1" t="s">
        <v>701</v>
      </c>
      <c r="B352" s="1" t="s">
        <v>702</v>
      </c>
      <c r="C352" s="18">
        <f>(Dane!D4152-Dane!D352)/Dane!D352</f>
        <v>8.6355517589500663E-2</v>
      </c>
      <c r="D352" s="18">
        <f>(Dane!E4152-Dane!E352)/Dane!E352</f>
        <v>-0.18848167539267016</v>
      </c>
      <c r="E352" s="18">
        <f>(Dane!F4152-Dane!F352)/Dane!F352</f>
        <v>7.874015748031496E-3</v>
      </c>
      <c r="F352" s="18">
        <f>(Dane!G4152-Dane!G352)/Dane!G352</f>
        <v>5.9045881998594424E-2</v>
      </c>
      <c r="G352" s="19">
        <f>AVERAGE(Dane!H352,Dane!H1112,Dane!H1492,Dane!H2252,Dane!H3012,Dane!H3772)</f>
        <v>2.5</v>
      </c>
    </row>
    <row r="353" spans="1:7" x14ac:dyDescent="0.3">
      <c r="A353" s="1" t="s">
        <v>703</v>
      </c>
      <c r="B353" s="1" t="s">
        <v>704</v>
      </c>
      <c r="C353" s="18">
        <f>(Dane!D4153-Dane!D353)/Dane!D353</f>
        <v>0.18883079847908746</v>
      </c>
      <c r="D353" s="18">
        <f>(Dane!E4153-Dane!E353)/Dane!E353</f>
        <v>-9.2250922509225092E-2</v>
      </c>
      <c r="E353" s="18">
        <f>(Dane!F4153-Dane!F353)/Dane!F353</f>
        <v>1.7350427350427351</v>
      </c>
      <c r="F353" s="18">
        <f>(Dane!G4153-Dane!G353)/Dane!G353</f>
        <v>0.18210668651081749</v>
      </c>
      <c r="G353" s="19">
        <f>AVERAGE(Dane!H353,Dane!H1113,Dane!H1493,Dane!H2253,Dane!H3013,Dane!H3773)</f>
        <v>21.833333333333332</v>
      </c>
    </row>
    <row r="354" spans="1:7" x14ac:dyDescent="0.3">
      <c r="A354" s="1" t="s">
        <v>705</v>
      </c>
      <c r="B354" s="1" t="s">
        <v>706</v>
      </c>
      <c r="C354" s="18">
        <f>(Dane!D4154-Dane!D354)/Dane!D354</f>
        <v>0.17806443248849421</v>
      </c>
      <c r="D354" s="18">
        <f>(Dane!E4154-Dane!E354)/Dane!E354</f>
        <v>0.41830065359477125</v>
      </c>
      <c r="E354" s="18">
        <f>(Dane!F4154-Dane!F354)/Dane!F354</f>
        <v>0.109375</v>
      </c>
      <c r="F354" s="18">
        <f>(Dane!G4154-Dane!G354)/Dane!G354</f>
        <v>0.14098919685726757</v>
      </c>
      <c r="G354" s="19">
        <f>AVERAGE(Dane!H354,Dane!H1114,Dane!H1494,Dane!H2254,Dane!H3014,Dane!H3774)</f>
        <v>19</v>
      </c>
    </row>
    <row r="355" spans="1:7" x14ac:dyDescent="0.3">
      <c r="A355" s="1" t="s">
        <v>707</v>
      </c>
      <c r="B355" s="1" t="s">
        <v>708</v>
      </c>
      <c r="C355" s="18">
        <f>(Dane!D4155-Dane!D355)/Dane!D355</f>
        <v>0.25833333333333336</v>
      </c>
      <c r="D355" s="18">
        <f>(Dane!E4155-Dane!E355)/Dane!E355</f>
        <v>0.27493261455525608</v>
      </c>
      <c r="E355" s="18">
        <f>(Dane!F4155-Dane!F355)/Dane!F355</f>
        <v>1.0260223048327137</v>
      </c>
      <c r="F355" s="18">
        <f>(Dane!G4155-Dane!G355)/Dane!G355</f>
        <v>-0.20906047311651813</v>
      </c>
      <c r="G355" s="19">
        <f>AVERAGE(Dane!H355,Dane!H1115,Dane!H1495,Dane!H2255,Dane!H3015,Dane!H3775)</f>
        <v>4.166666666666667</v>
      </c>
    </row>
    <row r="356" spans="1:7" x14ac:dyDescent="0.3">
      <c r="A356" s="1" t="s">
        <v>709</v>
      </c>
      <c r="B356" s="1" t="s">
        <v>710</v>
      </c>
      <c r="C356" s="18">
        <f>(Dane!D4156-Dane!D356)/Dane!D356</f>
        <v>0.11613024656502917</v>
      </c>
      <c r="D356" s="18">
        <f>(Dane!E4156-Dane!E356)/Dane!E356</f>
        <v>0.70322580645161292</v>
      </c>
      <c r="E356" s="18">
        <f>(Dane!F4156-Dane!F356)/Dane!F356</f>
        <v>1.7037037037037037</v>
      </c>
      <c r="F356" s="18">
        <f>(Dane!G4156-Dane!G356)/Dane!G356</f>
        <v>0.23488587383513207</v>
      </c>
      <c r="G356" s="19">
        <f>AVERAGE(Dane!H356,Dane!H1116,Dane!H1496,Dane!H2256,Dane!H3016,Dane!H3776)</f>
        <v>6.666666666666667</v>
      </c>
    </row>
    <row r="357" spans="1:7" x14ac:dyDescent="0.3">
      <c r="A357" s="1" t="s">
        <v>711</v>
      </c>
      <c r="B357" s="1" t="s">
        <v>712</v>
      </c>
      <c r="C357" s="18">
        <f>(Dane!D4157-Dane!D357)/Dane!D357</f>
        <v>8.5322153781296109E-2</v>
      </c>
      <c r="D357" s="18">
        <f>(Dane!E4157-Dane!E357)/Dane!E357</f>
        <v>1.1292134831460674</v>
      </c>
      <c r="E357" s="18">
        <f>(Dane!F4157-Dane!F357)/Dane!F357</f>
        <v>0.71989528795811519</v>
      </c>
      <c r="F357" s="18">
        <f>(Dane!G4157-Dane!G357)/Dane!G357</f>
        <v>-0.30051124152105024</v>
      </c>
      <c r="G357" s="19">
        <f>AVERAGE(Dane!H357,Dane!H1117,Dane!H1497,Dane!H2257,Dane!H3017,Dane!H3777)</f>
        <v>35.666666666666664</v>
      </c>
    </row>
    <row r="358" spans="1:7" x14ac:dyDescent="0.3">
      <c r="A358" s="1" t="s">
        <v>713</v>
      </c>
      <c r="B358" s="1" t="s">
        <v>714</v>
      </c>
      <c r="C358" s="18">
        <f>(Dane!D4158-Dane!D358)/Dane!D358</f>
        <v>6.8049792531120326E-2</v>
      </c>
      <c r="D358" s="18">
        <f>(Dane!E4158-Dane!E358)/Dane!E358</f>
        <v>0.82417582417582413</v>
      </c>
      <c r="E358" s="18">
        <f>(Dane!F4158-Dane!F358)/Dane!F358</f>
        <v>0.67741935483870963</v>
      </c>
      <c r="F358" s="18">
        <f>(Dane!G4158-Dane!G358)/Dane!G358</f>
        <v>0.6671002440338869</v>
      </c>
      <c r="G358" s="19">
        <f>AVERAGE(Dane!H358,Dane!H1118,Dane!H1498,Dane!H2258,Dane!H3018,Dane!H3778)</f>
        <v>0</v>
      </c>
    </row>
    <row r="359" spans="1:7" x14ac:dyDescent="0.3">
      <c r="A359" s="1" t="s">
        <v>715</v>
      </c>
      <c r="B359" s="1" t="s">
        <v>716</v>
      </c>
      <c r="C359" s="18">
        <f>(Dane!D4159-Dane!D359)/Dane!D359</f>
        <v>0.13198119998306304</v>
      </c>
      <c r="D359" s="18">
        <f>(Dane!E4159-Dane!E359)/Dane!E359</f>
        <v>0.46710526315789475</v>
      </c>
      <c r="E359" s="18">
        <f>(Dane!F4159-Dane!F359)/Dane!F359</f>
        <v>1.2676767676767677</v>
      </c>
      <c r="F359" s="18">
        <f>(Dane!G4159-Dane!G359)/Dane!G359</f>
        <v>-6.8006457816869717E-2</v>
      </c>
      <c r="G359" s="19">
        <f>AVERAGE(Dane!H359,Dane!H1119,Dane!H1499,Dane!H2259,Dane!H3019,Dane!H3779)</f>
        <v>14</v>
      </c>
    </row>
    <row r="360" spans="1:7" x14ac:dyDescent="0.3">
      <c r="A360" s="1" t="s">
        <v>717</v>
      </c>
      <c r="B360" s="1" t="s">
        <v>718</v>
      </c>
      <c r="C360" s="18">
        <f>(Dane!D4160-Dane!D360)/Dane!D360</f>
        <v>0.23582340172830404</v>
      </c>
      <c r="D360" s="18">
        <f>(Dane!E4160-Dane!E360)/Dane!E360</f>
        <v>0.77859068155564115</v>
      </c>
      <c r="E360" s="18">
        <f>(Dane!F4160-Dane!F360)/Dane!F360</f>
        <v>0.75</v>
      </c>
      <c r="F360" s="18">
        <f>(Dane!G4160-Dane!G360)/Dane!G360</f>
        <v>6.6411494164944476E-2</v>
      </c>
      <c r="G360" s="19">
        <f>AVERAGE(Dane!H360,Dane!H1120,Dane!H1500,Dane!H2260,Dane!H3020,Dane!H3780)</f>
        <v>568.83333333333337</v>
      </c>
    </row>
    <row r="361" spans="1:7" x14ac:dyDescent="0.3">
      <c r="A361" s="1" t="s">
        <v>719</v>
      </c>
      <c r="B361" s="1" t="s">
        <v>720</v>
      </c>
      <c r="C361" s="18">
        <f>(Dane!D4161-Dane!D361)/Dane!D361</f>
        <v>6.3442096979236029E-2</v>
      </c>
      <c r="D361" s="18">
        <f>(Dane!E4161-Dane!E361)/Dane!E361</f>
        <v>1.1285714285714286</v>
      </c>
      <c r="E361" s="18">
        <f>(Dane!F4161-Dane!F361)/Dane!F361</f>
        <v>0.71962616822429903</v>
      </c>
      <c r="F361" s="18">
        <f>(Dane!G4161-Dane!G361)/Dane!G361</f>
        <v>0.5465165902746888</v>
      </c>
      <c r="G361" s="19">
        <f>AVERAGE(Dane!H361,Dane!H1121,Dane!H1501,Dane!H2261,Dane!H3021,Dane!H3781)</f>
        <v>11.833333333333334</v>
      </c>
    </row>
    <row r="362" spans="1:7" x14ac:dyDescent="0.3">
      <c r="A362" s="1" t="s">
        <v>721</v>
      </c>
      <c r="B362" s="1" t="s">
        <v>722</v>
      </c>
      <c r="C362" s="18">
        <f>(Dane!D4162-Dane!D362)/Dane!D362</f>
        <v>6.7150412003443613E-2</v>
      </c>
      <c r="D362" s="18">
        <f>(Dane!E4162-Dane!E362)/Dane!E362</f>
        <v>7.0796460176991149E-2</v>
      </c>
      <c r="E362" s="18">
        <f>(Dane!F4162-Dane!F362)/Dane!F362</f>
        <v>1.5662650602409638</v>
      </c>
      <c r="F362" s="18">
        <f>(Dane!G4162-Dane!G362)/Dane!G362</f>
        <v>-0.17645457081620344</v>
      </c>
      <c r="G362" s="19">
        <f>AVERAGE(Dane!H362,Dane!H1122,Dane!H1502,Dane!H2262,Dane!H3022,Dane!H3782)</f>
        <v>2.8333333333333335</v>
      </c>
    </row>
    <row r="363" spans="1:7" x14ac:dyDescent="0.3">
      <c r="A363" s="1" t="s">
        <v>723</v>
      </c>
      <c r="B363" s="1" t="s">
        <v>724</v>
      </c>
      <c r="C363" s="18">
        <f>(Dane!D4163-Dane!D363)/Dane!D363</f>
        <v>5.488329704825072E-2</v>
      </c>
      <c r="D363" s="18">
        <f>(Dane!E4163-Dane!E363)/Dane!E363</f>
        <v>0.38181818181818183</v>
      </c>
      <c r="E363" s="18">
        <f>(Dane!F4163-Dane!F363)/Dane!F363</f>
        <v>0.60504201680672265</v>
      </c>
      <c r="F363" s="18">
        <f>(Dane!G4163-Dane!G363)/Dane!G363</f>
        <v>-0.1778796150814434</v>
      </c>
      <c r="G363" s="19">
        <f>AVERAGE(Dane!H363,Dane!H1123,Dane!H1503,Dane!H2263,Dane!H3023,Dane!H3783)</f>
        <v>35.833333333333336</v>
      </c>
    </row>
    <row r="364" spans="1:7" x14ac:dyDescent="0.3">
      <c r="A364" s="1" t="s">
        <v>725</v>
      </c>
      <c r="B364" s="1" t="s">
        <v>726</v>
      </c>
      <c r="C364" s="18">
        <f>(Dane!D4164-Dane!D364)/Dane!D364</f>
        <v>0.16338834878287739</v>
      </c>
      <c r="D364" s="18">
        <f>(Dane!E4164-Dane!E364)/Dane!E364</f>
        <v>1.3054393305439331</v>
      </c>
      <c r="E364" s="18">
        <f>(Dane!F4164-Dane!F364)/Dane!F364</f>
        <v>0.27152317880794702</v>
      </c>
      <c r="F364" s="18">
        <f>(Dane!G4164-Dane!G364)/Dane!G364</f>
        <v>-0.12739412346586132</v>
      </c>
      <c r="G364" s="19">
        <f>AVERAGE(Dane!H364,Dane!H1124,Dane!H1504,Dane!H2264,Dane!H3024,Dane!H3784)</f>
        <v>10.333333333333334</v>
      </c>
    </row>
    <row r="365" spans="1:7" x14ac:dyDescent="0.3">
      <c r="A365" s="1" t="s">
        <v>727</v>
      </c>
      <c r="B365" s="1" t="s">
        <v>728</v>
      </c>
      <c r="C365" s="18">
        <f>(Dane!D4165-Dane!D365)/Dane!D365</f>
        <v>6.9859017987360231E-2</v>
      </c>
      <c r="D365" s="18">
        <f>(Dane!E4165-Dane!E365)/Dane!E365</f>
        <v>0.14772727272727273</v>
      </c>
      <c r="E365" s="18">
        <f>(Dane!F4165-Dane!F365)/Dane!F365</f>
        <v>1.032258064516129</v>
      </c>
      <c r="F365" s="18">
        <f>(Dane!G4165-Dane!G365)/Dane!G365</f>
        <v>-0.32344080796862529</v>
      </c>
      <c r="G365" s="19">
        <f>AVERAGE(Dane!H365,Dane!H1125,Dane!H1505,Dane!H2265,Dane!H3025,Dane!H3785)</f>
        <v>6.666666666666667</v>
      </c>
    </row>
    <row r="366" spans="1:7" x14ac:dyDescent="0.3">
      <c r="A366" s="1" t="s">
        <v>729</v>
      </c>
      <c r="B366" s="1" t="s">
        <v>730</v>
      </c>
      <c r="C366" s="18">
        <f>(Dane!D4166-Dane!D366)/Dane!D366</f>
        <v>8.7028284192362512E-2</v>
      </c>
      <c r="D366" s="18">
        <f>(Dane!E4166-Dane!E366)/Dane!E366</f>
        <v>-9.2105263157894732E-2</v>
      </c>
      <c r="E366" s="18">
        <f>(Dane!F4166-Dane!F366)/Dane!F366</f>
        <v>0.87234042553191493</v>
      </c>
      <c r="F366" s="18">
        <f>(Dane!G4166-Dane!G366)/Dane!G366</f>
        <v>-0.39142105122913812</v>
      </c>
      <c r="G366" s="19">
        <f>AVERAGE(Dane!H366,Dane!H1126,Dane!H1506,Dane!H2266,Dane!H3026,Dane!H3786)</f>
        <v>10.833333333333334</v>
      </c>
    </row>
    <row r="367" spans="1:7" x14ac:dyDescent="0.3">
      <c r="A367" s="1" t="s">
        <v>731</v>
      </c>
      <c r="B367" s="1" t="s">
        <v>732</v>
      </c>
      <c r="C367" s="18">
        <f>(Dane!D4167-Dane!D367)/Dane!D367</f>
        <v>0.25201572263656519</v>
      </c>
      <c r="D367" s="18">
        <f>(Dane!E4167-Dane!E367)/Dane!E367</f>
        <v>1.4375</v>
      </c>
      <c r="E367" s="18">
        <f>(Dane!F4167-Dane!F367)/Dane!F367</f>
        <v>0.1398176291793313</v>
      </c>
      <c r="F367" s="18">
        <f>(Dane!G4167-Dane!G367)/Dane!G367</f>
        <v>-0.45800699549471824</v>
      </c>
      <c r="G367" s="19">
        <f>AVERAGE(Dane!H367,Dane!H1127,Dane!H1507,Dane!H2267,Dane!H3027,Dane!H3787)</f>
        <v>11.333333333333334</v>
      </c>
    </row>
    <row r="368" spans="1:7" x14ac:dyDescent="0.3">
      <c r="A368" s="1" t="s">
        <v>733</v>
      </c>
      <c r="B368" s="1" t="s">
        <v>734</v>
      </c>
      <c r="C368" s="18">
        <f>(Dane!D4168-Dane!D368)/Dane!D368</f>
        <v>0.27823565323565325</v>
      </c>
      <c r="D368" s="18">
        <f>(Dane!E4168-Dane!E368)/Dane!E368</f>
        <v>2.3014084507042254</v>
      </c>
      <c r="E368" s="18">
        <f>(Dane!F4168-Dane!F368)/Dane!F368</f>
        <v>0.65192582025677603</v>
      </c>
      <c r="F368" s="18">
        <f>(Dane!G4168-Dane!G368)/Dane!G368</f>
        <v>9.6884401689438765E-2</v>
      </c>
      <c r="G368" s="19">
        <f>AVERAGE(Dane!H368,Dane!H1128,Dane!H1508,Dane!H2268,Dane!H3028,Dane!H3788)</f>
        <v>35</v>
      </c>
    </row>
    <row r="369" spans="1:7" x14ac:dyDescent="0.3">
      <c r="A369" s="1" t="s">
        <v>735</v>
      </c>
      <c r="B369" s="1" t="s">
        <v>736</v>
      </c>
      <c r="C369" s="18">
        <f>(Dane!D4169-Dane!D369)/Dane!D369</f>
        <v>0.22385566321416639</v>
      </c>
      <c r="D369" s="18">
        <f>(Dane!E4169-Dane!E369)/Dane!E369</f>
        <v>0.53771289537712896</v>
      </c>
      <c r="E369" s="18">
        <f>(Dane!F4169-Dane!F369)/Dane!F369</f>
        <v>0.36641221374045801</v>
      </c>
      <c r="F369" s="18">
        <f>(Dane!G4169-Dane!G369)/Dane!G369</f>
        <v>-0.46549851407903226</v>
      </c>
      <c r="G369" s="19">
        <f>AVERAGE(Dane!H369,Dane!H1129,Dane!H1509,Dane!H2269,Dane!H3029,Dane!H3789)</f>
        <v>3.3333333333333335</v>
      </c>
    </row>
    <row r="370" spans="1:7" x14ac:dyDescent="0.3">
      <c r="A370" s="1" t="s">
        <v>737</v>
      </c>
      <c r="B370" s="1" t="s">
        <v>738</v>
      </c>
      <c r="C370" s="18">
        <f>(Dane!D4170-Dane!D370)/Dane!D370</f>
        <v>8.5728693898134145E-2</v>
      </c>
      <c r="D370" s="18">
        <f>(Dane!E4170-Dane!E370)/Dane!E370</f>
        <v>-4.2056074766355138E-2</v>
      </c>
      <c r="E370" s="18">
        <f>(Dane!F4170-Dane!F370)/Dane!F370</f>
        <v>0.39310344827586208</v>
      </c>
      <c r="F370" s="18">
        <f>(Dane!G4170-Dane!G370)/Dane!G370</f>
        <v>-0.33826890014613775</v>
      </c>
      <c r="G370" s="19">
        <f>AVERAGE(Dane!H370,Dane!H1130,Dane!H1510,Dane!H2270,Dane!H3030,Dane!H3790)</f>
        <v>41.666666666666664</v>
      </c>
    </row>
    <row r="371" spans="1:7" x14ac:dyDescent="0.3">
      <c r="A371" s="1" t="s">
        <v>739</v>
      </c>
      <c r="B371" s="1" t="s">
        <v>740</v>
      </c>
      <c r="C371" s="18">
        <f>(Dane!D4171-Dane!D371)/Dane!D371</f>
        <v>0.24364944160514859</v>
      </c>
      <c r="D371" s="18">
        <f>(Dane!E4171-Dane!E371)/Dane!E371</f>
        <v>0.6988847583643123</v>
      </c>
      <c r="E371" s="18">
        <f>(Dane!F4171-Dane!F371)/Dane!F371</f>
        <v>0.56459330143540665</v>
      </c>
      <c r="F371" s="18">
        <f>(Dane!G4171-Dane!G371)/Dane!G371</f>
        <v>-0.24715050452740336</v>
      </c>
      <c r="G371" s="19">
        <f>AVERAGE(Dane!H371,Dane!H1131,Dane!H1511,Dane!H2271,Dane!H3031,Dane!H3791)</f>
        <v>31.833333333333332</v>
      </c>
    </row>
    <row r="372" spans="1:7" x14ac:dyDescent="0.3">
      <c r="A372" s="1" t="s">
        <v>741</v>
      </c>
      <c r="B372" s="1" t="s">
        <v>742</v>
      </c>
      <c r="C372" s="18">
        <f>(Dane!D4172-Dane!D372)/Dane!D372</f>
        <v>7.18964690845183E-2</v>
      </c>
      <c r="D372" s="18">
        <f>(Dane!E4172-Dane!E372)/Dane!E372</f>
        <v>0.59322033898305082</v>
      </c>
      <c r="E372" s="18">
        <f>(Dane!F4172-Dane!F372)/Dane!F372</f>
        <v>0.52054794520547942</v>
      </c>
      <c r="F372" s="18">
        <f>(Dane!G4172-Dane!G372)/Dane!G372</f>
        <v>-0.22721976189205798</v>
      </c>
      <c r="G372" s="19">
        <f>AVERAGE(Dane!H372,Dane!H1132,Dane!H1512,Dane!H2272,Dane!H3032,Dane!H3792)</f>
        <v>1.1666666666666667</v>
      </c>
    </row>
    <row r="373" spans="1:7" x14ac:dyDescent="0.3">
      <c r="A373" s="1" t="s">
        <v>743</v>
      </c>
      <c r="B373" s="1" t="s">
        <v>744</v>
      </c>
      <c r="C373" s="18">
        <f>(Dane!D4173-Dane!D373)/Dane!D373</f>
        <v>0.1359665989122672</v>
      </c>
      <c r="D373" s="18">
        <f>(Dane!E4173-Dane!E373)/Dane!E373</f>
        <v>-0.17872340425531916</v>
      </c>
      <c r="E373" s="18">
        <f>(Dane!F4173-Dane!F373)/Dane!F373</f>
        <v>1.7058823529411764</v>
      </c>
      <c r="F373" s="18">
        <f>(Dane!G4173-Dane!G373)/Dane!G373</f>
        <v>-0.15750680111297985</v>
      </c>
      <c r="G373" s="19">
        <f>AVERAGE(Dane!H373,Dane!H1133,Dane!H1513,Dane!H2273,Dane!H3033,Dane!H3793)</f>
        <v>16.333333333333332</v>
      </c>
    </row>
    <row r="374" spans="1:7" x14ac:dyDescent="0.3">
      <c r="A374" s="1" t="s">
        <v>745</v>
      </c>
      <c r="B374" s="1" t="s">
        <v>746</v>
      </c>
      <c r="C374" s="18">
        <f>(Dane!D4174-Dane!D374)/Dane!D374</f>
        <v>0.15556432128593264</v>
      </c>
      <c r="D374" s="18">
        <f>(Dane!E4174-Dane!E374)/Dane!E374</f>
        <v>1.5454545454545454</v>
      </c>
      <c r="E374" s="18">
        <f>(Dane!F4174-Dane!F374)/Dane!F374</f>
        <v>1.4886363636363635</v>
      </c>
      <c r="F374" s="18">
        <f>(Dane!G4174-Dane!G374)/Dane!G374</f>
        <v>-0.27935870042296246</v>
      </c>
      <c r="G374" s="19">
        <f>AVERAGE(Dane!H374,Dane!H1134,Dane!H1514,Dane!H2274,Dane!H3034,Dane!H3794)</f>
        <v>81.333333333333329</v>
      </c>
    </row>
    <row r="375" spans="1:7" x14ac:dyDescent="0.3">
      <c r="A375" s="1" t="s">
        <v>747</v>
      </c>
      <c r="B375" s="1" t="s">
        <v>748</v>
      </c>
      <c r="C375" s="18">
        <f>(Dane!D4175-Dane!D375)/Dane!D375</f>
        <v>8.1515086051703031E-2</v>
      </c>
      <c r="D375" s="18">
        <f>(Dane!E4175-Dane!E375)/Dane!E375</f>
        <v>1.4215686274509804</v>
      </c>
      <c r="E375" s="18">
        <f>(Dane!F4175-Dane!F375)/Dane!F375</f>
        <v>0.9285714285714286</v>
      </c>
      <c r="F375" s="18">
        <f>(Dane!G4175-Dane!G375)/Dane!G375</f>
        <v>-0.12611018725748843</v>
      </c>
      <c r="G375" s="19">
        <f>AVERAGE(Dane!H375,Dane!H1135,Dane!H1515,Dane!H2275,Dane!H3035,Dane!H3795)</f>
        <v>84.5</v>
      </c>
    </row>
    <row r="376" spans="1:7" x14ac:dyDescent="0.3">
      <c r="A376" s="1" t="s">
        <v>749</v>
      </c>
      <c r="B376" s="1" t="s">
        <v>750</v>
      </c>
      <c r="C376" s="18">
        <f>(Dane!D4176-Dane!D376)/Dane!D376</f>
        <v>3.5415521768333638E-2</v>
      </c>
      <c r="D376" s="18">
        <f>(Dane!E4176-Dane!E376)/Dane!E376</f>
        <v>-0.55000000000000004</v>
      </c>
      <c r="E376" s="18">
        <f>(Dane!F4176-Dane!F376)/Dane!F376</f>
        <v>0.62809917355371903</v>
      </c>
      <c r="F376" s="18">
        <f>(Dane!G4176-Dane!G376)/Dane!G376</f>
        <v>-0.21882197032702444</v>
      </c>
      <c r="G376" s="19">
        <f>AVERAGE(Dane!H376,Dane!H1136,Dane!H1516,Dane!H2276,Dane!H3036,Dane!H3796)</f>
        <v>43.166666666666664</v>
      </c>
    </row>
    <row r="377" spans="1:7" x14ac:dyDescent="0.3">
      <c r="A377" s="1" t="s">
        <v>751</v>
      </c>
      <c r="B377" s="1" t="s">
        <v>752</v>
      </c>
      <c r="C377" s="18">
        <f>(Dane!D4177-Dane!D377)/Dane!D377</f>
        <v>7.2289156626506021E-2</v>
      </c>
      <c r="D377" s="18">
        <f>(Dane!E4177-Dane!E377)/Dane!E377</f>
        <v>2.0724637681159419</v>
      </c>
      <c r="E377" s="18">
        <f>(Dane!F4177-Dane!F377)/Dane!F377</f>
        <v>1.3859649122807018</v>
      </c>
      <c r="F377" s="18">
        <f>(Dane!G4177-Dane!G377)/Dane!G377</f>
        <v>-0.34401495533259041</v>
      </c>
      <c r="G377" s="19">
        <f>AVERAGE(Dane!H377,Dane!H1137,Dane!H1517,Dane!H2277,Dane!H3037,Dane!H3797)</f>
        <v>7.5</v>
      </c>
    </row>
    <row r="378" spans="1:7" x14ac:dyDescent="0.3">
      <c r="A378" s="1" t="s">
        <v>753</v>
      </c>
      <c r="B378" s="1" t="s">
        <v>754</v>
      </c>
      <c r="C378" s="18">
        <f>(Dane!D4178-Dane!D378)/Dane!D378</f>
        <v>3.2184450739691534E-2</v>
      </c>
      <c r="D378" s="18">
        <f>(Dane!E4178-Dane!E378)/Dane!E378</f>
        <v>0.70454545454545459</v>
      </c>
      <c r="E378" s="18">
        <f>(Dane!F4178-Dane!F378)/Dane!F378</f>
        <v>0.89010989010989006</v>
      </c>
      <c r="F378" s="18">
        <f>(Dane!G4178-Dane!G378)/Dane!G378</f>
        <v>-0.32215043453114772</v>
      </c>
      <c r="G378" s="19">
        <f>AVERAGE(Dane!H378,Dane!H1138,Dane!H1518,Dane!H2278,Dane!H3038,Dane!H3798)</f>
        <v>12.5</v>
      </c>
    </row>
    <row r="379" spans="1:7" x14ac:dyDescent="0.3">
      <c r="A379" s="1" t="s">
        <v>755</v>
      </c>
      <c r="B379" s="1" t="s">
        <v>756</v>
      </c>
      <c r="C379" s="18">
        <f>(Dane!D4179-Dane!D379)/Dane!D379</f>
        <v>0.14035881541141604</v>
      </c>
      <c r="D379" s="18">
        <f>(Dane!E4179-Dane!E379)/Dane!E379</f>
        <v>0.63959390862944165</v>
      </c>
      <c r="E379" s="18">
        <f>(Dane!F4179-Dane!F379)/Dane!F379</f>
        <v>1.2314606741573033</v>
      </c>
      <c r="F379" s="18">
        <f>(Dane!G4179-Dane!G379)/Dane!G379</f>
        <v>0.29532182634150222</v>
      </c>
      <c r="G379" s="19">
        <f>AVERAGE(Dane!H379,Dane!H1139,Dane!H1519,Dane!H2279,Dane!H3039,Dane!H3799)</f>
        <v>80.833333333333329</v>
      </c>
    </row>
    <row r="380" spans="1:7" x14ac:dyDescent="0.3">
      <c r="A380" s="1" t="s">
        <v>757</v>
      </c>
      <c r="B380" s="1" t="s">
        <v>758</v>
      </c>
      <c r="C380" s="18">
        <f>(Dane!D4180-Dane!D380)/Dane!D380</f>
        <v>0.1478175362566316</v>
      </c>
      <c r="D380" s="18">
        <f>(Dane!E4180-Dane!E380)/Dane!E380</f>
        <v>0.76998597475455821</v>
      </c>
      <c r="E380" s="18">
        <f>(Dane!F4180-Dane!F380)/Dane!F380</f>
        <v>-0.86696090794451452</v>
      </c>
      <c r="F380" s="18">
        <f>(Dane!G4180-Dane!G380)/Dane!G380</f>
        <v>-0.26422373990937748</v>
      </c>
      <c r="G380" s="19">
        <f>AVERAGE(Dane!H380,Dane!H1140,Dane!H1520,Dane!H2280,Dane!H3040,Dane!H3800)</f>
        <v>282</v>
      </c>
    </row>
    <row r="381" spans="1:7" x14ac:dyDescent="0.3">
      <c r="A381" s="1" t="s">
        <v>759</v>
      </c>
      <c r="B381" s="1" t="s">
        <v>760</v>
      </c>
      <c r="C381" s="18">
        <f>(Dane!D4181-Dane!D381)/Dane!D381</f>
        <v>0.15252968765592256</v>
      </c>
      <c r="D381" s="18">
        <f>(Dane!E4181-Dane!E381)/Dane!E381</f>
        <v>1.4895833333333333</v>
      </c>
      <c r="E381" s="18">
        <f>(Dane!F4181-Dane!F381)/Dane!F381</f>
        <v>1.0529411764705883</v>
      </c>
      <c r="F381" s="18">
        <f>(Dane!G4181-Dane!G381)/Dane!G381</f>
        <v>0.1949844454661083</v>
      </c>
      <c r="G381" s="19">
        <f>AVERAGE(Dane!H381,Dane!H1141,Dane!H1521,Dane!H2281,Dane!H3041,Dane!H3801)</f>
        <v>0</v>
      </c>
    </row>
  </sheetData>
  <pageMargins left="0.7" right="0.7" top="0.75" bottom="0.75" header="0.3" footer="0.3"/>
  <ignoredErrors>
    <ignoredError sqref="A2:A38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7875A-01EF-41EF-B41A-1CACC551D7FD}">
  <dimension ref="A1:M5"/>
  <sheetViews>
    <sheetView zoomScale="130" zoomScaleNormal="130" workbookViewId="0"/>
  </sheetViews>
  <sheetFormatPr defaultRowHeight="14.4" x14ac:dyDescent="0.3"/>
  <cols>
    <col min="1" max="1" width="13.5546875" customWidth="1"/>
    <col min="2" max="2" width="24.21875" customWidth="1"/>
    <col min="3" max="3" width="22.88671875" customWidth="1"/>
    <col min="4" max="4" width="7.44140625" customWidth="1"/>
    <col min="5" max="6" width="6.109375" customWidth="1"/>
    <col min="7" max="7" width="6.44140625" customWidth="1"/>
    <col min="8" max="8" width="7" customWidth="1"/>
    <col min="9" max="9" width="6.6640625" customWidth="1"/>
    <col min="10" max="10" width="7.33203125" customWidth="1"/>
    <col min="11" max="12" width="8.109375" customWidth="1"/>
    <col min="13" max="13" width="8" customWidth="1"/>
  </cols>
  <sheetData>
    <row r="1" spans="1:13" ht="58.2" thickBot="1" x14ac:dyDescent="0.35">
      <c r="A1" s="12" t="s">
        <v>766</v>
      </c>
      <c r="B1" s="13" t="s">
        <v>780</v>
      </c>
      <c r="C1" s="14" t="s">
        <v>767</v>
      </c>
    </row>
    <row r="2" spans="1:13" x14ac:dyDescent="0.3">
      <c r="A2" s="10">
        <f>SUM(Dane!E2:E4181)</f>
        <v>2085428</v>
      </c>
      <c r="B2" s="11">
        <f>SUM(Dane!H2:H4181)</f>
        <v>117966</v>
      </c>
      <c r="C2" s="11">
        <f>SUM(Dane!D3802:D4181)-SUM(Dane!D2:D381)</f>
        <v>1926347</v>
      </c>
      <c r="G2" s="8"/>
      <c r="H2" s="8"/>
      <c r="K2" s="9"/>
      <c r="L2" s="9"/>
    </row>
    <row r="3" spans="1:13" x14ac:dyDescent="0.3">
      <c r="F3" s="8"/>
      <c r="G3" s="8"/>
      <c r="H3" s="8"/>
      <c r="J3" s="9"/>
      <c r="K3" s="9"/>
      <c r="L3" s="9"/>
    </row>
    <row r="5" spans="1:13" x14ac:dyDescent="0.3">
      <c r="K5" s="7"/>
      <c r="L5" s="7"/>
      <c r="M5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Źródło</vt:lpstr>
      <vt:lpstr>Dane</vt:lpstr>
      <vt:lpstr>Wskaźniki analityczne</vt:lpstr>
      <vt:lpstr>Zmienne pochodne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u004-8@eswypako.uni.lodz.pl</dc:creator>
  <cp:keywords/>
  <dc:description/>
  <cp:lastModifiedBy>Dawid .</cp:lastModifiedBy>
  <cp:revision/>
  <dcterms:created xsi:type="dcterms:W3CDTF">2025-06-05T07:58:14Z</dcterms:created>
  <dcterms:modified xsi:type="dcterms:W3CDTF">2025-06-16T20:27:15Z</dcterms:modified>
  <cp:category/>
  <cp:contentStatus/>
</cp:coreProperties>
</file>